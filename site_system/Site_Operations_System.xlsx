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رئيسية" sheetId="1" state="visible" r:id="rId1"/>
    <sheet xmlns:r="http://schemas.openxmlformats.org/officeDocument/2006/relationships" name="دليل الاستخدام" sheetId="2" state="visible" r:id="rId2"/>
    <sheet xmlns:r="http://schemas.openxmlformats.org/officeDocument/2006/relationships" name="المشروعات" sheetId="3" state="visible" r:id="rId3"/>
    <sheet xmlns:r="http://schemas.openxmlformats.org/officeDocument/2006/relationships" name="استلام المواقع" sheetId="4" state="visible" r:id="rId4"/>
    <sheet xmlns:r="http://schemas.openxmlformats.org/officeDocument/2006/relationships" name="اعتماد المواد" sheetId="5" state="visible" r:id="rId5"/>
    <sheet xmlns:r="http://schemas.openxmlformats.org/officeDocument/2006/relationships" name="أوامر التوريد" sheetId="6" state="visible" r:id="rId6"/>
    <sheet xmlns:r="http://schemas.openxmlformats.org/officeDocument/2006/relationships" name="استلام المواد" sheetId="7" state="visible" r:id="rId7"/>
    <sheet xmlns:r="http://schemas.openxmlformats.org/officeDocument/2006/relationships" name="رصيد المخزن" sheetId="8" state="visible" r:id="rId8"/>
    <sheet xmlns:r="http://schemas.openxmlformats.org/officeDocument/2006/relationships" name="صرف المواد" sheetId="9" state="visible" r:id="rId9"/>
    <sheet xmlns:r="http://schemas.openxmlformats.org/officeDocument/2006/relationships" name="طلبات الفحص" sheetId="10" state="visible" r:id="rId10"/>
    <sheet xmlns:r="http://schemas.openxmlformats.org/officeDocument/2006/relationships" name="عدم المطابقة" sheetId="11" state="visible" r:id="rId11"/>
    <sheet xmlns:r="http://schemas.openxmlformats.org/officeDocument/2006/relationships" name="المستخلصات" sheetId="12" state="visible" r:id="rId12"/>
    <sheet xmlns:r="http://schemas.openxmlformats.org/officeDocument/2006/relationships" name="سندات القبض" sheetId="13" state="visible" r:id="rId13"/>
    <sheet xmlns:r="http://schemas.openxmlformats.org/officeDocument/2006/relationships" name="سندات الصرف" sheetId="14" state="visible" r:id="rId14"/>
    <sheet xmlns:r="http://schemas.openxmlformats.org/officeDocument/2006/relationships" name="ملاحظات التسليم" sheetId="15" state="visible" r:id="rId15"/>
    <sheet xmlns:r="http://schemas.openxmlformats.org/officeDocument/2006/relationships" name="طباعة سند قبض" sheetId="16" state="visible" r:id="rId16"/>
    <sheet xmlns:r="http://schemas.openxmlformats.org/officeDocument/2006/relationships" name="طباعة سند صرف" sheetId="17" state="visible" r:id="rId17"/>
    <sheet xmlns:r="http://schemas.openxmlformats.org/officeDocument/2006/relationships" name="القوائم والإعدادات" sheetId="18" state="visible" r:id="rId18"/>
  </sheets>
  <definedNames>
    <definedName name="S_Company">'القوائم والإعدادات'!$B$5</definedName>
    <definedName name="S_VAT">'القوائم والإعدادات'!$B$6</definedName>
    <definedName name="S_Ret">'القوائم والإعدادات'!$B$7</definedName>
    <definedName name="S_SLA">'القوائم والإعدادات'!$B$8</definedName>
    <definedName name="S_Cur">'القوائم والإعدادات'!$B$9</definedName>
    <definedName name="L_YesNo">'القوائم والإعدادات'!$A$14:$A$15</definedName>
    <definedName name="L_MARCode">'القوائم والإعدادات'!$B$14:$B$17</definedName>
    <definedName name="L_Unit">'القوائم والإعدادات'!$C$14:$C$24</definedName>
    <definedName name="L_Method">'القوائم والإعدادات'!$D$14:$D$17</definedName>
    <definedName name="L_Disc">'القوائم والإعدادات'!$E$14:$E$21</definedName>
    <definedName name="L_NCRCat">'القوائم والإعدادات'!$F$14:$F$17</definedName>
    <definedName name="L_Sev">'القوائم والإعدادات'!$G$14:$G$16</definedName>
    <definedName name="L_WIRRes">'القوائم والإعدادات'!$H$14:$H$16</definedName>
    <definedName name="L_CostCat">'القوائم والإعدادات'!$I$14:$I$22</definedName>
    <definedName name="L_IPCAppr">'القوائم والإعدادات'!$J$14:$J$17</definedName>
    <definedName name="L_Proj">'المشروعات'!$A$5:$A$304</definedName>
    <definedName name="L_MAR">'اعتماد المواد'!$A$5:$A$304</definedName>
    <definedName name="L_PO">'أوامر التوريد'!$A$5:$A$304</definedName>
    <definedName name="L_Item">'رصيد المخزن'!$A$5:$A$304</definedName>
    <definedName name="L_IPC">'المستخلصات'!$A$5:$A$304</definedName>
    <definedName name="_xlnm._FilterDatabase" localSheetId="2" hidden="1">'المشروعات'!$A$4:$U$304</definedName>
    <definedName name="_xlnm.Print_Titles" localSheetId="2">'المشروعات'!$4:$4</definedName>
    <definedName name="_xlnm._FilterDatabase" localSheetId="3" hidden="1">'استلام المواقع'!$A$4:$L$304</definedName>
    <definedName name="_xlnm.Print_Titles" localSheetId="3">'استلام المواقع'!$4:$4</definedName>
    <definedName name="_xlnm._FilterDatabase" localSheetId="4" hidden="1">'اعتماد المواد'!$A$4:$P$304</definedName>
    <definedName name="_xlnm.Print_Titles" localSheetId="4">'اعتماد المواد'!$4:$4</definedName>
    <definedName name="_xlnm._FilterDatabase" localSheetId="5" hidden="1">'أوامر التوريد'!$A$4:$R$304</definedName>
    <definedName name="_xlnm.Print_Titles" localSheetId="5">'أوامر التوريد'!$4:$4</definedName>
    <definedName name="_xlnm._FilterDatabase" localSheetId="6" hidden="1">'استلام المواد'!$A$4:$O$304</definedName>
    <definedName name="_xlnm.Print_Titles" localSheetId="6">'استلام المواد'!$4:$4</definedName>
    <definedName name="_xlnm._FilterDatabase" localSheetId="7" hidden="1">'رصيد المخزن'!$A$4:$L$304</definedName>
    <definedName name="_xlnm.Print_Titles" localSheetId="7">'رصيد المخزن'!$4:$4</definedName>
    <definedName name="_xlnm._FilterDatabase" localSheetId="8" hidden="1">'صرف المواد'!$A$4:$K$304</definedName>
    <definedName name="_xlnm.Print_Titles" localSheetId="8">'صرف المواد'!$4:$4</definedName>
    <definedName name="_xlnm._FilterDatabase" localSheetId="9" hidden="1">'طلبات الفحص'!$A$4:$L$304</definedName>
    <definedName name="_xlnm.Print_Titles" localSheetId="9">'طلبات الفحص'!$4:$4</definedName>
    <definedName name="_xlnm._FilterDatabase" localSheetId="10" hidden="1">'عدم المطابقة'!$A$4:$M$304</definedName>
    <definedName name="_xlnm.Print_Titles" localSheetId="10">'عدم المطابقة'!$4:$4</definedName>
    <definedName name="_xlnm._FilterDatabase" localSheetId="11" hidden="1">'المستخلصات'!$A$4:$R$304</definedName>
    <definedName name="_xlnm.Print_Titles" localSheetId="11">'المستخلصات'!$4:$4</definedName>
    <definedName name="_xlnm._FilterDatabase" localSheetId="12" hidden="1">'سندات القبض'!$A$4:$M$304</definedName>
    <definedName name="_xlnm.Print_Titles" localSheetId="12">'سندات القبض'!$4:$4</definedName>
    <definedName name="_xlnm._FilterDatabase" localSheetId="13" hidden="1">'سندات الصرف'!$A$4:$N$304</definedName>
    <definedName name="_xlnm.Print_Titles" localSheetId="13">'سندات الصرف'!$4:$4</definedName>
    <definedName name="_xlnm._FilterDatabase" localSheetId="14" hidden="1">'ملاحظات التسليم'!$A$4:$K$304</definedName>
    <definedName name="_xlnm.Print_Titles" localSheetId="14">'ملاحظات التسليم'!$4:$4</definedName>
    <definedName name="_xlnm.Print_Area" localSheetId="15">'طباعة سند قبض'!$B$5:$G$25</definedName>
    <definedName name="_xlnm.Print_Area" localSheetId="16">'طباعة سند صرف'!$B$5:$G$25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;[Red]-0.0%;&quot;-&quot;"/>
    <numFmt numFmtId="165" formatCode="#,##0.00;[Red](#,##0.00);&quot;-&quot;"/>
    <numFmt numFmtId="166" formatCode="yyyy/mm/dd"/>
    <numFmt numFmtId="167" formatCode="#,##0;[Red]-#,##0;&quot;-&quot;"/>
  </numFmts>
  <fonts count="38">
    <font>
      <name val="Calibri"/>
      <family val="2"/>
      <color theme="1"/>
      <sz val="11"/>
      <scheme val="minor"/>
    </font>
    <font>
      <name val="Arial"/>
      <b val="1"/>
      <color rgb="001F3A5F"/>
      <sz val="16"/>
    </font>
    <font>
      <name val="Arial"/>
      <color rgb="005A6772"/>
      <sz val="9"/>
    </font>
    <font>
      <name val="Arial"/>
      <b val="1"/>
      <color rgb="00FFFFFF"/>
      <sz val="10"/>
    </font>
    <font>
      <name val="Arial"/>
      <b val="1"/>
      <color rgb="001F2933"/>
      <sz val="10"/>
    </font>
    <font>
      <name val="Arial"/>
      <b val="1"/>
      <color rgb="001A4FA0"/>
      <sz val="10"/>
    </font>
    <font>
      <name val="Arial"/>
      <color rgb="001A4FA0"/>
      <sz val="10"/>
    </font>
    <font>
      <name val="Arial"/>
      <b val="1"/>
      <color rgb="00FFFFFF"/>
      <sz val="16"/>
    </font>
    <font>
      <name val="Arial"/>
      <color rgb="00FFFFFF"/>
      <sz val="10"/>
    </font>
    <font>
      <name val="Arial"/>
      <b val="1"/>
      <color rgb="002E7D7A"/>
      <sz val="10"/>
    </font>
    <font>
      <name val="Arial"/>
      <color rgb="001F2933"/>
      <sz val="10"/>
    </font>
    <font>
      <name val="Arial"/>
      <b val="1"/>
      <color rgb="001F3A5F"/>
      <sz val="11"/>
    </font>
    <font>
      <name val="Arial"/>
      <b val="1"/>
      <color rgb="001A4FA0"/>
      <sz val="13"/>
    </font>
    <font>
      <name val="Arial"/>
      <b val="1"/>
      <color rgb="00C62828"/>
      <sz val="10"/>
    </font>
    <font>
      <name val="Arial"/>
      <color rgb="008A96A3"/>
      <sz val="9"/>
    </font>
    <font>
      <name val="Arial"/>
      <b val="1"/>
      <color rgb="001F3A5F"/>
      <sz val="13"/>
    </font>
    <font>
      <name val="Arial"/>
      <b val="1"/>
      <color rgb="002E7D32"/>
      <sz val="24"/>
    </font>
    <font>
      <name val="Arial"/>
      <b val="1"/>
      <color rgb="002E7D32"/>
      <sz val="11"/>
    </font>
    <font>
      <name val="Arial"/>
      <b val="1"/>
      <color rgb="00FFFFFF"/>
      <sz val="11"/>
    </font>
    <font>
      <name val="Arial"/>
      <b val="1"/>
      <color rgb="002E7D32"/>
      <sz val="16"/>
    </font>
    <font>
      <name val="Arial"/>
      <b val="1"/>
      <color rgb="001F2933"/>
      <sz val="12"/>
    </font>
    <font>
      <name val="Arial"/>
      <b val="1"/>
      <color rgb="001F2933"/>
      <sz val="11"/>
    </font>
    <font>
      <name val="Arial"/>
      <color rgb="001F2933"/>
      <sz val="12"/>
    </font>
    <font>
      <name val="Arial"/>
      <b val="1"/>
      <color rgb="001F3A5F"/>
      <sz val="10"/>
    </font>
    <font>
      <name val="Arial"/>
      <color rgb="008A96A3"/>
      <sz val="8"/>
    </font>
    <font>
      <name val="Arial"/>
      <b val="1"/>
      <color rgb="00C62828"/>
      <sz val="24"/>
    </font>
    <font>
      <name val="Arial"/>
      <b val="1"/>
      <color rgb="00C62828"/>
      <sz val="11"/>
    </font>
    <font>
      <name val="Arial"/>
      <b val="1"/>
      <color rgb="00C62828"/>
      <sz val="16"/>
    </font>
    <font>
      <name val="Arial"/>
      <b val="1"/>
      <color rgb="00FFFFFF"/>
      <sz val="22"/>
    </font>
    <font>
      <name val="Arial"/>
      <color rgb="00FFFFFF"/>
      <sz val="11"/>
    </font>
    <font>
      <name val="Arial"/>
      <b val="1"/>
      <color rgb="001F3A5F"/>
      <sz val="12"/>
    </font>
    <font>
      <name val="Arial"/>
      <b val="1"/>
      <color rgb="00FFFFFF"/>
      <sz val="12"/>
    </font>
    <font>
      <name val="Arial"/>
      <b val="1"/>
      <color rgb="005A6772"/>
      <sz val="9"/>
    </font>
    <font>
      <name val="Arial"/>
      <b val="1"/>
      <color rgb="001F3A5F"/>
      <sz val="17"/>
    </font>
    <font>
      <name val="Arial"/>
      <b val="1"/>
      <color rgb="00C62828"/>
      <sz val="17"/>
    </font>
    <font>
      <name val="Arial"/>
      <b val="1"/>
      <color rgb="009A6B00"/>
      <sz val="17"/>
    </font>
    <font>
      <name val="Arial"/>
      <b val="1"/>
      <color rgb="002E7D32"/>
      <sz val="17"/>
    </font>
    <font>
      <name val="Arial"/>
      <b val="1"/>
      <color rgb="00FFFFFF"/>
      <sz val="18"/>
    </font>
  </fonts>
  <fills count="14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FFF8E1"/>
        <bgColor rgb="00FFF8E1"/>
      </patternFill>
    </fill>
    <fill>
      <patternFill patternType="solid">
        <fgColor rgb="002E7D7A"/>
        <bgColor rgb="002E7D7A"/>
      </patternFill>
    </fill>
    <fill>
      <patternFill patternType="solid">
        <fgColor rgb="00F2F4F7"/>
        <bgColor rgb="00F2F4F7"/>
      </patternFill>
    </fill>
    <fill>
      <patternFill patternType="solid">
        <fgColor rgb="002E7D32"/>
        <bgColor rgb="002E7D32"/>
      </patternFill>
    </fill>
    <fill>
      <patternFill patternType="solid">
        <fgColor rgb="00DCEFEE"/>
        <bgColor rgb="00DCEFEE"/>
      </patternFill>
    </fill>
    <fill>
      <patternFill patternType="solid">
        <fgColor rgb="00C62828"/>
        <bgColor rgb="00C62828"/>
      </patternFill>
    </fill>
    <fill>
      <patternFill patternType="solid">
        <fgColor rgb="005B7DB1"/>
        <bgColor rgb="005B7DB1"/>
      </patternFill>
    </fill>
    <fill>
      <patternFill patternType="solid">
        <fgColor rgb="007B5EA7"/>
        <bgColor rgb="007B5EA7"/>
      </patternFill>
    </fill>
    <fill>
      <patternFill patternType="solid">
        <fgColor rgb="009A6B00"/>
        <bgColor rgb="009A6B00"/>
      </patternFill>
    </fill>
    <fill>
      <patternFill patternType="solid">
        <fgColor rgb="00F7F9FB"/>
        <bgColor rgb="00F7F9FB"/>
      </patternFill>
    </fill>
    <fill>
      <patternFill patternType="solid">
        <fgColor rgb="00FFFFFF"/>
        <bgColor rgb="00FFFFFF"/>
      </patternFill>
    </fill>
  </fills>
  <borders count="9">
    <border>
      <left/>
      <right/>
      <top/>
      <bottom/>
      <diagonal/>
    </border>
    <border>
      <left style="thin">
        <color rgb="00C9D3DD"/>
      </left>
      <right style="thin">
        <color rgb="00C9D3DD"/>
      </right>
      <top style="thin">
        <color rgb="00C9D3DD"/>
      </top>
      <bottom style="thin">
        <color rgb="00C9D3DD"/>
      </bottom>
    </border>
    <border>
      <right style="thin">
        <color rgb="00C9D3DD"/>
      </right>
      <top style="thin">
        <color rgb="00C9D3DD"/>
      </top>
    </border>
    <border>
      <left style="thin">
        <color rgb="00C9D3DD"/>
      </left>
      <top style="thin">
        <color rgb="00C9D3DD"/>
      </top>
    </border>
    <border>
      <right style="thin">
        <color rgb="00C9D3DD"/>
      </right>
      <bottom style="thin">
        <color rgb="00C9D3DD"/>
      </bottom>
    </border>
    <border>
      <left style="thin">
        <color rgb="00C9D3DD"/>
      </left>
      <bottom style="thin">
        <color rgb="00C9D3DD"/>
      </bottom>
    </border>
    <border>
      <left/>
      <right/>
      <top style="thin">
        <color rgb="00C9D3DD"/>
      </top>
      <bottom/>
      <diagonal/>
    </border>
    <border>
      <left/>
      <right style="thin">
        <color rgb="00C9D3DD"/>
      </right>
      <top style="thin">
        <color rgb="00C9D3DD"/>
      </top>
      <bottom/>
      <diagonal/>
    </border>
    <border>
      <left/>
      <right style="thin">
        <color rgb="00C9D3DD"/>
      </right>
      <top style="thin">
        <color rgb="00C9D3DD"/>
      </top>
      <bottom style="thin">
        <color rgb="00C9D3DD"/>
      </bottom>
      <diagonal/>
    </border>
  </borders>
  <cellStyleXfs count="1">
    <xf numFmtId="0" fontId="0" fillId="0" borderId="0"/>
  </cellStyleXfs>
  <cellXfs count="82">
    <xf numFmtId="0" fontId="0" fillId="0" borderId="0" pivotButton="0" quotePrefix="0" xfId="0"/>
    <xf numFmtId="0" fontId="28" fillId="2" borderId="0" applyAlignment="1" pivotButton="0" quotePrefix="0" xfId="0">
      <alignment horizontal="center" vertical="center" readingOrder="2"/>
    </xf>
    <xf numFmtId="0" fontId="29" fillId="4" borderId="0" applyAlignment="1" pivotButton="0" quotePrefix="0" xfId="0">
      <alignment horizontal="center" vertical="center" readingOrder="2"/>
    </xf>
    <xf numFmtId="0" fontId="30" fillId="0" borderId="0" pivotButton="0" quotePrefix="0" xfId="0"/>
    <xf numFmtId="0" fontId="18" fillId="2" borderId="0" applyAlignment="1" pivotButton="0" quotePrefix="0" xfId="0">
      <alignment horizontal="center" vertical="center" readingOrder="2"/>
    </xf>
    <xf numFmtId="0" fontId="18" fillId="9" borderId="0" applyAlignment="1" pivotButton="0" quotePrefix="0" xfId="0">
      <alignment horizontal="center" vertical="center" readingOrder="2"/>
    </xf>
    <xf numFmtId="0" fontId="18" fillId="4" borderId="0" applyAlignment="1" pivotButton="0" quotePrefix="0" xfId="0">
      <alignment horizontal="center" vertical="center" readingOrder="2"/>
    </xf>
    <xf numFmtId="0" fontId="18" fillId="10" borderId="0" applyAlignment="1" pivotButton="0" quotePrefix="0" xfId="0">
      <alignment horizontal="center" vertical="center" readingOrder="2"/>
    </xf>
    <xf numFmtId="0" fontId="18" fillId="6" borderId="0" applyAlignment="1" pivotButton="0" quotePrefix="0" xfId="0">
      <alignment horizontal="center" vertical="center" readingOrder="2"/>
    </xf>
    <xf numFmtId="0" fontId="18" fillId="8" borderId="0" applyAlignment="1" pivotButton="0" quotePrefix="0" xfId="0">
      <alignment horizontal="center" vertical="center" readingOrder="2"/>
    </xf>
    <xf numFmtId="0" fontId="18" fillId="11" borderId="0" applyAlignment="1" pivotButton="0" quotePrefix="0" xfId="0">
      <alignment horizontal="center" vertical="center" readingOrder="2"/>
    </xf>
    <xf numFmtId="0" fontId="31" fillId="4" borderId="0" applyAlignment="1" pivotButton="0" quotePrefix="0" xfId="0">
      <alignment horizontal="right" vertical="center" readingOrder="2"/>
    </xf>
    <xf numFmtId="0" fontId="32" fillId="12" borderId="2" applyAlignment="1" pivotButton="0" quotePrefix="0" xfId="0">
      <alignment horizontal="center" vertical="center" readingOrder="2"/>
    </xf>
    <xf numFmtId="0" fontId="0" fillId="12" borderId="3" pivotButton="0" quotePrefix="0" xfId="0"/>
    <xf numFmtId="167" fontId="33" fillId="12" borderId="4" applyAlignment="1" pivotButton="0" quotePrefix="0" xfId="0">
      <alignment horizontal="center" vertical="center" readingOrder="2"/>
    </xf>
    <xf numFmtId="0" fontId="0" fillId="12" borderId="5" pivotButton="0" quotePrefix="0" xfId="0"/>
    <xf numFmtId="165" fontId="33" fillId="12" borderId="4" applyAlignment="1" pivotButton="0" quotePrefix="0" xfId="0">
      <alignment horizontal="center" vertical="center" readingOrder="2"/>
    </xf>
    <xf numFmtId="167" fontId="34" fillId="12" borderId="4" applyAlignment="1" pivotButton="0" quotePrefix="0" xfId="0">
      <alignment horizontal="center" vertical="center" readingOrder="2"/>
    </xf>
    <xf numFmtId="167" fontId="35" fillId="12" borderId="4" applyAlignment="1" pivotButton="0" quotePrefix="0" xfId="0">
      <alignment horizontal="center" vertical="center" readingOrder="2"/>
    </xf>
    <xf numFmtId="165" fontId="36" fillId="12" borderId="4" applyAlignment="1" pivotButton="0" quotePrefix="0" xfId="0">
      <alignment horizontal="center" vertical="center" readingOrder="2"/>
    </xf>
    <xf numFmtId="165" fontId="34" fillId="12" borderId="4" applyAlignment="1" pivotButton="0" quotePrefix="0" xfId="0">
      <alignment horizontal="center" vertical="center" readingOrder="2"/>
    </xf>
    <xf numFmtId="165" fontId="35" fillId="12" borderId="4" applyAlignment="1" pivotButton="0" quotePrefix="0" xfId="0">
      <alignment horizontal="center" vertical="center" readingOrder="2"/>
    </xf>
    <xf numFmtId="164" fontId="36" fillId="12" borderId="4" applyAlignment="1" pivotButton="0" quotePrefix="0" xfId="0">
      <alignment horizontal="center" vertical="center" readingOrder="2"/>
    </xf>
    <xf numFmtId="0" fontId="3" fillId="2" borderId="0" applyAlignment="1" pivotButton="0" quotePrefix="0" xfId="0">
      <alignment horizontal="center" vertical="center" wrapText="1" readingOrder="2"/>
    </xf>
    <xf numFmtId="165" fontId="10" fillId="0" borderId="1" applyAlignment="1" pivotButton="0" quotePrefix="0" xfId="0">
      <alignment horizontal="center" vertical="center" readingOrder="2"/>
    </xf>
    <xf numFmtId="165" fontId="10" fillId="0" borderId="1" applyAlignment="1" pivotButton="0" quotePrefix="0" xfId="0">
      <alignment horizontal="right" vertical="center" readingOrder="2"/>
    </xf>
    <xf numFmtId="0" fontId="0" fillId="0" borderId="8" pivotButton="0" quotePrefix="0" xfId="0"/>
    <xf numFmtId="164" fontId="10" fillId="0" borderId="1" applyAlignment="1" pivotButton="0" quotePrefix="0" xfId="0">
      <alignment horizontal="center" vertical="center" readingOrder="2"/>
    </xf>
    <xf numFmtId="0" fontId="37" fillId="2" borderId="0" applyAlignment="1" pivotButton="0" quotePrefix="0" xfId="0">
      <alignment horizontal="center" vertical="center" readingOrder="2"/>
    </xf>
    <xf numFmtId="0" fontId="18" fillId="4" borderId="1" applyAlignment="1" pivotButton="0" quotePrefix="0" xfId="0">
      <alignment horizontal="right" vertical="center" wrapText="1" readingOrder="2"/>
    </xf>
    <xf numFmtId="0" fontId="10" fillId="13" borderId="1" applyAlignment="1" pivotButton="0" quotePrefix="0" xfId="0">
      <alignment horizontal="right" vertical="center" wrapText="1" readingOrder="2"/>
    </xf>
    <xf numFmtId="0" fontId="18" fillId="2" borderId="1" applyAlignment="1" pivotButton="0" quotePrefix="0" xfId="0">
      <alignment horizontal="right" vertical="center" wrapText="1" readingOrder="2"/>
    </xf>
    <xf numFmtId="0" fontId="10" fillId="12" borderId="1" applyAlignment="1" pivotButton="0" quotePrefix="0" xfId="0">
      <alignment horizontal="right" vertical="center" wrapText="1" readingOrder="2"/>
    </xf>
    <xf numFmtId="0" fontId="9" fillId="0" borderId="0" pivotButton="0" quotePrefix="0" xfId="0"/>
    <xf numFmtId="0" fontId="7" fillId="2" borderId="0" applyAlignment="1" pivotButton="0" quotePrefix="0" xfId="0">
      <alignment horizontal="right" vertical="center" readingOrder="2"/>
    </xf>
    <xf numFmtId="0" fontId="8" fillId="4" borderId="0" applyAlignment="1" pivotButton="0" quotePrefix="0" xfId="0">
      <alignment horizontal="right" vertical="center" readingOrder="2"/>
    </xf>
    <xf numFmtId="0" fontId="2" fillId="0" borderId="0" pivotButton="0" quotePrefix="0" xfId="0"/>
    <xf numFmtId="0" fontId="3" fillId="4" borderId="1" applyAlignment="1" pivotButton="0" quotePrefix="0" xfId="0">
      <alignment horizontal="center" vertical="center" wrapText="1" readingOrder="2"/>
    </xf>
    <xf numFmtId="0" fontId="3" fillId="2" borderId="1" applyAlignment="1" pivotButton="0" quotePrefix="0" xfId="0">
      <alignment horizontal="center" vertical="center" wrapText="1" readingOrder="2"/>
    </xf>
    <xf numFmtId="0" fontId="10" fillId="5" borderId="1" applyAlignment="1" pivotButton="0" quotePrefix="0" xfId="0">
      <alignment horizontal="center" vertical="center" readingOrder="2"/>
    </xf>
    <xf numFmtId="0" fontId="6" fillId="3" borderId="1" applyAlignment="1" pivotButton="0" quotePrefix="0" xfId="0">
      <alignment horizontal="right" vertical="center" readingOrder="2"/>
    </xf>
    <xf numFmtId="165" fontId="6" fillId="3" borderId="1" applyAlignment="1" pivotButton="0" quotePrefix="0" xfId="0">
      <alignment horizontal="right" vertical="center" readingOrder="2"/>
    </xf>
    <xf numFmtId="166" fontId="10" fillId="5" borderId="1" applyAlignment="1" pivotButton="0" quotePrefix="0" xfId="0">
      <alignment horizontal="center" vertical="center" readingOrder="2"/>
    </xf>
    <xf numFmtId="167" fontId="6" fillId="3" borderId="1" applyAlignment="1" pivotButton="0" quotePrefix="0" xfId="0">
      <alignment horizontal="center" vertical="center" readingOrder="2"/>
    </xf>
    <xf numFmtId="164" fontId="6" fillId="3" borderId="1" applyAlignment="1" pivotButton="0" quotePrefix="0" xfId="0">
      <alignment horizontal="right" vertical="center" readingOrder="2"/>
    </xf>
    <xf numFmtId="164" fontId="10" fillId="5" borderId="1" applyAlignment="1" pivotButton="0" quotePrefix="0" xfId="0">
      <alignment horizontal="right" vertical="center" readingOrder="2"/>
    </xf>
    <xf numFmtId="165" fontId="10" fillId="5" borderId="1" applyAlignment="1" pivotButton="0" quotePrefix="0" xfId="0">
      <alignment horizontal="right" vertical="center" readingOrder="2"/>
    </xf>
    <xf numFmtId="166" fontId="6" fillId="3" borderId="1" applyAlignment="1" pivotButton="0" quotePrefix="0" xfId="0">
      <alignment horizontal="center" vertical="center" readingOrder="2"/>
    </xf>
    <xf numFmtId="167" fontId="10" fillId="5" borderId="1" applyAlignment="1" pivotButton="0" quotePrefix="0" xfId="0">
      <alignment horizontal="center" vertical="center" readingOrder="2"/>
    </xf>
    <xf numFmtId="0" fontId="10" fillId="5" borderId="1" applyAlignment="1" pivotButton="0" quotePrefix="0" xfId="0">
      <alignment horizontal="right" vertical="center" readingOrder="2"/>
    </xf>
    <xf numFmtId="0" fontId="6" fillId="3" borderId="1" applyAlignment="1" pivotButton="0" quotePrefix="0" xfId="0">
      <alignment horizontal="center" vertical="center" readingOrder="2"/>
    </xf>
    <xf numFmtId="1" fontId="6" fillId="3" borderId="1" applyAlignment="1" pivotButton="0" quotePrefix="0" xfId="0">
      <alignment horizontal="center" vertical="center" readingOrder="2"/>
    </xf>
    <xf numFmtId="0" fontId="11" fillId="0" borderId="0" pivotButton="0" quotePrefix="0" xfId="0"/>
    <xf numFmtId="0" fontId="12" fillId="3" borderId="1" applyAlignment="1" pivotButton="0" quotePrefix="0" xfId="0">
      <alignment horizontal="center" vertical="center" readingOrder="2"/>
    </xf>
    <xf numFmtId="0" fontId="13" fillId="0" borderId="0" pivotButton="0" quotePrefix="0" xfId="0"/>
    <xf numFmtId="0" fontId="14" fillId="5" borderId="0" applyAlignment="1" pivotButton="0" quotePrefix="0" xfId="0">
      <alignment horizontal="center" vertical="center" readingOrder="2"/>
    </xf>
    <xf numFmtId="0" fontId="15" fillId="0" borderId="0" applyAlignment="1" pivotButton="0" quotePrefix="0" xfId="0">
      <alignment horizontal="center" vertical="center" readingOrder="2"/>
    </xf>
    <xf numFmtId="0" fontId="4" fillId="0" borderId="0" applyAlignment="1" pivotButton="0" quotePrefix="0" xfId="0">
      <alignment horizontal="right" vertical="center" readingOrder="2"/>
    </xf>
    <xf numFmtId="0" fontId="17" fillId="0" borderId="0" applyAlignment="1" pivotButton="0" quotePrefix="0" xfId="0">
      <alignment horizontal="center" vertical="center" readingOrder="2"/>
    </xf>
    <xf numFmtId="0" fontId="16" fillId="0" borderId="0" applyAlignment="1" pivotButton="0" quotePrefix="0" xfId="0">
      <alignment horizontal="center" vertical="center" readingOrder="2"/>
    </xf>
    <xf numFmtId="166" fontId="17" fillId="0" borderId="0" applyAlignment="1" pivotButton="0" quotePrefix="0" xfId="0">
      <alignment horizontal="center" vertical="center" readingOrder="2"/>
    </xf>
    <xf numFmtId="165" fontId="19" fillId="0" borderId="0" applyAlignment="1" pivotButton="0" quotePrefix="0" xfId="0">
      <alignment horizontal="center" vertical="center" readingOrder="2"/>
    </xf>
    <xf numFmtId="0" fontId="20" fillId="0" borderId="0" applyAlignment="1" pivotButton="0" quotePrefix="0" xfId="0">
      <alignment horizontal="center" vertical="center" readingOrder="2"/>
    </xf>
    <xf numFmtId="0" fontId="21" fillId="7" borderId="1" applyAlignment="1" pivotButton="0" quotePrefix="0" xfId="0">
      <alignment horizontal="right" vertical="center" readingOrder="2"/>
    </xf>
    <xf numFmtId="0" fontId="0" fillId="0" borderId="1" applyAlignment="1" pivotButton="0" quotePrefix="0" xfId="0">
      <alignment horizontal="right" vertical="center" readingOrder="2"/>
    </xf>
    <xf numFmtId="0" fontId="22" fillId="0" borderId="1" applyAlignment="1" pivotButton="0" quotePrefix="0" xfId="0">
      <alignment horizontal="right" vertical="center" readingOrder="2"/>
    </xf>
    <xf numFmtId="0" fontId="23" fillId="0" borderId="0" applyAlignment="1" pivotButton="0" quotePrefix="0" xfId="0">
      <alignment horizontal="center" vertical="center" readingOrder="2"/>
    </xf>
    <xf numFmtId="0" fontId="0" fillId="0" borderId="0" applyAlignment="1" pivotButton="0" quotePrefix="0" xfId="0">
      <alignment horizontal="center" vertical="center" readingOrder="2"/>
    </xf>
    <xf numFmtId="0" fontId="24" fillId="0" borderId="0" applyAlignment="1" pivotButton="0" quotePrefix="0" xfId="0">
      <alignment horizontal="center" vertical="center" readingOrder="2"/>
    </xf>
    <xf numFmtId="0" fontId="26" fillId="0" borderId="0" applyAlignment="1" pivotButton="0" quotePrefix="0" xfId="0">
      <alignment horizontal="center" vertical="center" readingOrder="2"/>
    </xf>
    <xf numFmtId="0" fontId="25" fillId="0" borderId="0" applyAlignment="1" pivotButton="0" quotePrefix="0" xfId="0">
      <alignment horizontal="center" vertical="center" readingOrder="2"/>
    </xf>
    <xf numFmtId="166" fontId="26" fillId="0" borderId="0" applyAlignment="1" pivotButton="0" quotePrefix="0" xfId="0">
      <alignment horizontal="center" vertical="center" readingOrder="2"/>
    </xf>
    <xf numFmtId="165" fontId="27" fillId="0" borderId="0" applyAlignment="1" pivotButton="0" quotePrefix="0" xfId="0">
      <alignment horizontal="center" vertical="center" readingOrder="2"/>
    </xf>
    <xf numFmtId="0" fontId="1" fillId="0" borderId="0" pivotButton="0" quotePrefix="0" xfId="0"/>
    <xf numFmtId="0" fontId="3" fillId="2" borderId="0" applyAlignment="1" pivotButton="0" quotePrefix="0" xfId="0">
      <alignment horizontal="center" vertical="center" readingOrder="2"/>
    </xf>
    <xf numFmtId="0" fontId="4" fillId="0" borderId="1" applyAlignment="1" pivotButton="0" quotePrefix="0" xfId="0">
      <alignment horizontal="right" vertical="center" wrapText="1" readingOrder="2"/>
    </xf>
    <xf numFmtId="49" fontId="5" fillId="3" borderId="1" applyAlignment="1" pivotButton="0" quotePrefix="0" xfId="0">
      <alignment horizontal="right" vertical="center" wrapText="1" readingOrder="2"/>
    </xf>
    <xf numFmtId="0" fontId="2" fillId="0" borderId="1" applyAlignment="1" pivotButton="0" quotePrefix="0" xfId="0">
      <alignment horizontal="right" vertical="center" wrapText="1" readingOrder="2"/>
    </xf>
    <xf numFmtId="164" fontId="5" fillId="3" borderId="1" applyAlignment="1" pivotButton="0" quotePrefix="0" xfId="0">
      <alignment horizontal="right" vertical="center" wrapText="1" readingOrder="2"/>
    </xf>
    <xf numFmtId="1" fontId="5" fillId="3" borderId="1" applyAlignment="1" pivotButton="0" quotePrefix="0" xfId="0">
      <alignment horizontal="right" vertical="center" wrapText="1" readingOrder="2"/>
    </xf>
    <xf numFmtId="0" fontId="3" fillId="4" borderId="0" applyAlignment="1" pivotButton="0" quotePrefix="0" xfId="0">
      <alignment horizontal="center" vertical="center" readingOrder="2"/>
    </xf>
    <xf numFmtId="0" fontId="6" fillId="3" borderId="1" pivotButton="0" quotePrefix="0" xfId="0"/>
  </cellXfs>
  <cellStyles count="1">
    <cellStyle name="Normal" xfId="0" builtinId="0" hidden="0"/>
  </cellStyles>
  <dxfs count="3">
    <dxf>
      <font>
        <name val="Arial"/>
        <b val="1"/>
        <color rgb="00C62828"/>
      </font>
      <fill>
        <patternFill patternType="solid">
          <fgColor rgb="00FDECEA"/>
          <bgColor rgb="00FDECEA"/>
        </patternFill>
      </fill>
    </dxf>
    <dxf>
      <font>
        <name val="Arial"/>
        <b val="1"/>
        <color rgb="009A6B00"/>
      </font>
      <fill>
        <patternFill patternType="solid">
          <fgColor rgb="00FFF3CD"/>
          <bgColor rgb="00FFF3CD"/>
        </patternFill>
      </fill>
    </dxf>
    <dxf>
      <font>
        <name val="Arial"/>
        <b val="1"/>
        <color rgb="002E7D32"/>
      </font>
      <fill>
        <patternFill patternType="solid">
          <fgColor rgb="00E8F5E9"/>
          <bgColor rgb="00E8F5E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المستخلصات مقابل المحصّل والمنصرف لكل مشروع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'الرئيسية'!F37</f>
            </strRef>
          </tx>
          <spPr>
            <a:solidFill xmlns:a="http://schemas.openxmlformats.org/drawingml/2006/main">
              <a:srgbClr val="2C5282"/>
            </a:solidFill>
            <a:ln xmlns:a="http://schemas.openxmlformats.org/drawingml/2006/main">
              <a:solidFill>
                <a:srgbClr val="2C5282"/>
              </a:solidFill>
              <a:prstDash val="solid"/>
            </a:ln>
          </spPr>
          <cat>
            <numRef>
              <f>'الرئيسية'!$B$38:$B$47</f>
            </numRef>
          </cat>
          <val>
            <numRef>
              <f>'الرئيسية'!$F$38:$F$47</f>
            </numRef>
          </val>
        </ser>
        <ser>
          <idx val="1"/>
          <order val="1"/>
          <tx>
            <strRef>
              <f>'الرئيسية'!H37</f>
            </strRef>
          </tx>
          <spPr>
            <a:solidFill xmlns:a="http://schemas.openxmlformats.org/drawingml/2006/main">
              <a:srgbClr val="2E7D32"/>
            </a:solidFill>
            <a:ln xmlns:a="http://schemas.openxmlformats.org/drawingml/2006/main">
              <a:solidFill>
                <a:srgbClr val="2E7D32"/>
              </a:solidFill>
              <a:prstDash val="solid"/>
            </a:ln>
          </spPr>
          <cat>
            <numRef>
              <f>'الرئيسية'!$B$38:$B$47</f>
            </numRef>
          </cat>
          <val>
            <numRef>
              <f>'الرئيسية'!$H$38:$H$47</f>
            </numRef>
          </val>
        </ser>
        <ser>
          <idx val="2"/>
          <order val="2"/>
          <tx>
            <strRef>
              <f>'الرئيسية'!I37</f>
            </strRef>
          </tx>
          <spPr>
            <a:solidFill xmlns:a="http://schemas.openxmlformats.org/drawingml/2006/main">
              <a:srgbClr val="C62828"/>
            </a:solidFill>
            <a:ln xmlns:a="http://schemas.openxmlformats.org/drawingml/2006/main">
              <a:solidFill>
                <a:srgbClr val="C62828"/>
              </a:solidFill>
              <a:prstDash val="solid"/>
            </a:ln>
          </spPr>
          <cat>
            <numRef>
              <f>'الرئيسية'!$B$38:$B$47</f>
            </numRef>
          </cat>
          <val>
            <numRef>
              <f>'الرئيسية'!$I$38:$I$47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49</row>
      <rowOff>0</rowOff>
    </from>
    <ext cx="86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1575;&#1604;&#1605;&#1588;&#1585;&#1608;&#1593;&#1575;&#1578;'!A1" TargetMode="External" Id="rId1"/><Relationship Type="http://schemas.openxmlformats.org/officeDocument/2006/relationships/hyperlink" Target="#'&#1575;&#1587;&#1578;&#1604;&#1575;&#1605; &#1575;&#1604;&#1605;&#1608;&#1575;&#1602;&#1593;'!A1" TargetMode="External" Id="rId2"/><Relationship Type="http://schemas.openxmlformats.org/officeDocument/2006/relationships/hyperlink" Target="#'&#1575;&#1593;&#1578;&#1605;&#1575;&#1583; &#1575;&#1604;&#1605;&#1608;&#1575;&#1583;'!A1" TargetMode="External" Id="rId3"/><Relationship Type="http://schemas.openxmlformats.org/officeDocument/2006/relationships/hyperlink" Target="#'&#1571;&#1608;&#1575;&#1605;&#1585; &#1575;&#1604;&#1578;&#1608;&#1585;&#1610;&#1583;'!A1" TargetMode="External" Id="rId4"/><Relationship Type="http://schemas.openxmlformats.org/officeDocument/2006/relationships/hyperlink" Target="#'&#1575;&#1587;&#1578;&#1604;&#1575;&#1605; &#1575;&#1604;&#1605;&#1608;&#1575;&#1583;'!A1" TargetMode="External" Id="rId5"/><Relationship Type="http://schemas.openxmlformats.org/officeDocument/2006/relationships/hyperlink" Target="#'&#1585;&#1589;&#1610;&#1583; &#1575;&#1604;&#1605;&#1582;&#1586;&#1606;'!A1" TargetMode="External" Id="rId6"/><Relationship Type="http://schemas.openxmlformats.org/officeDocument/2006/relationships/hyperlink" Target="#'&#1589;&#1585;&#1601; &#1575;&#1604;&#1605;&#1608;&#1575;&#1583;'!A1" TargetMode="External" Id="rId7"/><Relationship Type="http://schemas.openxmlformats.org/officeDocument/2006/relationships/hyperlink" Target="#'&#1591;&#1604;&#1576;&#1575;&#1578; &#1575;&#1604;&#1601;&#1581;&#1589;'!A1" TargetMode="External" Id="rId8"/><Relationship Type="http://schemas.openxmlformats.org/officeDocument/2006/relationships/hyperlink" Target="#'&#1593;&#1583;&#1605; &#1575;&#1604;&#1605;&#1591;&#1575;&#1576;&#1602;&#1577;'!A1" TargetMode="External" Id="rId9"/><Relationship Type="http://schemas.openxmlformats.org/officeDocument/2006/relationships/hyperlink" Target="#'&#1575;&#1604;&#1605;&#1587;&#1578;&#1582;&#1604;&#1589;&#1575;&#1578;'!A1" TargetMode="External" Id="rId10"/><Relationship Type="http://schemas.openxmlformats.org/officeDocument/2006/relationships/hyperlink" Target="#'&#1587;&#1606;&#1583;&#1575;&#1578; &#1575;&#1604;&#1602;&#1576;&#1590;'!A1" TargetMode="External" Id="rId11"/><Relationship Type="http://schemas.openxmlformats.org/officeDocument/2006/relationships/hyperlink" Target="#'&#1587;&#1606;&#1583;&#1575;&#1578; &#1575;&#1604;&#1589;&#1585;&#1601;'!A1" TargetMode="External" Id="rId12"/><Relationship Type="http://schemas.openxmlformats.org/officeDocument/2006/relationships/hyperlink" Target="#'&#1605;&#1604;&#1575;&#1581;&#1592;&#1575;&#1578; &#1575;&#1604;&#1578;&#1587;&#1604;&#1610;&#1605;'!A1" TargetMode="External" Id="rId13"/><Relationship Type="http://schemas.openxmlformats.org/officeDocument/2006/relationships/hyperlink" Target="#'&#1591;&#1576;&#1575;&#1593;&#1577; &#1587;&#1606;&#1583; &#1602;&#1576;&#1590;'!A1" TargetMode="External" Id="rId14"/><Relationship Type="http://schemas.openxmlformats.org/officeDocument/2006/relationships/hyperlink" Target="#'&#1591;&#1576;&#1575;&#1593;&#1577; &#1587;&#1606;&#1583; &#1589;&#1585;&#1601;'!A1" TargetMode="External" Id="rId15"/><Relationship Type="http://schemas.openxmlformats.org/officeDocument/2006/relationships/hyperlink" Target="#'&#1575;&#1604;&#1602;&#1608;&#1575;&#1574;&#1605; &#1608;&#1575;&#1604;&#1573;&#1593;&#1583;&#1575;&#1583;&#1575;&#1578;'!A1" TargetMode="External" Id="rId16"/><Relationship Type="http://schemas.openxmlformats.org/officeDocument/2006/relationships/drawing" Target="/xl/drawings/drawing1.xml" Id="rId17"/></Relationships>
</file>

<file path=xl/worksheets/_rels/sheet2.xml.rels><Relationships xmlns="http://schemas.openxmlformats.org/package/2006/relationships"><Relationship Type="http://schemas.openxmlformats.org/officeDocument/2006/relationships/hyperlink" Target="#'&#1575;&#1604;&#1585;&#1574;&#1610;&#1587;&#1610;&#1577;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&#1575;&#1604;&#1585;&#1574;&#1610;&#1587;&#1610;&#1577;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&#1575;&#1604;&#1585;&#1574;&#1610;&#1587;&#1610;&#1577;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&#1575;&#1604;&#1585;&#1574;&#1610;&#1587;&#1610;&#1577;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&#1575;&#1604;&#1585;&#1574;&#1610;&#1587;&#1610;&#1577;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&#1575;&#1604;&#1585;&#1574;&#1610;&#1587;&#1610;&#1577;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&#1575;&#1604;&#1585;&#1574;&#1610;&#1587;&#1610;&#1577;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&#1575;&#1604;&#1585;&#1574;&#1610;&#1587;&#1610;&#1577;'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&#1575;&#1604;&#1585;&#1574;&#1610;&#1587;&#1610;&#1577;'!A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'&#1575;&#1604;&#1585;&#1574;&#1610;&#1587;&#1610;&#1577;'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'&#1575;&#1604;&#1585;&#1574;&#1610;&#1587;&#1610;&#1577;'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'&#1575;&#1604;&#1585;&#1574;&#1610;&#1587;&#1610;&#1577;'!A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#'&#1575;&#1604;&#1585;&#1574;&#1610;&#1587;&#1610;&#1577;'!A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#'&#1575;&#1604;&#1585;&#1574;&#1610;&#1587;&#1610;&#1577;'!A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#'&#1575;&#1604;&#1585;&#1574;&#1610;&#1587;&#1610;&#1577;'!A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#'&#1575;&#1604;&#1585;&#1574;&#1610;&#1587;&#1610;&#1577;'!A1" TargetMode="External" Id="rId1"/></Relationships>
</file>

<file path=xl/worksheets/sheet1.xml><?xml version="1.0" encoding="utf-8"?>
<worksheet xmlns="http://schemas.openxmlformats.org/spreadsheetml/2006/main">
  <sheetPr>
    <tabColor rgb="001F3A5F"/>
    <outlinePr summaryBelow="1" summaryRight="1"/>
    <pageSetUpPr/>
  </sheetPr>
  <dimension ref="B1:L47"/>
  <sheetViews>
    <sheetView showGridLines="0" rightToLeft="1" workbookViewId="0">
      <selection activeCell="A1" sqref="A1"/>
    </sheetView>
  </sheetViews>
  <sheetFormatPr baseColWidth="8" defaultRowHeight="15"/>
  <cols>
    <col width="2" customWidth="1" min="1" max="1"/>
    <col width="17" customWidth="1" min="2" max="2"/>
    <col width="17" customWidth="1" min="3" max="3"/>
    <col width="3" customWidth="1" min="4" max="4"/>
    <col width="17" customWidth="1" min="5" max="5"/>
    <col width="17" customWidth="1" min="6" max="6"/>
    <col width="3" customWidth="1" min="7" max="7"/>
    <col width="17" customWidth="1" min="8" max="8"/>
    <col width="17" customWidth="1" min="9" max="9"/>
    <col width="3" customWidth="1" min="10" max="10"/>
    <col width="17" customWidth="1" min="11" max="11"/>
    <col width="17" customWidth="1" min="12" max="12"/>
    <col width="2" customWidth="1" min="13" max="13"/>
  </cols>
  <sheetData>
    <row r="1" ht="44" customHeight="1">
      <c r="B1" s="1">
        <f>S_Company</f>
        <v/>
      </c>
    </row>
    <row r="2" ht="24" customHeight="1">
      <c r="B2" s="2">
        <f>"نظام إدارة المشروعات والمواقع  •  من استلام الموقع إلى التسليم النهائي  •  تحديث: "&amp;TEXT(TODAY(),"yyyy/mm/dd")</f>
        <v/>
      </c>
    </row>
    <row r="4">
      <c r="B4" s="3" t="inlineStr">
        <is>
          <t>دورة العمل – اضغط على أي مرحلة للانتقال</t>
        </is>
      </c>
    </row>
    <row r="5" ht="28" customHeight="1">
      <c r="B5" s="4" t="inlineStr">
        <is>
          <t>① المشروعات</t>
        </is>
      </c>
      <c r="E5" s="5" t="inlineStr">
        <is>
          <t>② استلام الموقع</t>
        </is>
      </c>
      <c r="H5" s="6" t="inlineStr">
        <is>
          <t>③ اعتماد المواد</t>
        </is>
      </c>
      <c r="K5" s="6" t="inlineStr">
        <is>
          <t>④ أوامر التوريد</t>
        </is>
      </c>
    </row>
    <row r="7" ht="28" customHeight="1">
      <c r="B7" s="6" t="inlineStr">
        <is>
          <t>⑤ استلام المواد</t>
        </is>
      </c>
      <c r="E7" s="6" t="inlineStr">
        <is>
          <t>⑥ رصيد المخزن</t>
        </is>
      </c>
      <c r="H7" s="6" t="inlineStr">
        <is>
          <t>⑦ صرف المواد</t>
        </is>
      </c>
      <c r="K7" s="7" t="inlineStr">
        <is>
          <t>⑧ طلبات الفحص</t>
        </is>
      </c>
    </row>
    <row r="9" ht="28" customHeight="1">
      <c r="B9" s="7" t="inlineStr">
        <is>
          <t>⑨ عدم المطابقة</t>
        </is>
      </c>
      <c r="E9" s="8" t="inlineStr">
        <is>
          <t>⑩ المستخلصات</t>
        </is>
      </c>
      <c r="H9" s="8" t="inlineStr">
        <is>
          <t>⑪ سندات القبض</t>
        </is>
      </c>
      <c r="K9" s="9" t="inlineStr">
        <is>
          <t>⑫ سندات الصرف</t>
        </is>
      </c>
    </row>
    <row r="11" ht="28" customHeight="1">
      <c r="B11" s="10" t="inlineStr">
        <is>
          <t>⑬ ملاحظات التسليم</t>
        </is>
      </c>
      <c r="E11" s="8" t="inlineStr">
        <is>
          <t>🖨 طباعة سند قبض</t>
        </is>
      </c>
      <c r="H11" s="9" t="inlineStr">
        <is>
          <t>🖨 طباعة سند صرف</t>
        </is>
      </c>
      <c r="K11" s="4" t="inlineStr">
        <is>
          <t>⚙ القوائم والإعدادات</t>
        </is>
      </c>
    </row>
    <row r="14" ht="22" customHeight="1">
      <c r="B14" s="11" t="inlineStr">
        <is>
          <t xml:space="preserve">  المشروعات والتسليم</t>
        </is>
      </c>
    </row>
    <row r="15">
      <c r="B15" s="12" t="inlineStr">
        <is>
          <t>عدد المشروعات</t>
        </is>
      </c>
      <c r="C15" s="13" t="n"/>
      <c r="E15" s="12" t="inlineStr">
        <is>
          <t>إجمالي قيم العقود</t>
        </is>
      </c>
      <c r="F15" s="13" t="n"/>
      <c r="H15" s="12" t="inlineStr">
        <is>
          <t>مشروعات متأخرة</t>
        </is>
      </c>
      <c r="I15" s="13" t="n"/>
      <c r="K15" s="12" t="inlineStr">
        <is>
          <t>ملاحظات تسليم مفتوحة</t>
        </is>
      </c>
      <c r="L15" s="13" t="n"/>
    </row>
    <row r="16" ht="30" customHeight="1">
      <c r="B16" s="14">
        <f>COUNTA('المشروعات'!$B$5:$B$304)</f>
        <v/>
      </c>
      <c r="C16" s="15" t="n"/>
      <c r="E16" s="16">
        <f>SUM('المشروعات'!$F$5:$F$304)</f>
        <v/>
      </c>
      <c r="F16" s="15" t="n"/>
      <c r="H16" s="17">
        <f>COUNTIF('المشروعات'!$U$5:$U$304,"متأخر*")</f>
        <v/>
      </c>
      <c r="I16" s="15" t="n"/>
      <c r="K16" s="18">
        <f>COUNTIF('ملاحظات التسليم'!$K$5:$K$304,"مفتوح*")</f>
        <v/>
      </c>
      <c r="L16" s="15" t="n"/>
    </row>
    <row r="18" ht="22" customHeight="1">
      <c r="B18" s="11" t="inlineStr">
        <is>
          <t xml:space="preserve">  الاعتمادات والتوريد والمخزن</t>
        </is>
      </c>
    </row>
    <row r="19">
      <c r="B19" s="12" t="inlineStr">
        <is>
          <t>طلبات اعتماد معلقة</t>
        </is>
      </c>
      <c r="C19" s="13" t="n"/>
      <c r="E19" s="12" t="inlineStr">
        <is>
          <t>اعتمادات متأخرة الرد</t>
        </is>
      </c>
      <c r="F19" s="13" t="n"/>
      <c r="H19" s="12" t="inlineStr">
        <is>
          <t>أوامر توريد غير مكتملة</t>
        </is>
      </c>
      <c r="I19" s="13" t="n"/>
      <c r="K19" s="12" t="inlineStr">
        <is>
          <t>قيمة رصيد المخزن</t>
        </is>
      </c>
      <c r="L19" s="13" t="n"/>
    </row>
    <row r="20" ht="30" customHeight="1">
      <c r="B20" s="18">
        <f>COUNTIFS('اعتماد المواد'!$M$5:$M$304,"قيد المراجعة")</f>
        <v/>
      </c>
      <c r="C20" s="15" t="n"/>
      <c r="E20" s="17">
        <f>COUNTIFS('اعتماد المواد'!$O$5:$O$304,"متأخر*")</f>
        <v/>
      </c>
      <c r="F20" s="15" t="n"/>
      <c r="H20" s="18">
        <f>ROWS('أوامر التوريد'!$R$5:$R$304)-COUNTBLANK('أوامر التوريد'!$R$5:$R$304)-COUNTIF('أوامر التوريد'!$R$5:$R$304,"مكتمل")</f>
        <v/>
      </c>
      <c r="I20" s="15" t="n"/>
      <c r="K20" s="16">
        <f>SUM('رصيد المخزن'!$K$5:$K$304)</f>
        <v/>
      </c>
      <c r="L20" s="15" t="n"/>
    </row>
    <row r="22">
      <c r="B22" s="12" t="inlineStr">
        <is>
          <t>إجمالي أوامر التوريد</t>
        </is>
      </c>
      <c r="C22" s="13" t="n"/>
      <c r="E22" s="12" t="inlineStr">
        <is>
          <t>كميات مرفوضة (محاضر)</t>
        </is>
      </c>
      <c r="F22" s="13" t="n"/>
      <c r="H22" s="12" t="inlineStr">
        <is>
          <t>أصناف تحتاج إعادة طلب</t>
        </is>
      </c>
      <c r="I22" s="13" t="n"/>
      <c r="K22" s="12" t="inlineStr">
        <is>
          <t>أوامر لمواد غير معتمدة</t>
        </is>
      </c>
      <c r="L22" s="13" t="n"/>
    </row>
    <row r="23" ht="30" customHeight="1">
      <c r="B23" s="16">
        <f>SUM('أوامر التوريد'!$N$5:$N$304)</f>
        <v/>
      </c>
      <c r="C23" s="15" t="n"/>
      <c r="E23" s="17">
        <f>COUNTIF('استلام المواد'!$L$5:$L$304,"&gt;0")</f>
        <v/>
      </c>
      <c r="F23" s="15" t="n"/>
      <c r="H23" s="18">
        <f>COUNTIFS('رصيد المخزن'!$L$5:$L$304,"أعد الطلب")</f>
        <v/>
      </c>
      <c r="I23" s="15" t="n"/>
      <c r="K23" s="17">
        <f>COUNTIFS('أوامر التوريد'!$R$5:$R$304,"مادة غير معتمدة!")</f>
        <v/>
      </c>
      <c r="L23" s="15" t="n"/>
    </row>
    <row r="25" ht="22" customHeight="1">
      <c r="B25" s="11" t="inlineStr">
        <is>
          <t xml:space="preserve">  الجودة</t>
        </is>
      </c>
    </row>
    <row r="26">
      <c r="B26" s="12" t="inlineStr">
        <is>
          <t>طلبات فحص بانتظار الاستشاري</t>
        </is>
      </c>
      <c r="C26" s="13" t="n"/>
      <c r="E26" s="12" t="inlineStr">
        <is>
          <t>طلبات فحص مرفوضة</t>
        </is>
      </c>
      <c r="F26" s="13" t="n"/>
      <c r="H26" s="12" t="inlineStr">
        <is>
          <t>NCR مفتوحة</t>
        </is>
      </c>
      <c r="I26" s="13" t="n"/>
      <c r="K26" s="12" t="inlineStr">
        <is>
          <t>NCR متأخرة</t>
        </is>
      </c>
      <c r="L26" s="13" t="n"/>
    </row>
    <row r="27" ht="30" customHeight="1">
      <c r="B27" s="18">
        <f>COUNTIFS('طلبات الفحص'!$K$5:$K$304,"بانتظار الفحص")</f>
        <v/>
      </c>
      <c r="C27" s="15" t="n"/>
      <c r="E27" s="17">
        <f>COUNTIFS('طلبات الفحص'!$K$5:$K$304,"مرفوض")</f>
        <v/>
      </c>
      <c r="F27" s="15" t="n"/>
      <c r="H27" s="18">
        <f>COUNTIF('عدم المطابقة'!$L$5:$L$304,"مفتوح*")</f>
        <v/>
      </c>
      <c r="I27" s="15" t="n"/>
      <c r="K27" s="17">
        <f>COUNTIFS('عدم المطابقة'!$L$5:$L$304,"مفتوح – متأخر")</f>
        <v/>
      </c>
      <c r="L27" s="15" t="n"/>
    </row>
    <row r="29" ht="22" customHeight="1">
      <c r="B29" s="11" t="inlineStr">
        <is>
          <t xml:space="preserve">  الموقف المالي</t>
        </is>
      </c>
    </row>
    <row r="30">
      <c r="B30" s="12" t="inlineStr">
        <is>
          <t>إجمالي المستخلصات</t>
        </is>
      </c>
      <c r="C30" s="13" t="n"/>
      <c r="E30" s="12" t="inlineStr">
        <is>
          <t>إجمالي المقبوضات</t>
        </is>
      </c>
      <c r="F30" s="13" t="n"/>
      <c r="H30" s="12" t="inlineStr">
        <is>
          <t>إجمالي المدفوعات</t>
        </is>
      </c>
      <c r="I30" s="13" t="n"/>
      <c r="K30" s="12" t="inlineStr">
        <is>
          <t>صافي النقدية</t>
        </is>
      </c>
      <c r="L30" s="13" t="n"/>
    </row>
    <row r="31" ht="30" customHeight="1">
      <c r="B31" s="16">
        <f>SUM('المستخلصات'!$N$5:$N$304)</f>
        <v/>
      </c>
      <c r="C31" s="15" t="n"/>
      <c r="E31" s="19">
        <f>SUM('سندات القبض'!$K$5:$K$304)</f>
        <v/>
      </c>
      <c r="F31" s="15" t="n"/>
      <c r="H31" s="20">
        <f>SUM('سندات الصرف'!$L$5:$L$304)</f>
        <v/>
      </c>
      <c r="I31" s="15" t="n"/>
      <c r="K31" s="16">
        <f>SUM('سندات القبض'!$K$5:$K$304)-SUM('سندات الصرف'!$L$5:$L$304)</f>
        <v/>
      </c>
      <c r="L31" s="15" t="n"/>
    </row>
    <row r="33">
      <c r="B33" s="12" t="inlineStr">
        <is>
          <t>مستحقات لم تُحصّل</t>
        </is>
      </c>
      <c r="C33" s="13" t="n"/>
      <c r="E33" s="12" t="inlineStr">
        <is>
          <t>ضمان أعمال محتجز لدى الملاك</t>
        </is>
      </c>
      <c r="F33" s="13" t="n"/>
      <c r="H33" s="12" t="inlineStr">
        <is>
          <t>نسبة التحصيل</t>
        </is>
      </c>
      <c r="I33" s="13" t="n"/>
      <c r="K33" s="12" t="inlineStr">
        <is>
          <t>عدد السندات</t>
        </is>
      </c>
      <c r="L33" s="13" t="n"/>
    </row>
    <row r="34" ht="30" customHeight="1">
      <c r="B34" s="20">
        <f>SUM('المستخلصات'!$Q$5:$Q$304)</f>
        <v/>
      </c>
      <c r="C34" s="15" t="n"/>
      <c r="E34" s="21">
        <f>SUM('المستخلصات'!$I$5:$I$304)</f>
        <v/>
      </c>
      <c r="F34" s="15" t="n"/>
      <c r="H34" s="22">
        <f>IFERROR(SUM('المستخلصات'!$P$5:$P$304)/SUM('المستخلصات'!$N$5:$N$304),0)</f>
        <v/>
      </c>
      <c r="I34" s="15" t="n"/>
      <c r="K34" s="14">
        <f>COUNT('سندات القبض'!$K$5:$K$304)+COUNT('سندات الصرف'!$L$5:$L$304)</f>
        <v/>
      </c>
      <c r="L34" s="15" t="n"/>
    </row>
    <row r="36" ht="22" customHeight="1">
      <c r="B36" s="11" t="inlineStr">
        <is>
          <t xml:space="preserve">  ملخص المشروعات (أول 10)</t>
        </is>
      </c>
    </row>
    <row r="37" ht="30" customHeight="1">
      <c r="B37" s="23" t="inlineStr">
        <is>
          <t>كود المشروع</t>
        </is>
      </c>
      <c r="C37" s="23" t="inlineStr">
        <is>
          <t>اسم المشروع</t>
        </is>
      </c>
      <c r="E37" s="23" t="inlineStr">
        <is>
          <t>نسبة الإنجاز</t>
        </is>
      </c>
      <c r="F37" s="23" t="inlineStr">
        <is>
          <t>المستخلصات</t>
        </is>
      </c>
      <c r="H37" s="23" t="inlineStr">
        <is>
          <t>المحصّل</t>
        </is>
      </c>
      <c r="I37" s="23" t="inlineStr">
        <is>
          <t>المنصرف</t>
        </is>
      </c>
      <c r="K37" s="23" t="inlineStr">
        <is>
          <t>صافي النقدية</t>
        </is>
      </c>
      <c r="L37" s="23" t="inlineStr">
        <is>
          <t>الحالة</t>
        </is>
      </c>
    </row>
    <row r="38">
      <c r="B38" s="24">
        <f>IF('المشروعات'!$A$5="","",'المشروعات'!$A$5)</f>
        <v/>
      </c>
      <c r="C38" s="25">
        <f>IF('المشروعات'!$B$5="","",'المشروعات'!$B$5)</f>
        <v/>
      </c>
      <c r="D38" s="26" t="n"/>
      <c r="E38" s="27">
        <f>IF('المشروعات'!$J$5="","",'المشروعات'!$J$5)</f>
        <v/>
      </c>
      <c r="F38" s="25">
        <f>IF('المشروعات'!$L$5="","",'المشروعات'!$L$5)</f>
        <v/>
      </c>
      <c r="H38" s="25">
        <f>IF('المشروعات'!$M$5="","",'المشروعات'!$M$5)</f>
        <v/>
      </c>
      <c r="I38" s="25">
        <f>IF('المشروعات'!$N$5="","",'المشروعات'!$N$5)</f>
        <v/>
      </c>
      <c r="J38" s="26" t="n"/>
      <c r="K38" s="25">
        <f>IF('المشروعات'!$O$5="","",'المشروعات'!$O$5)</f>
        <v/>
      </c>
      <c r="L38" s="25">
        <f>IF('المشروعات'!$U$5="","",'المشروعات'!$U$5)</f>
        <v/>
      </c>
    </row>
    <row r="39">
      <c r="B39" s="24">
        <f>IF('المشروعات'!$A$6="","",'المشروعات'!$A$6)</f>
        <v/>
      </c>
      <c r="C39" s="25">
        <f>IF('المشروعات'!$B$6="","",'المشروعات'!$B$6)</f>
        <v/>
      </c>
      <c r="D39" s="26" t="n"/>
      <c r="E39" s="27">
        <f>IF('المشروعات'!$J$6="","",'المشروعات'!$J$6)</f>
        <v/>
      </c>
      <c r="F39" s="25">
        <f>IF('المشروعات'!$L$6="","",'المشروعات'!$L$6)</f>
        <v/>
      </c>
      <c r="H39" s="25">
        <f>IF('المشروعات'!$M$6="","",'المشروعات'!$M$6)</f>
        <v/>
      </c>
      <c r="I39" s="25">
        <f>IF('المشروعات'!$N$6="","",'المشروعات'!$N$6)</f>
        <v/>
      </c>
      <c r="J39" s="26" t="n"/>
      <c r="K39" s="25">
        <f>IF('المشروعات'!$O$6="","",'المشروعات'!$O$6)</f>
        <v/>
      </c>
      <c r="L39" s="25">
        <f>IF('المشروعات'!$U$6="","",'المشروعات'!$U$6)</f>
        <v/>
      </c>
    </row>
    <row r="40">
      <c r="B40" s="24">
        <f>IF('المشروعات'!$A$7="","",'المشروعات'!$A$7)</f>
        <v/>
      </c>
      <c r="C40" s="25">
        <f>IF('المشروعات'!$B$7="","",'المشروعات'!$B$7)</f>
        <v/>
      </c>
      <c r="D40" s="26" t="n"/>
      <c r="E40" s="27">
        <f>IF('المشروعات'!$J$7="","",'المشروعات'!$J$7)</f>
        <v/>
      </c>
      <c r="F40" s="25">
        <f>IF('المشروعات'!$L$7="","",'المشروعات'!$L$7)</f>
        <v/>
      </c>
      <c r="H40" s="25">
        <f>IF('المشروعات'!$M$7="","",'المشروعات'!$M$7)</f>
        <v/>
      </c>
      <c r="I40" s="25">
        <f>IF('المشروعات'!$N$7="","",'المشروعات'!$N$7)</f>
        <v/>
      </c>
      <c r="J40" s="26" t="n"/>
      <c r="K40" s="25">
        <f>IF('المشروعات'!$O$7="","",'المشروعات'!$O$7)</f>
        <v/>
      </c>
      <c r="L40" s="25">
        <f>IF('المشروعات'!$U$7="","",'المشروعات'!$U$7)</f>
        <v/>
      </c>
    </row>
    <row r="41">
      <c r="B41" s="24">
        <f>IF('المشروعات'!$A$8="","",'المشروعات'!$A$8)</f>
        <v/>
      </c>
      <c r="C41" s="25">
        <f>IF('المشروعات'!$B$8="","",'المشروعات'!$B$8)</f>
        <v/>
      </c>
      <c r="D41" s="26" t="n"/>
      <c r="E41" s="27">
        <f>IF('المشروعات'!$J$8="","",'المشروعات'!$J$8)</f>
        <v/>
      </c>
      <c r="F41" s="25">
        <f>IF('المشروعات'!$L$8="","",'المشروعات'!$L$8)</f>
        <v/>
      </c>
      <c r="H41" s="25">
        <f>IF('المشروعات'!$M$8="","",'المشروعات'!$M$8)</f>
        <v/>
      </c>
      <c r="I41" s="25">
        <f>IF('المشروعات'!$N$8="","",'المشروعات'!$N$8)</f>
        <v/>
      </c>
      <c r="J41" s="26" t="n"/>
      <c r="K41" s="25">
        <f>IF('المشروعات'!$O$8="","",'المشروعات'!$O$8)</f>
        <v/>
      </c>
      <c r="L41" s="25">
        <f>IF('المشروعات'!$U$8="","",'المشروعات'!$U$8)</f>
        <v/>
      </c>
    </row>
    <row r="42">
      <c r="B42" s="24">
        <f>IF('المشروعات'!$A$9="","",'المشروعات'!$A$9)</f>
        <v/>
      </c>
      <c r="C42" s="25">
        <f>IF('المشروعات'!$B$9="","",'المشروعات'!$B$9)</f>
        <v/>
      </c>
      <c r="D42" s="26" t="n"/>
      <c r="E42" s="27">
        <f>IF('المشروعات'!$J$9="","",'المشروعات'!$J$9)</f>
        <v/>
      </c>
      <c r="F42" s="25">
        <f>IF('المشروعات'!$L$9="","",'المشروعات'!$L$9)</f>
        <v/>
      </c>
      <c r="H42" s="25">
        <f>IF('المشروعات'!$M$9="","",'المشروعات'!$M$9)</f>
        <v/>
      </c>
      <c r="I42" s="25">
        <f>IF('المشروعات'!$N$9="","",'المشروعات'!$N$9)</f>
        <v/>
      </c>
      <c r="J42" s="26" t="n"/>
      <c r="K42" s="25">
        <f>IF('المشروعات'!$O$9="","",'المشروعات'!$O$9)</f>
        <v/>
      </c>
      <c r="L42" s="25">
        <f>IF('المشروعات'!$U$9="","",'المشروعات'!$U$9)</f>
        <v/>
      </c>
    </row>
    <row r="43">
      <c r="B43" s="24">
        <f>IF('المشروعات'!$A$10="","",'المشروعات'!$A$10)</f>
        <v/>
      </c>
      <c r="C43" s="25">
        <f>IF('المشروعات'!$B$10="","",'المشروعات'!$B$10)</f>
        <v/>
      </c>
      <c r="D43" s="26" t="n"/>
      <c r="E43" s="27">
        <f>IF('المشروعات'!$J$10="","",'المشروعات'!$J$10)</f>
        <v/>
      </c>
      <c r="F43" s="25">
        <f>IF('المشروعات'!$L$10="","",'المشروعات'!$L$10)</f>
        <v/>
      </c>
      <c r="H43" s="25">
        <f>IF('المشروعات'!$M$10="","",'المشروعات'!$M$10)</f>
        <v/>
      </c>
      <c r="I43" s="25">
        <f>IF('المشروعات'!$N$10="","",'المشروعات'!$N$10)</f>
        <v/>
      </c>
      <c r="J43" s="26" t="n"/>
      <c r="K43" s="25">
        <f>IF('المشروعات'!$O$10="","",'المشروعات'!$O$10)</f>
        <v/>
      </c>
      <c r="L43" s="25">
        <f>IF('المشروعات'!$U$10="","",'المشروعات'!$U$10)</f>
        <v/>
      </c>
    </row>
    <row r="44">
      <c r="B44" s="24">
        <f>IF('المشروعات'!$A$11="","",'المشروعات'!$A$11)</f>
        <v/>
      </c>
      <c r="C44" s="25">
        <f>IF('المشروعات'!$B$11="","",'المشروعات'!$B$11)</f>
        <v/>
      </c>
      <c r="D44" s="26" t="n"/>
      <c r="E44" s="27">
        <f>IF('المشروعات'!$J$11="","",'المشروعات'!$J$11)</f>
        <v/>
      </c>
      <c r="F44" s="25">
        <f>IF('المشروعات'!$L$11="","",'المشروعات'!$L$11)</f>
        <v/>
      </c>
      <c r="H44" s="25">
        <f>IF('المشروعات'!$M$11="","",'المشروعات'!$M$11)</f>
        <v/>
      </c>
      <c r="I44" s="25">
        <f>IF('المشروعات'!$N$11="","",'المشروعات'!$N$11)</f>
        <v/>
      </c>
      <c r="J44" s="26" t="n"/>
      <c r="K44" s="25">
        <f>IF('المشروعات'!$O$11="","",'المشروعات'!$O$11)</f>
        <v/>
      </c>
      <c r="L44" s="25">
        <f>IF('المشروعات'!$U$11="","",'المشروعات'!$U$11)</f>
        <v/>
      </c>
    </row>
    <row r="45">
      <c r="B45" s="24">
        <f>IF('المشروعات'!$A$12="","",'المشروعات'!$A$12)</f>
        <v/>
      </c>
      <c r="C45" s="25">
        <f>IF('المشروعات'!$B$12="","",'المشروعات'!$B$12)</f>
        <v/>
      </c>
      <c r="D45" s="26" t="n"/>
      <c r="E45" s="27">
        <f>IF('المشروعات'!$J$12="","",'المشروعات'!$J$12)</f>
        <v/>
      </c>
      <c r="F45" s="25">
        <f>IF('المشروعات'!$L$12="","",'المشروعات'!$L$12)</f>
        <v/>
      </c>
      <c r="H45" s="25">
        <f>IF('المشروعات'!$M$12="","",'المشروعات'!$M$12)</f>
        <v/>
      </c>
      <c r="I45" s="25">
        <f>IF('المشروعات'!$N$12="","",'المشروعات'!$N$12)</f>
        <v/>
      </c>
      <c r="J45" s="26" t="n"/>
      <c r="K45" s="25">
        <f>IF('المشروعات'!$O$12="","",'المشروعات'!$O$12)</f>
        <v/>
      </c>
      <c r="L45" s="25">
        <f>IF('المشروعات'!$U$12="","",'المشروعات'!$U$12)</f>
        <v/>
      </c>
    </row>
    <row r="46">
      <c r="B46" s="24">
        <f>IF('المشروعات'!$A$13="","",'المشروعات'!$A$13)</f>
        <v/>
      </c>
      <c r="C46" s="25">
        <f>IF('المشروعات'!$B$13="","",'المشروعات'!$B$13)</f>
        <v/>
      </c>
      <c r="D46" s="26" t="n"/>
      <c r="E46" s="27">
        <f>IF('المشروعات'!$J$13="","",'المشروعات'!$J$13)</f>
        <v/>
      </c>
      <c r="F46" s="25">
        <f>IF('المشروعات'!$L$13="","",'المشروعات'!$L$13)</f>
        <v/>
      </c>
      <c r="H46" s="25">
        <f>IF('المشروعات'!$M$13="","",'المشروعات'!$M$13)</f>
        <v/>
      </c>
      <c r="I46" s="25">
        <f>IF('المشروعات'!$N$13="","",'المشروعات'!$N$13)</f>
        <v/>
      </c>
      <c r="J46" s="26" t="n"/>
      <c r="K46" s="25">
        <f>IF('المشروعات'!$O$13="","",'المشروعات'!$O$13)</f>
        <v/>
      </c>
      <c r="L46" s="25">
        <f>IF('المشروعات'!$U$13="","",'المشروعات'!$U$13)</f>
        <v/>
      </c>
    </row>
    <row r="47">
      <c r="B47" s="24">
        <f>IF('المشروعات'!$A$14="","",'المشروعات'!$A$14)</f>
        <v/>
      </c>
      <c r="C47" s="25">
        <f>IF('المشروعات'!$B$14="","",'المشروعات'!$B$14)</f>
        <v/>
      </c>
      <c r="D47" s="26" t="n"/>
      <c r="E47" s="27">
        <f>IF('المشروعات'!$J$14="","",'المشروعات'!$J$14)</f>
        <v/>
      </c>
      <c r="F47" s="25">
        <f>IF('المشروعات'!$L$14="","",'المشروعات'!$L$14)</f>
        <v/>
      </c>
      <c r="H47" s="25">
        <f>IF('المشروعات'!$M$14="","",'المشروعات'!$M$14)</f>
        <v/>
      </c>
      <c r="I47" s="25">
        <f>IF('المشروعات'!$N$14="","",'المشروعات'!$N$14)</f>
        <v/>
      </c>
      <c r="J47" s="26" t="n"/>
      <c r="K47" s="25">
        <f>IF('المشروعات'!$O$14="","",'المشروعات'!$O$14)</f>
        <v/>
      </c>
      <c r="L47" s="25">
        <f>IF('المشروعات'!$U$14="","",'المشروعات'!$U$14)</f>
        <v/>
      </c>
    </row>
  </sheetData>
  <mergeCells count="94">
    <mergeCell ref="K33:L33"/>
    <mergeCell ref="B22:C22"/>
    <mergeCell ref="E23:F23"/>
    <mergeCell ref="B31:C31"/>
    <mergeCell ref="H9:I9"/>
    <mergeCell ref="K26:L26"/>
    <mergeCell ref="C41:D41"/>
    <mergeCell ref="B14:L14"/>
    <mergeCell ref="B1:L1"/>
    <mergeCell ref="E34:F34"/>
    <mergeCell ref="C43:D43"/>
    <mergeCell ref="I42:J42"/>
    <mergeCell ref="E27:F27"/>
    <mergeCell ref="I44:J44"/>
    <mergeCell ref="B33:C33"/>
    <mergeCell ref="H15:I15"/>
    <mergeCell ref="E22:F22"/>
    <mergeCell ref="H23:I23"/>
    <mergeCell ref="B26:C26"/>
    <mergeCell ref="K30:L30"/>
    <mergeCell ref="B16:C16"/>
    <mergeCell ref="I46:J46"/>
    <mergeCell ref="K15:L15"/>
    <mergeCell ref="B25:L25"/>
    <mergeCell ref="E5:F5"/>
    <mergeCell ref="C45:D45"/>
    <mergeCell ref="B27:C27"/>
    <mergeCell ref="B18:L18"/>
    <mergeCell ref="H34:I34"/>
    <mergeCell ref="C47:D47"/>
    <mergeCell ref="B11:C11"/>
    <mergeCell ref="I41:J41"/>
    <mergeCell ref="C40:D40"/>
    <mergeCell ref="H11:I11"/>
    <mergeCell ref="I43:J43"/>
    <mergeCell ref="B29:L29"/>
    <mergeCell ref="K27:L27"/>
    <mergeCell ref="H19:I19"/>
    <mergeCell ref="E26:F26"/>
    <mergeCell ref="B15:C15"/>
    <mergeCell ref="E16:F16"/>
    <mergeCell ref="K19:L19"/>
    <mergeCell ref="H5:I5"/>
    <mergeCell ref="K16:L16"/>
    <mergeCell ref="B7:C7"/>
    <mergeCell ref="K9:L9"/>
    <mergeCell ref="K5:L5"/>
    <mergeCell ref="I45:J45"/>
    <mergeCell ref="H31:I31"/>
    <mergeCell ref="K11:L11"/>
    <mergeCell ref="E20:F20"/>
    <mergeCell ref="I47:J47"/>
    <mergeCell ref="B2:L2"/>
    <mergeCell ref="C44:D44"/>
    <mergeCell ref="I37:J37"/>
    <mergeCell ref="K31:L31"/>
    <mergeCell ref="E31:F31"/>
    <mergeCell ref="C46:D46"/>
    <mergeCell ref="E15:F15"/>
    <mergeCell ref="H16:I16"/>
    <mergeCell ref="B19:C19"/>
    <mergeCell ref="B34:C34"/>
    <mergeCell ref="H22:I22"/>
    <mergeCell ref="B9:C9"/>
    <mergeCell ref="K23:L23"/>
    <mergeCell ref="K7:L7"/>
    <mergeCell ref="B30:C30"/>
    <mergeCell ref="C38:D38"/>
    <mergeCell ref="E7:F7"/>
    <mergeCell ref="B5:C5"/>
    <mergeCell ref="B20:C20"/>
    <mergeCell ref="H30:I30"/>
    <mergeCell ref="B4:L4"/>
    <mergeCell ref="K34:L34"/>
    <mergeCell ref="H20:I20"/>
    <mergeCell ref="E33:F33"/>
    <mergeCell ref="C42:D42"/>
    <mergeCell ref="K20:L20"/>
    <mergeCell ref="E19:F19"/>
    <mergeCell ref="B23:C23"/>
    <mergeCell ref="K22:L22"/>
    <mergeCell ref="E9:F9"/>
    <mergeCell ref="E30:F30"/>
    <mergeCell ref="H7:I7"/>
    <mergeCell ref="E11:F11"/>
    <mergeCell ref="I39:J39"/>
    <mergeCell ref="C39:D39"/>
    <mergeCell ref="H27:I27"/>
    <mergeCell ref="I38:J38"/>
    <mergeCell ref="H33:I33"/>
    <mergeCell ref="C37:D37"/>
    <mergeCell ref="B36:L36"/>
    <mergeCell ref="I40:J40"/>
    <mergeCell ref="H26:I26"/>
  </mergeCells>
  <conditionalFormatting sqref="L38:L47">
    <cfRule type="expression" priority="1" dxfId="0" stopIfTrue="1">
      <formula>OR(ISNUMBER(SEARCH("متأخر",L38)),ISNUMBER(SEARCH("مرفوض",L38)),ISNUMBER(SEARCH("غير معتمدة",L38)),ISNUMBER(SEARCH("غير محصّل",L38)),ISNUMBER(SEARCH("سالب",L38)),ISNUMBER(SEARCH("أكثر من الرصيد",L38)),ISNUMBER(SEARCH("بتحفظات",L38)))</formula>
    </cfRule>
    <cfRule type="expression" priority="2" dxfId="1" stopIfTrue="1">
      <formula>OR(ISNUMBER(SEARCH("قيد",L38)),ISNUMBER(SEARCH("جزئي",L38)),ISNUMBER(SEARCH("بانتظار",L38)),ISNUMBER(SEARCH("مفتوح",L38)),ISNUMBER(SEARCH("أعد الطلب",L38)),ISNUMBER(SEARCH("لم يُورد",L38)),ISNUMBER(SEARCH("فترة الضمان",L38)),ISNUMBER(SEARCH("مُقدم",L38)))</formula>
    </cfRule>
    <cfRule type="expression" priority="3" dxfId="2" stopIfTrue="1">
      <formula>OR(ISNUMBER(SEARCH("معتمد",L38)),ISNUMBER(SEARCH("مقبول",L38)),ISNUMBER(SEARCH("مكتمل",L38)),ISNUMBER(SEARCH("مغلق",L38)),ISNUMBER(SEARCH("بالكامل",L38)),ISNUMBER(SEARCH("مسلّم",L38)),ISNUMBER(SEARCH("كامل",L38)),ISNUMBER(SEARCH("متاح",L38)),ISNUMBER(SEARCH("جاري",L38)))</formula>
    </cfRule>
  </conditionalFormatting>
  <hyperlinks>
    <hyperlink xmlns:r="http://schemas.openxmlformats.org/officeDocument/2006/relationships" ref="B5" r:id="rId1"/>
    <hyperlink xmlns:r="http://schemas.openxmlformats.org/officeDocument/2006/relationships" ref="E5" r:id="rId2"/>
    <hyperlink xmlns:r="http://schemas.openxmlformats.org/officeDocument/2006/relationships" ref="H5" r:id="rId3"/>
    <hyperlink xmlns:r="http://schemas.openxmlformats.org/officeDocument/2006/relationships" ref="K5" r:id="rId4"/>
    <hyperlink xmlns:r="http://schemas.openxmlformats.org/officeDocument/2006/relationships" ref="B7" r:id="rId5"/>
    <hyperlink xmlns:r="http://schemas.openxmlformats.org/officeDocument/2006/relationships" ref="E7" r:id="rId6"/>
    <hyperlink xmlns:r="http://schemas.openxmlformats.org/officeDocument/2006/relationships" ref="H7" r:id="rId7"/>
    <hyperlink xmlns:r="http://schemas.openxmlformats.org/officeDocument/2006/relationships" ref="K7" r:id="rId8"/>
    <hyperlink xmlns:r="http://schemas.openxmlformats.org/officeDocument/2006/relationships" ref="B9" r:id="rId9"/>
    <hyperlink xmlns:r="http://schemas.openxmlformats.org/officeDocument/2006/relationships" ref="E9" r:id="rId10"/>
    <hyperlink xmlns:r="http://schemas.openxmlformats.org/officeDocument/2006/relationships" ref="H9" r:id="rId11"/>
    <hyperlink xmlns:r="http://schemas.openxmlformats.org/officeDocument/2006/relationships" ref="K9" r:id="rId12"/>
    <hyperlink xmlns:r="http://schemas.openxmlformats.org/officeDocument/2006/relationships" ref="B11" r:id="rId13"/>
    <hyperlink xmlns:r="http://schemas.openxmlformats.org/officeDocument/2006/relationships" ref="E11" r:id="rId14"/>
    <hyperlink xmlns:r="http://schemas.openxmlformats.org/officeDocument/2006/relationships" ref="H11" r:id="rId15"/>
    <hyperlink xmlns:r="http://schemas.openxmlformats.org/officeDocument/2006/relationships" ref="K11" r:id="rId16"/>
  </hyperlinks>
  <pageMargins left="0.75" right="0.75" top="1" bottom="1" header="0.5" footer="0.5"/>
  <drawing xmlns:r="http://schemas.openxmlformats.org/officeDocument/2006/relationships" r:id="rId17"/>
</worksheet>
</file>

<file path=xl/worksheets/sheet2.xml><?xml version="1.0" encoding="utf-8"?>
<worksheet xmlns="http://schemas.openxmlformats.org/spreadsheetml/2006/main">
  <sheetPr>
    <tabColor rgb="005A6772"/>
    <outlinePr summaryBelow="1" summaryRight="1"/>
    <pageSetUpPr/>
  </sheetPr>
  <dimension ref="B1:C20"/>
  <sheetViews>
    <sheetView showGridLines="0" rightToLeft="1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5" customWidth="1" min="3" max="3"/>
  </cols>
  <sheetData>
    <row r="1" ht="36" customHeight="1">
      <c r="B1" s="28" t="inlineStr">
        <is>
          <t>دليل استخدام النظام – خطوة بخطوة</t>
        </is>
      </c>
    </row>
    <row r="3" ht="34" customHeight="1">
      <c r="B3" s="29" t="inlineStr">
        <is>
          <t>قبل البدء</t>
        </is>
      </c>
      <c r="C3" s="30" t="inlineStr">
        <is>
          <t>من (القوائم والإعدادات): اكتب اسم الشركة، ونسبة الضريبة وضمان الأعمال ومدة رد الاستشاري. الخلايا الصفراء فقط للإدخال – الرمادية معادلات لا تُكتب فيها.</t>
        </is>
      </c>
    </row>
    <row r="4" ht="34" customHeight="1">
      <c r="B4" s="31" t="inlineStr">
        <is>
          <t>1) المشروعات</t>
        </is>
      </c>
      <c r="C4" s="32" t="inlineStr">
        <is>
          <t>سجّل المشروع (الاسم، المالك، القيمة، المدة). الكود PRJ-xxx يتولد تلقائياً ويُستخدم في كل الشاشات من القائمة المنسدلة.</t>
        </is>
      </c>
    </row>
    <row r="5" ht="34" customHeight="1">
      <c r="B5" s="29" t="inlineStr">
        <is>
          <t>2) استلام الموقع</t>
        </is>
      </c>
      <c r="C5" s="30" t="inlineStr">
        <is>
          <t>سجّل محضر الاستلام (نموذج QF-SH-01 في ملف الوورد). تاريخ الاستلام ينتقل تلقائياً للمشروع ويبدأ منه احتساب المدة وتاريخ النهو.</t>
        </is>
      </c>
    </row>
    <row r="6" ht="34" customHeight="1">
      <c r="B6" s="31" t="inlineStr">
        <is>
          <t>3) اعتماد المواد</t>
        </is>
      </c>
      <c r="C6" s="32" t="inlineStr">
        <is>
          <t>كل مادة تُقدم للاستشاري بطلب MAR. عند إدخال كود الرد (A/B/C/D) تتغير الحالة، ويُنبهك النظام لو تأخر الرد عن المدة المحددة.</t>
        </is>
      </c>
    </row>
    <row r="7" ht="34" customHeight="1">
      <c r="B7" s="29" t="inlineStr">
        <is>
          <t>4) أوامر التوريد</t>
        </is>
      </c>
      <c r="C7" s="30" t="inlineStr">
        <is>
          <t>اختر رقم MAR المعتمد في أمر التوريد. لو المادة غير معتمدة (C/D أو قيد المراجعة) تظهر الحالة بالأحمر (مادة غير معتمدة!). أعطِ كل صنف كوداً ثابتاً.</t>
        </is>
      </c>
    </row>
    <row r="8" ht="34" customHeight="1">
      <c r="B8" s="31" t="inlineStr">
        <is>
          <t>5) استلام المواد</t>
        </is>
      </c>
      <c r="C8" s="32" t="inlineStr">
        <is>
          <t>اختر رقم أمر التوريد فتظهر بيانات الصنف تلقائياً. أدخل الوارد والمقبول – المرفوض والنتيجة تُحسب، والكمية المستلمة ترجع لأمر التوريد.</t>
        </is>
      </c>
    </row>
    <row r="9" ht="34" customHeight="1">
      <c r="B9" s="29" t="inlineStr">
        <is>
          <t>6) رصيد المخزن</t>
        </is>
      </c>
      <c r="C9" s="30" t="inlineStr">
        <is>
          <t>اكتب كود الصنف مرة واحدة – الوارد والمنصرف والرصيد والقيمة تتحدث تلقائياً. حدد حد إعادة الطلب ليظهر تنبيه (أعد الطلب).</t>
        </is>
      </c>
    </row>
    <row r="10" ht="34" customHeight="1">
      <c r="B10" s="31" t="inlineStr">
        <is>
          <t>7) صرف المواد</t>
        </is>
      </c>
      <c r="C10" s="32" t="inlineStr">
        <is>
          <t>اختر كود الصنف وأدخل الكمية والجهة المستلمة. لو الصرف أكبر من الرصيد يظهر تنبيه أحمر.</t>
        </is>
      </c>
    </row>
    <row r="11" ht="34" customHeight="1">
      <c r="B11" s="29" t="inlineStr">
        <is>
          <t>8) طلبات الفحص</t>
        </is>
      </c>
      <c r="C11" s="30" t="inlineStr">
        <is>
          <t>كل أعمال جاهزة تُقدم بطلب WIR، والنتيجة تُسجل عند رد الاستشاري.</t>
        </is>
      </c>
    </row>
    <row r="12" ht="34" customHeight="1">
      <c r="B12" s="31" t="inlineStr">
        <is>
          <t>9) عدم المطابقة</t>
        </is>
      </c>
      <c r="C12" s="32" t="inlineStr">
        <is>
          <t>أي مخالفة تُسجل NCR بتاريخ إغلاق مستهدف؛ تصبح (مفتوح – متأخر) تلقائياً إذا تجاوزته.</t>
        </is>
      </c>
    </row>
    <row r="13" ht="34" customHeight="1">
      <c r="B13" s="29" t="inlineStr">
        <is>
          <t>10) المستخلصات</t>
        </is>
      </c>
      <c r="C13" s="30" t="inlineStr">
        <is>
          <t>أدخل إجمالي الأعمال التراكمي فقط – السابق وهذا المستخلص والمحتجز والضريبة والصافي تُحسب تلقائياً، والمحصّل يأتي من سندات القبض.</t>
        </is>
      </c>
    </row>
    <row r="14" ht="34" customHeight="1">
      <c r="B14" s="31" t="inlineStr">
        <is>
          <t>11) سندات القبض</t>
        </is>
      </c>
      <c r="C14" s="32" t="inlineStr">
        <is>
          <t>كل مبلغ وارد بسند قبض مرتبط بالمشروع والمستخلص. الرقم RV-xxxx يتولد تلقائياً. للطباعة: شاشة (طباعة سند قبض) واختر الرقم ثم Ctrl+P.</t>
        </is>
      </c>
    </row>
    <row r="15" ht="34" customHeight="1">
      <c r="B15" s="29" t="inlineStr">
        <is>
          <t>12) سندات الصرف</t>
        </is>
      </c>
      <c r="C15" s="30" t="inlineStr">
        <is>
          <t>كل مبلغ منصرف بسند صرف مصنف على بند تكلفة ومشروع (وأمر توريد إن وجد). للطباعة: شاشة (طباعة سند صرف).</t>
        </is>
      </c>
    </row>
    <row r="16" ht="34" customHeight="1">
      <c r="B16" s="31" t="inlineStr">
        <is>
          <t>13) التسليم</t>
        </is>
      </c>
      <c r="C16" s="32" t="inlineStr">
        <is>
          <t>سجّل ملاحظات المعاينة Snag List. بعد إغلاقها كلها أدخل تاريخ التسليم الابتدائي في المشروعات، ثم تاريخ التسليم النهائي بعد انتهاء الضمان.</t>
        </is>
      </c>
    </row>
    <row r="17" ht="34" customHeight="1">
      <c r="B17" s="29" t="inlineStr">
        <is>
          <t>الترقيم الموحد</t>
        </is>
      </c>
      <c r="C17" s="30" t="inlineStr">
        <is>
          <t>كل مستند له بادئة ثابتة: SH / MAR / PO / MIR / ISS / WIR / NCR / IPC / RV / PV / SNG – نفس الرقم يُكتب على نموذج الوورد الورقي ويُحفظ الملف الممسوح بنفس الاسم.</t>
        </is>
      </c>
    </row>
    <row r="18" ht="34" customHeight="1">
      <c r="B18" s="31" t="inlineStr">
        <is>
          <t>البيانات التوضيحية</t>
        </is>
      </c>
      <c r="C18" s="32" t="inlineStr">
        <is>
          <t>الصفوف الأولى في كل شاشة أمثلة لتوضيح الربط. امسح الخلايا الصفراء فقط (وليس الرمادية) وابدأ ببياناتك.</t>
        </is>
      </c>
    </row>
    <row r="20">
      <c r="B20" s="33" t="inlineStr">
        <is>
          <t>↩ الرئيسية</t>
        </is>
      </c>
    </row>
  </sheetData>
  <mergeCells count="1">
    <mergeCell ref="B1:C1"/>
  </mergeCells>
  <hyperlinks>
    <hyperlink xmlns:r="http://schemas.openxmlformats.org/officeDocument/2006/relationships" ref="B20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3A5F"/>
    <outlinePr summaryBelow="1" summaryRight="1"/>
    <pageSetUpPr fitToPage="1"/>
  </sheetPr>
  <dimension ref="A1:U304"/>
  <sheetViews>
    <sheetView showGridLines="0" rightToLeft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8" customWidth="1" min="2" max="2"/>
    <col width="20" customWidth="1" min="3" max="3"/>
    <col width="18" customWidth="1" min="4" max="4"/>
    <col width="14" customWidth="1" min="5" max="5"/>
    <col width="15" customWidth="1" min="6" max="6"/>
    <col width="13" customWidth="1" min="7" max="7"/>
    <col width="10" customWidth="1" min="8" max="8"/>
    <col width="13" customWidth="1" min="9" max="9"/>
    <col width="10" customWidth="1" min="10" max="10"/>
    <col width="10" customWidth="1" min="11" max="11"/>
    <col width="15" customWidth="1" min="12" max="12"/>
    <col width="15" customWidth="1" min="13" max="13"/>
    <col width="15" customWidth="1" min="14" max="14"/>
    <col width="15" customWidth="1" min="15" max="15"/>
    <col width="13" customWidth="1" min="16" max="16"/>
    <col width="13" customWidth="1" min="17" max="17"/>
    <col width="9" customWidth="1" min="18" max="18"/>
    <col width="9" customWidth="1" min="19" max="19"/>
    <col width="10" customWidth="1" min="20" max="20"/>
    <col width="16" customWidth="1" min="21" max="21"/>
  </cols>
  <sheetData>
    <row r="1" ht="32" customHeight="1">
      <c r="A1" s="34">
        <f>S_Company&amp;"  |  المشروعات"</f>
        <v/>
      </c>
    </row>
    <row r="2">
      <c r="A2" s="35" t="inlineStr">
        <is>
          <t>سجل المشروعات – البطاقة الرئيسية لكل مشروع</t>
        </is>
      </c>
    </row>
    <row r="3">
      <c r="A3" s="33" t="inlineStr">
        <is>
          <t>↩ الرئيسية</t>
        </is>
      </c>
      <c r="B3" s="36" t="inlineStr">
        <is>
          <t xml:space="preserve">   ■ أصفر = إدخال يدوي    ■ رمادي = معادلة تلقائية (لا تكتب فيها)    — الصفوف الأولى أمثلة توضيحية؛ احذف قيم الإدخال واستبدلها ببياناتك</t>
        </is>
      </c>
    </row>
    <row r="4" ht="42" customHeight="1">
      <c r="A4" s="37" t="inlineStr">
        <is>
          <t>كود المشروع</t>
        </is>
      </c>
      <c r="B4" s="38" t="inlineStr">
        <is>
          <t>اسم المشروع</t>
        </is>
      </c>
      <c r="C4" s="38" t="inlineStr">
        <is>
          <t>المالك / العميل</t>
        </is>
      </c>
      <c r="D4" s="38" t="inlineStr">
        <is>
          <t>الاستشاري</t>
        </is>
      </c>
      <c r="E4" s="38" t="inlineStr">
        <is>
          <t>الموقع</t>
        </is>
      </c>
      <c r="F4" s="38" t="inlineStr">
        <is>
          <t>قيمة العقد</t>
        </is>
      </c>
      <c r="G4" s="37" t="inlineStr">
        <is>
          <t>تاريخ استلام الموقع</t>
        </is>
      </c>
      <c r="H4" s="38" t="inlineStr">
        <is>
          <t>مدة التنفيذ (يوم)</t>
        </is>
      </c>
      <c r="I4" s="37" t="inlineStr">
        <is>
          <t>تاريخ النهو التعاقدي</t>
        </is>
      </c>
      <c r="J4" s="38" t="inlineStr">
        <is>
          <t>نسبة الإنجاز الفعلية</t>
        </is>
      </c>
      <c r="K4" s="37" t="inlineStr">
        <is>
          <t>نسبة المدة المنقضية</t>
        </is>
      </c>
      <c r="L4" s="37" t="inlineStr">
        <is>
          <t>إجمالي المستخلصات</t>
        </is>
      </c>
      <c r="M4" s="37" t="inlineStr">
        <is>
          <t>إجمالي المحصّل</t>
        </is>
      </c>
      <c r="N4" s="37" t="inlineStr">
        <is>
          <t>إجمالي المنصرف</t>
        </is>
      </c>
      <c r="O4" s="37" t="inlineStr">
        <is>
          <t>صافي التدفق النقدي</t>
        </is>
      </c>
      <c r="P4" s="38" t="inlineStr">
        <is>
          <t>تاريخ التسليم الابتدائي</t>
        </is>
      </c>
      <c r="Q4" s="38" t="inlineStr">
        <is>
          <t>تاريخ التسليم النهائي</t>
        </is>
      </c>
      <c r="R4" s="37" t="inlineStr">
        <is>
          <t>اعتمادات معلقة</t>
        </is>
      </c>
      <c r="S4" s="37" t="inlineStr">
        <is>
          <t>NCR مفتوحة</t>
        </is>
      </c>
      <c r="T4" s="37" t="inlineStr">
        <is>
          <t>ملاحظات تسليم مفتوحة</t>
        </is>
      </c>
      <c r="U4" s="37" t="inlineStr">
        <is>
          <t>حالة المشروع</t>
        </is>
      </c>
    </row>
    <row r="5">
      <c r="A5" s="39">
        <f>IF(B5="","","PRJ-"&amp;TEXT(ROW()-4,"000"))</f>
        <v/>
      </c>
      <c r="B5" s="40" t="inlineStr">
        <is>
          <t>برج إداري – التجمع الخامس</t>
        </is>
      </c>
      <c r="C5" s="40" t="inlineStr">
        <is>
          <t>شركة النخبة للاستثمار العقاري</t>
        </is>
      </c>
      <c r="D5" s="40" t="inlineStr">
        <is>
          <t>المكتب الهندسي الاستشاري</t>
        </is>
      </c>
      <c r="E5" s="40" t="inlineStr">
        <is>
          <t>القاهرة الجديدة</t>
        </is>
      </c>
      <c r="F5" s="41" t="n">
        <v>48500000</v>
      </c>
      <c r="G5" s="42">
        <f>IF(B5="","",IFERROR(INDEX('استلام المواقع'!$D$5:$D$304,MATCH(A5,'استلام المواقع'!$B$5:$B$304,0)),""))</f>
        <v/>
      </c>
      <c r="H5" s="43" t="n">
        <v>540</v>
      </c>
      <c r="I5" s="42">
        <f>IF(OR(G5="",H5=""),"",G5+H5)</f>
        <v/>
      </c>
      <c r="J5" s="44" t="n">
        <v>0.58</v>
      </c>
      <c r="K5" s="45">
        <f>IF(OR(I5="",H5=0),"",MAX(0,MIN(1,(IF(P5&lt;&gt;"",P5,TODAY())-G5)/H5)))</f>
        <v/>
      </c>
      <c r="L5" s="46">
        <f>IF(B5="","",SUMIFS('المستخلصات'!$N$5:$N$304,'المستخلصات'!$B$5:$B$304,A5))</f>
        <v/>
      </c>
      <c r="M5" s="46">
        <f>IF(B5="","",SUMIFS('سندات القبض'!$K$5:$K$304,'سندات القبض'!$D$5:$D$304,A5))</f>
        <v/>
      </c>
      <c r="N5" s="46">
        <f>IF(B5="","",SUMIFS('سندات الصرف'!$L$5:$L$304,'سندات الصرف'!$D$5:$D$304,A5))</f>
        <v/>
      </c>
      <c r="O5" s="46">
        <f>IF(B5="","",M5-N5)</f>
        <v/>
      </c>
      <c r="P5" s="47" t="n"/>
      <c r="Q5" s="47" t="n"/>
      <c r="R5" s="48">
        <f>IF(B5="","",COUNTIFS('اعتماد المواد'!$B$5:$B$304,A5,'اعتماد المواد'!$M$5:$M$304,"قيد المراجعة"))</f>
        <v/>
      </c>
      <c r="S5" s="48">
        <f>IF(B5="","",COUNTIFS('عدم المطابقة'!$C$5:$C$304,A5,'عدم المطابقة'!$L$5:$L$304,"مفتوح*"))</f>
        <v/>
      </c>
      <c r="T5" s="48">
        <f>IF(B5="","",COUNTIFS('ملاحظات التسليم'!$B$5:$B$304,A5,'ملاحظات التسليم'!$K$5:$K$304,"مفتوح*"))</f>
        <v/>
      </c>
      <c r="U5" s="49">
        <f>IF(B5="","",IF(Q5&lt;&gt;"","مسلّم نهائياً",IF(P5&lt;&gt;"","فترة الضمان",IF(G5="","بانتظار استلام الموقع",IF(TODAY()&gt;I5,"متأخر عن التعاقد",IF(J5&lt;K5-0.1,"متأخر عن الخطة","جاري التنفيذ"))))))</f>
        <v/>
      </c>
    </row>
    <row r="6">
      <c r="A6" s="39">
        <f>IF(B6="","","PRJ-"&amp;TEXT(ROW()-4,"000"))</f>
        <v/>
      </c>
      <c r="B6" s="40" t="inlineStr">
        <is>
          <t>مدرسة دولية – 6 أكتوبر</t>
        </is>
      </c>
      <c r="C6" s="40" t="inlineStr">
        <is>
          <t>مؤسسة المستقبل التعليمية</t>
        </is>
      </c>
      <c r="D6" s="40" t="inlineStr">
        <is>
          <t>دار الهندسة للاستشارات</t>
        </is>
      </c>
      <c r="E6" s="40" t="inlineStr">
        <is>
          <t>6 أكتوبر</t>
        </is>
      </c>
      <c r="F6" s="41" t="n">
        <v>22750000</v>
      </c>
      <c r="G6" s="42">
        <f>IF(B6="","",IFERROR(INDEX('استلام المواقع'!$D$5:$D$304,MATCH(A6,'استلام المواقع'!$B$5:$B$304,0)),""))</f>
        <v/>
      </c>
      <c r="H6" s="43" t="n">
        <v>365</v>
      </c>
      <c r="I6" s="42">
        <f>IF(OR(G6="",H6=""),"",G6+H6)</f>
        <v/>
      </c>
      <c r="J6" s="44" t="n">
        <v>0.33</v>
      </c>
      <c r="K6" s="45">
        <f>IF(OR(I6="",H6=0),"",MAX(0,MIN(1,(IF(P6&lt;&gt;"",P6,TODAY())-G6)/H6)))</f>
        <v/>
      </c>
      <c r="L6" s="46">
        <f>IF(B6="","",SUMIFS('المستخلصات'!$N$5:$N$304,'المستخلصات'!$B$5:$B$304,A6))</f>
        <v/>
      </c>
      <c r="M6" s="46">
        <f>IF(B6="","",SUMIFS('سندات القبض'!$K$5:$K$304,'سندات القبض'!$D$5:$D$304,A6))</f>
        <v/>
      </c>
      <c r="N6" s="46">
        <f>IF(B6="","",SUMIFS('سندات الصرف'!$L$5:$L$304,'سندات الصرف'!$D$5:$D$304,A6))</f>
        <v/>
      </c>
      <c r="O6" s="46">
        <f>IF(B6="","",M6-N6)</f>
        <v/>
      </c>
      <c r="P6" s="47" t="n"/>
      <c r="Q6" s="47" t="n"/>
      <c r="R6" s="48">
        <f>IF(B6="","",COUNTIFS('اعتماد المواد'!$B$5:$B$304,A6,'اعتماد المواد'!$M$5:$M$304,"قيد المراجعة"))</f>
        <v/>
      </c>
      <c r="S6" s="48">
        <f>IF(B6="","",COUNTIFS('عدم المطابقة'!$C$5:$C$304,A6,'عدم المطابقة'!$L$5:$L$304,"مفتوح*"))</f>
        <v/>
      </c>
      <c r="T6" s="48">
        <f>IF(B6="","",COUNTIFS('ملاحظات التسليم'!$B$5:$B$304,A6,'ملاحظات التسليم'!$K$5:$K$304,"مفتوح*"))</f>
        <v/>
      </c>
      <c r="U6" s="49">
        <f>IF(B6="","",IF(Q6&lt;&gt;"","مسلّم نهائياً",IF(P6&lt;&gt;"","فترة الضمان",IF(G6="","بانتظار استلام الموقع",IF(TODAY()&gt;I6,"متأخر عن التعاقد",IF(J6&lt;K6-0.1,"متأخر عن الخطة","جاري التنفيذ"))))))</f>
        <v/>
      </c>
    </row>
    <row r="7">
      <c r="A7" s="39">
        <f>IF(B7="","","PRJ-"&amp;TEXT(ROW()-4,"000"))</f>
        <v/>
      </c>
      <c r="B7" s="40" t="n"/>
      <c r="C7" s="40" t="n"/>
      <c r="D7" s="40" t="n"/>
      <c r="E7" s="40" t="n"/>
      <c r="F7" s="41" t="n"/>
      <c r="G7" s="42">
        <f>IF(B7="","",IFERROR(INDEX('استلام المواقع'!$D$5:$D$304,MATCH(A7,'استلام المواقع'!$B$5:$B$304,0)),""))</f>
        <v/>
      </c>
      <c r="H7" s="43" t="n"/>
      <c r="I7" s="42">
        <f>IF(OR(G7="",H7=""),"",G7+H7)</f>
        <v/>
      </c>
      <c r="J7" s="44" t="n"/>
      <c r="K7" s="45">
        <f>IF(OR(I7="",H7=0),"",MAX(0,MIN(1,(IF(P7&lt;&gt;"",P7,TODAY())-G7)/H7)))</f>
        <v/>
      </c>
      <c r="L7" s="46">
        <f>IF(B7="","",SUMIFS('المستخلصات'!$N$5:$N$304,'المستخلصات'!$B$5:$B$304,A7))</f>
        <v/>
      </c>
      <c r="M7" s="46">
        <f>IF(B7="","",SUMIFS('سندات القبض'!$K$5:$K$304,'سندات القبض'!$D$5:$D$304,A7))</f>
        <v/>
      </c>
      <c r="N7" s="46">
        <f>IF(B7="","",SUMIFS('سندات الصرف'!$L$5:$L$304,'سندات الصرف'!$D$5:$D$304,A7))</f>
        <v/>
      </c>
      <c r="O7" s="46">
        <f>IF(B7="","",M7-N7)</f>
        <v/>
      </c>
      <c r="P7" s="47" t="n"/>
      <c r="Q7" s="47" t="n"/>
      <c r="R7" s="48">
        <f>IF(B7="","",COUNTIFS('اعتماد المواد'!$B$5:$B$304,A7,'اعتماد المواد'!$M$5:$M$304,"قيد المراجعة"))</f>
        <v/>
      </c>
      <c r="S7" s="48">
        <f>IF(B7="","",COUNTIFS('عدم المطابقة'!$C$5:$C$304,A7,'عدم المطابقة'!$L$5:$L$304,"مفتوح*"))</f>
        <v/>
      </c>
      <c r="T7" s="48">
        <f>IF(B7="","",COUNTIFS('ملاحظات التسليم'!$B$5:$B$304,A7,'ملاحظات التسليم'!$K$5:$K$304,"مفتوح*"))</f>
        <v/>
      </c>
      <c r="U7" s="49">
        <f>IF(B7="","",IF(Q7&lt;&gt;"","مسلّم نهائياً",IF(P7&lt;&gt;"","فترة الضمان",IF(G7="","بانتظار استلام الموقع",IF(TODAY()&gt;I7,"متأخر عن التعاقد",IF(J7&lt;K7-0.1,"متأخر عن الخطة","جاري التنفيذ"))))))</f>
        <v/>
      </c>
    </row>
    <row r="8">
      <c r="A8" s="39">
        <f>IF(B8="","","PRJ-"&amp;TEXT(ROW()-4,"000"))</f>
        <v/>
      </c>
      <c r="B8" s="40" t="n"/>
      <c r="C8" s="40" t="n"/>
      <c r="D8" s="40" t="n"/>
      <c r="E8" s="40" t="n"/>
      <c r="F8" s="41" t="n"/>
      <c r="G8" s="42">
        <f>IF(B8="","",IFERROR(INDEX('استلام المواقع'!$D$5:$D$304,MATCH(A8,'استلام المواقع'!$B$5:$B$304,0)),""))</f>
        <v/>
      </c>
      <c r="H8" s="43" t="n"/>
      <c r="I8" s="42">
        <f>IF(OR(G8="",H8=""),"",G8+H8)</f>
        <v/>
      </c>
      <c r="J8" s="44" t="n"/>
      <c r="K8" s="45">
        <f>IF(OR(I8="",H8=0),"",MAX(0,MIN(1,(IF(P8&lt;&gt;"",P8,TODAY())-G8)/H8)))</f>
        <v/>
      </c>
      <c r="L8" s="46">
        <f>IF(B8="","",SUMIFS('المستخلصات'!$N$5:$N$304,'المستخلصات'!$B$5:$B$304,A8))</f>
        <v/>
      </c>
      <c r="M8" s="46">
        <f>IF(B8="","",SUMIFS('سندات القبض'!$K$5:$K$304,'سندات القبض'!$D$5:$D$304,A8))</f>
        <v/>
      </c>
      <c r="N8" s="46">
        <f>IF(B8="","",SUMIFS('سندات الصرف'!$L$5:$L$304,'سندات الصرف'!$D$5:$D$304,A8))</f>
        <v/>
      </c>
      <c r="O8" s="46">
        <f>IF(B8="","",M8-N8)</f>
        <v/>
      </c>
      <c r="P8" s="47" t="n"/>
      <c r="Q8" s="47" t="n"/>
      <c r="R8" s="48">
        <f>IF(B8="","",COUNTIFS('اعتماد المواد'!$B$5:$B$304,A8,'اعتماد المواد'!$M$5:$M$304,"قيد المراجعة"))</f>
        <v/>
      </c>
      <c r="S8" s="48">
        <f>IF(B8="","",COUNTIFS('عدم المطابقة'!$C$5:$C$304,A8,'عدم المطابقة'!$L$5:$L$304,"مفتوح*"))</f>
        <v/>
      </c>
      <c r="T8" s="48">
        <f>IF(B8="","",COUNTIFS('ملاحظات التسليم'!$B$5:$B$304,A8,'ملاحظات التسليم'!$K$5:$K$304,"مفتوح*"))</f>
        <v/>
      </c>
      <c r="U8" s="49">
        <f>IF(B8="","",IF(Q8&lt;&gt;"","مسلّم نهائياً",IF(P8&lt;&gt;"","فترة الضمان",IF(G8="","بانتظار استلام الموقع",IF(TODAY()&gt;I8,"متأخر عن التعاقد",IF(J8&lt;K8-0.1,"متأخر عن الخطة","جاري التنفيذ"))))))</f>
        <v/>
      </c>
    </row>
    <row r="9">
      <c r="A9" s="39">
        <f>IF(B9="","","PRJ-"&amp;TEXT(ROW()-4,"000"))</f>
        <v/>
      </c>
      <c r="B9" s="40" t="n"/>
      <c r="C9" s="40" t="n"/>
      <c r="D9" s="40" t="n"/>
      <c r="E9" s="40" t="n"/>
      <c r="F9" s="41" t="n"/>
      <c r="G9" s="42">
        <f>IF(B9="","",IFERROR(INDEX('استلام المواقع'!$D$5:$D$304,MATCH(A9,'استلام المواقع'!$B$5:$B$304,0)),""))</f>
        <v/>
      </c>
      <c r="H9" s="43" t="n"/>
      <c r="I9" s="42">
        <f>IF(OR(G9="",H9=""),"",G9+H9)</f>
        <v/>
      </c>
      <c r="J9" s="44" t="n"/>
      <c r="K9" s="45">
        <f>IF(OR(I9="",H9=0),"",MAX(0,MIN(1,(IF(P9&lt;&gt;"",P9,TODAY())-G9)/H9)))</f>
        <v/>
      </c>
      <c r="L9" s="46">
        <f>IF(B9="","",SUMIFS('المستخلصات'!$N$5:$N$304,'المستخلصات'!$B$5:$B$304,A9))</f>
        <v/>
      </c>
      <c r="M9" s="46">
        <f>IF(B9="","",SUMIFS('سندات القبض'!$K$5:$K$304,'سندات القبض'!$D$5:$D$304,A9))</f>
        <v/>
      </c>
      <c r="N9" s="46">
        <f>IF(B9="","",SUMIFS('سندات الصرف'!$L$5:$L$304,'سندات الصرف'!$D$5:$D$304,A9))</f>
        <v/>
      </c>
      <c r="O9" s="46">
        <f>IF(B9="","",M9-N9)</f>
        <v/>
      </c>
      <c r="P9" s="47" t="n"/>
      <c r="Q9" s="47" t="n"/>
      <c r="R9" s="48">
        <f>IF(B9="","",COUNTIFS('اعتماد المواد'!$B$5:$B$304,A9,'اعتماد المواد'!$M$5:$M$304,"قيد المراجعة"))</f>
        <v/>
      </c>
      <c r="S9" s="48">
        <f>IF(B9="","",COUNTIFS('عدم المطابقة'!$C$5:$C$304,A9,'عدم المطابقة'!$L$5:$L$304,"مفتوح*"))</f>
        <v/>
      </c>
      <c r="T9" s="48">
        <f>IF(B9="","",COUNTIFS('ملاحظات التسليم'!$B$5:$B$304,A9,'ملاحظات التسليم'!$K$5:$K$304,"مفتوح*"))</f>
        <v/>
      </c>
      <c r="U9" s="49">
        <f>IF(B9="","",IF(Q9&lt;&gt;"","مسلّم نهائياً",IF(P9&lt;&gt;"","فترة الضمان",IF(G9="","بانتظار استلام الموقع",IF(TODAY()&gt;I9,"متأخر عن التعاقد",IF(J9&lt;K9-0.1,"متأخر عن الخطة","جاري التنفيذ"))))))</f>
        <v/>
      </c>
    </row>
    <row r="10">
      <c r="A10" s="39">
        <f>IF(B10="","","PRJ-"&amp;TEXT(ROW()-4,"000"))</f>
        <v/>
      </c>
      <c r="B10" s="40" t="n"/>
      <c r="C10" s="40" t="n"/>
      <c r="D10" s="40" t="n"/>
      <c r="E10" s="40" t="n"/>
      <c r="F10" s="41" t="n"/>
      <c r="G10" s="42">
        <f>IF(B10="","",IFERROR(INDEX('استلام المواقع'!$D$5:$D$304,MATCH(A10,'استلام المواقع'!$B$5:$B$304,0)),""))</f>
        <v/>
      </c>
      <c r="H10" s="43" t="n"/>
      <c r="I10" s="42">
        <f>IF(OR(G10="",H10=""),"",G10+H10)</f>
        <v/>
      </c>
      <c r="J10" s="44" t="n"/>
      <c r="K10" s="45">
        <f>IF(OR(I10="",H10=0),"",MAX(0,MIN(1,(IF(P10&lt;&gt;"",P10,TODAY())-G10)/H10)))</f>
        <v/>
      </c>
      <c r="L10" s="46">
        <f>IF(B10="","",SUMIFS('المستخلصات'!$N$5:$N$304,'المستخلصات'!$B$5:$B$304,A10))</f>
        <v/>
      </c>
      <c r="M10" s="46">
        <f>IF(B10="","",SUMIFS('سندات القبض'!$K$5:$K$304,'سندات القبض'!$D$5:$D$304,A10))</f>
        <v/>
      </c>
      <c r="N10" s="46">
        <f>IF(B10="","",SUMIFS('سندات الصرف'!$L$5:$L$304,'سندات الصرف'!$D$5:$D$304,A10))</f>
        <v/>
      </c>
      <c r="O10" s="46">
        <f>IF(B10="","",M10-N10)</f>
        <v/>
      </c>
      <c r="P10" s="47" t="n"/>
      <c r="Q10" s="47" t="n"/>
      <c r="R10" s="48">
        <f>IF(B10="","",COUNTIFS('اعتماد المواد'!$B$5:$B$304,A10,'اعتماد المواد'!$M$5:$M$304,"قيد المراجعة"))</f>
        <v/>
      </c>
      <c r="S10" s="48">
        <f>IF(B10="","",COUNTIFS('عدم المطابقة'!$C$5:$C$304,A10,'عدم المطابقة'!$L$5:$L$304,"مفتوح*"))</f>
        <v/>
      </c>
      <c r="T10" s="48">
        <f>IF(B10="","",COUNTIFS('ملاحظات التسليم'!$B$5:$B$304,A10,'ملاحظات التسليم'!$K$5:$K$304,"مفتوح*"))</f>
        <v/>
      </c>
      <c r="U10" s="49">
        <f>IF(B10="","",IF(Q10&lt;&gt;"","مسلّم نهائياً",IF(P10&lt;&gt;"","فترة الضمان",IF(G10="","بانتظار استلام الموقع",IF(TODAY()&gt;I10,"متأخر عن التعاقد",IF(J10&lt;K10-0.1,"متأخر عن الخطة","جاري التنفيذ"))))))</f>
        <v/>
      </c>
    </row>
    <row r="11">
      <c r="A11" s="39">
        <f>IF(B11="","","PRJ-"&amp;TEXT(ROW()-4,"000"))</f>
        <v/>
      </c>
      <c r="B11" s="40" t="n"/>
      <c r="C11" s="40" t="n"/>
      <c r="D11" s="40" t="n"/>
      <c r="E11" s="40" t="n"/>
      <c r="F11" s="41" t="n"/>
      <c r="G11" s="42">
        <f>IF(B11="","",IFERROR(INDEX('استلام المواقع'!$D$5:$D$304,MATCH(A11,'استلام المواقع'!$B$5:$B$304,0)),""))</f>
        <v/>
      </c>
      <c r="H11" s="43" t="n"/>
      <c r="I11" s="42">
        <f>IF(OR(G11="",H11=""),"",G11+H11)</f>
        <v/>
      </c>
      <c r="J11" s="44" t="n"/>
      <c r="K11" s="45">
        <f>IF(OR(I11="",H11=0),"",MAX(0,MIN(1,(IF(P11&lt;&gt;"",P11,TODAY())-G11)/H11)))</f>
        <v/>
      </c>
      <c r="L11" s="46">
        <f>IF(B11="","",SUMIFS('المستخلصات'!$N$5:$N$304,'المستخلصات'!$B$5:$B$304,A11))</f>
        <v/>
      </c>
      <c r="M11" s="46">
        <f>IF(B11="","",SUMIFS('سندات القبض'!$K$5:$K$304,'سندات القبض'!$D$5:$D$304,A11))</f>
        <v/>
      </c>
      <c r="N11" s="46">
        <f>IF(B11="","",SUMIFS('سندات الصرف'!$L$5:$L$304,'سندات الصرف'!$D$5:$D$304,A11))</f>
        <v/>
      </c>
      <c r="O11" s="46">
        <f>IF(B11="","",M11-N11)</f>
        <v/>
      </c>
      <c r="P11" s="47" t="n"/>
      <c r="Q11" s="47" t="n"/>
      <c r="R11" s="48">
        <f>IF(B11="","",COUNTIFS('اعتماد المواد'!$B$5:$B$304,A11,'اعتماد المواد'!$M$5:$M$304,"قيد المراجعة"))</f>
        <v/>
      </c>
      <c r="S11" s="48">
        <f>IF(B11="","",COUNTIFS('عدم المطابقة'!$C$5:$C$304,A11,'عدم المطابقة'!$L$5:$L$304,"مفتوح*"))</f>
        <v/>
      </c>
      <c r="T11" s="48">
        <f>IF(B11="","",COUNTIFS('ملاحظات التسليم'!$B$5:$B$304,A11,'ملاحظات التسليم'!$K$5:$K$304,"مفتوح*"))</f>
        <v/>
      </c>
      <c r="U11" s="49">
        <f>IF(B11="","",IF(Q11&lt;&gt;"","مسلّم نهائياً",IF(P11&lt;&gt;"","فترة الضمان",IF(G11="","بانتظار استلام الموقع",IF(TODAY()&gt;I11,"متأخر عن التعاقد",IF(J11&lt;K11-0.1,"متأخر عن الخطة","جاري التنفيذ"))))))</f>
        <v/>
      </c>
    </row>
    <row r="12">
      <c r="A12" s="39">
        <f>IF(B12="","","PRJ-"&amp;TEXT(ROW()-4,"000"))</f>
        <v/>
      </c>
      <c r="B12" s="40" t="n"/>
      <c r="C12" s="40" t="n"/>
      <c r="D12" s="40" t="n"/>
      <c r="E12" s="40" t="n"/>
      <c r="F12" s="41" t="n"/>
      <c r="G12" s="42">
        <f>IF(B12="","",IFERROR(INDEX('استلام المواقع'!$D$5:$D$304,MATCH(A12,'استلام المواقع'!$B$5:$B$304,0)),""))</f>
        <v/>
      </c>
      <c r="H12" s="43" t="n"/>
      <c r="I12" s="42">
        <f>IF(OR(G12="",H12=""),"",G12+H12)</f>
        <v/>
      </c>
      <c r="J12" s="44" t="n"/>
      <c r="K12" s="45">
        <f>IF(OR(I12="",H12=0),"",MAX(0,MIN(1,(IF(P12&lt;&gt;"",P12,TODAY())-G12)/H12)))</f>
        <v/>
      </c>
      <c r="L12" s="46">
        <f>IF(B12="","",SUMIFS('المستخلصات'!$N$5:$N$304,'المستخلصات'!$B$5:$B$304,A12))</f>
        <v/>
      </c>
      <c r="M12" s="46">
        <f>IF(B12="","",SUMIFS('سندات القبض'!$K$5:$K$304,'سندات القبض'!$D$5:$D$304,A12))</f>
        <v/>
      </c>
      <c r="N12" s="46">
        <f>IF(B12="","",SUMIFS('سندات الصرف'!$L$5:$L$304,'سندات الصرف'!$D$5:$D$304,A12))</f>
        <v/>
      </c>
      <c r="O12" s="46">
        <f>IF(B12="","",M12-N12)</f>
        <v/>
      </c>
      <c r="P12" s="47" t="n"/>
      <c r="Q12" s="47" t="n"/>
      <c r="R12" s="48">
        <f>IF(B12="","",COUNTIFS('اعتماد المواد'!$B$5:$B$304,A12,'اعتماد المواد'!$M$5:$M$304,"قيد المراجعة"))</f>
        <v/>
      </c>
      <c r="S12" s="48">
        <f>IF(B12="","",COUNTIFS('عدم المطابقة'!$C$5:$C$304,A12,'عدم المطابقة'!$L$5:$L$304,"مفتوح*"))</f>
        <v/>
      </c>
      <c r="T12" s="48">
        <f>IF(B12="","",COUNTIFS('ملاحظات التسليم'!$B$5:$B$304,A12,'ملاحظات التسليم'!$K$5:$K$304,"مفتوح*"))</f>
        <v/>
      </c>
      <c r="U12" s="49">
        <f>IF(B12="","",IF(Q12&lt;&gt;"","مسلّم نهائياً",IF(P12&lt;&gt;"","فترة الضمان",IF(G12="","بانتظار استلام الموقع",IF(TODAY()&gt;I12,"متأخر عن التعاقد",IF(J12&lt;K12-0.1,"متأخر عن الخطة","جاري التنفيذ"))))))</f>
        <v/>
      </c>
    </row>
    <row r="13">
      <c r="A13" s="39">
        <f>IF(B13="","","PRJ-"&amp;TEXT(ROW()-4,"000"))</f>
        <v/>
      </c>
      <c r="B13" s="40" t="n"/>
      <c r="C13" s="40" t="n"/>
      <c r="D13" s="40" t="n"/>
      <c r="E13" s="40" t="n"/>
      <c r="F13" s="41" t="n"/>
      <c r="G13" s="42">
        <f>IF(B13="","",IFERROR(INDEX('استلام المواقع'!$D$5:$D$304,MATCH(A13,'استلام المواقع'!$B$5:$B$304,0)),""))</f>
        <v/>
      </c>
      <c r="H13" s="43" t="n"/>
      <c r="I13" s="42">
        <f>IF(OR(G13="",H13=""),"",G13+H13)</f>
        <v/>
      </c>
      <c r="J13" s="44" t="n"/>
      <c r="K13" s="45">
        <f>IF(OR(I13="",H13=0),"",MAX(0,MIN(1,(IF(P13&lt;&gt;"",P13,TODAY())-G13)/H13)))</f>
        <v/>
      </c>
      <c r="L13" s="46">
        <f>IF(B13="","",SUMIFS('المستخلصات'!$N$5:$N$304,'المستخلصات'!$B$5:$B$304,A13))</f>
        <v/>
      </c>
      <c r="M13" s="46">
        <f>IF(B13="","",SUMIFS('سندات القبض'!$K$5:$K$304,'سندات القبض'!$D$5:$D$304,A13))</f>
        <v/>
      </c>
      <c r="N13" s="46">
        <f>IF(B13="","",SUMIFS('سندات الصرف'!$L$5:$L$304,'سندات الصرف'!$D$5:$D$304,A13))</f>
        <v/>
      </c>
      <c r="O13" s="46">
        <f>IF(B13="","",M13-N13)</f>
        <v/>
      </c>
      <c r="P13" s="47" t="n"/>
      <c r="Q13" s="47" t="n"/>
      <c r="R13" s="48">
        <f>IF(B13="","",COUNTIFS('اعتماد المواد'!$B$5:$B$304,A13,'اعتماد المواد'!$M$5:$M$304,"قيد المراجعة"))</f>
        <v/>
      </c>
      <c r="S13" s="48">
        <f>IF(B13="","",COUNTIFS('عدم المطابقة'!$C$5:$C$304,A13,'عدم المطابقة'!$L$5:$L$304,"مفتوح*"))</f>
        <v/>
      </c>
      <c r="T13" s="48">
        <f>IF(B13="","",COUNTIFS('ملاحظات التسليم'!$B$5:$B$304,A13,'ملاحظات التسليم'!$K$5:$K$304,"مفتوح*"))</f>
        <v/>
      </c>
      <c r="U13" s="49">
        <f>IF(B13="","",IF(Q13&lt;&gt;"","مسلّم نهائياً",IF(P13&lt;&gt;"","فترة الضمان",IF(G13="","بانتظار استلام الموقع",IF(TODAY()&gt;I13,"متأخر عن التعاقد",IF(J13&lt;K13-0.1,"متأخر عن الخطة","جاري التنفيذ"))))))</f>
        <v/>
      </c>
    </row>
    <row r="14">
      <c r="A14" s="39">
        <f>IF(B14="","","PRJ-"&amp;TEXT(ROW()-4,"000"))</f>
        <v/>
      </c>
      <c r="B14" s="40" t="n"/>
      <c r="C14" s="40" t="n"/>
      <c r="D14" s="40" t="n"/>
      <c r="E14" s="40" t="n"/>
      <c r="F14" s="41" t="n"/>
      <c r="G14" s="42">
        <f>IF(B14="","",IFERROR(INDEX('استلام المواقع'!$D$5:$D$304,MATCH(A14,'استلام المواقع'!$B$5:$B$304,0)),""))</f>
        <v/>
      </c>
      <c r="H14" s="43" t="n"/>
      <c r="I14" s="42">
        <f>IF(OR(G14="",H14=""),"",G14+H14)</f>
        <v/>
      </c>
      <c r="J14" s="44" t="n"/>
      <c r="K14" s="45">
        <f>IF(OR(I14="",H14=0),"",MAX(0,MIN(1,(IF(P14&lt;&gt;"",P14,TODAY())-G14)/H14)))</f>
        <v/>
      </c>
      <c r="L14" s="46">
        <f>IF(B14="","",SUMIFS('المستخلصات'!$N$5:$N$304,'المستخلصات'!$B$5:$B$304,A14))</f>
        <v/>
      </c>
      <c r="M14" s="46">
        <f>IF(B14="","",SUMIFS('سندات القبض'!$K$5:$K$304,'سندات القبض'!$D$5:$D$304,A14))</f>
        <v/>
      </c>
      <c r="N14" s="46">
        <f>IF(B14="","",SUMIFS('سندات الصرف'!$L$5:$L$304,'سندات الصرف'!$D$5:$D$304,A14))</f>
        <v/>
      </c>
      <c r="O14" s="46">
        <f>IF(B14="","",M14-N14)</f>
        <v/>
      </c>
      <c r="P14" s="47" t="n"/>
      <c r="Q14" s="47" t="n"/>
      <c r="R14" s="48">
        <f>IF(B14="","",COUNTIFS('اعتماد المواد'!$B$5:$B$304,A14,'اعتماد المواد'!$M$5:$M$304,"قيد المراجعة"))</f>
        <v/>
      </c>
      <c r="S14" s="48">
        <f>IF(B14="","",COUNTIFS('عدم المطابقة'!$C$5:$C$304,A14,'عدم المطابقة'!$L$5:$L$304,"مفتوح*"))</f>
        <v/>
      </c>
      <c r="T14" s="48">
        <f>IF(B14="","",COUNTIFS('ملاحظات التسليم'!$B$5:$B$304,A14,'ملاحظات التسليم'!$K$5:$K$304,"مفتوح*"))</f>
        <v/>
      </c>
      <c r="U14" s="49">
        <f>IF(B14="","",IF(Q14&lt;&gt;"","مسلّم نهائياً",IF(P14&lt;&gt;"","فترة الضمان",IF(G14="","بانتظار استلام الموقع",IF(TODAY()&gt;I14,"متأخر عن التعاقد",IF(J14&lt;K14-0.1,"متأخر عن الخطة","جاري التنفيذ"))))))</f>
        <v/>
      </c>
    </row>
    <row r="15">
      <c r="A15" s="39">
        <f>IF(B15="","","PRJ-"&amp;TEXT(ROW()-4,"000"))</f>
        <v/>
      </c>
      <c r="B15" s="40" t="n"/>
      <c r="C15" s="40" t="n"/>
      <c r="D15" s="40" t="n"/>
      <c r="E15" s="40" t="n"/>
      <c r="F15" s="41" t="n"/>
      <c r="G15" s="42">
        <f>IF(B15="","",IFERROR(INDEX('استلام المواقع'!$D$5:$D$304,MATCH(A15,'استلام المواقع'!$B$5:$B$304,0)),""))</f>
        <v/>
      </c>
      <c r="H15" s="43" t="n"/>
      <c r="I15" s="42">
        <f>IF(OR(G15="",H15=""),"",G15+H15)</f>
        <v/>
      </c>
      <c r="J15" s="44" t="n"/>
      <c r="K15" s="45">
        <f>IF(OR(I15="",H15=0),"",MAX(0,MIN(1,(IF(P15&lt;&gt;"",P15,TODAY())-G15)/H15)))</f>
        <v/>
      </c>
      <c r="L15" s="46">
        <f>IF(B15="","",SUMIFS('المستخلصات'!$N$5:$N$304,'المستخلصات'!$B$5:$B$304,A15))</f>
        <v/>
      </c>
      <c r="M15" s="46">
        <f>IF(B15="","",SUMIFS('سندات القبض'!$K$5:$K$304,'سندات القبض'!$D$5:$D$304,A15))</f>
        <v/>
      </c>
      <c r="N15" s="46">
        <f>IF(B15="","",SUMIFS('سندات الصرف'!$L$5:$L$304,'سندات الصرف'!$D$5:$D$304,A15))</f>
        <v/>
      </c>
      <c r="O15" s="46">
        <f>IF(B15="","",M15-N15)</f>
        <v/>
      </c>
      <c r="P15" s="47" t="n"/>
      <c r="Q15" s="47" t="n"/>
      <c r="R15" s="48">
        <f>IF(B15="","",COUNTIFS('اعتماد المواد'!$B$5:$B$304,A15,'اعتماد المواد'!$M$5:$M$304,"قيد المراجعة"))</f>
        <v/>
      </c>
      <c r="S15" s="48">
        <f>IF(B15="","",COUNTIFS('عدم المطابقة'!$C$5:$C$304,A15,'عدم المطابقة'!$L$5:$L$304,"مفتوح*"))</f>
        <v/>
      </c>
      <c r="T15" s="48">
        <f>IF(B15="","",COUNTIFS('ملاحظات التسليم'!$B$5:$B$304,A15,'ملاحظات التسليم'!$K$5:$K$304,"مفتوح*"))</f>
        <v/>
      </c>
      <c r="U15" s="49">
        <f>IF(B15="","",IF(Q15&lt;&gt;"","مسلّم نهائياً",IF(P15&lt;&gt;"","فترة الضمان",IF(G15="","بانتظار استلام الموقع",IF(TODAY()&gt;I15,"متأخر عن التعاقد",IF(J15&lt;K15-0.1,"متأخر عن الخطة","جاري التنفيذ"))))))</f>
        <v/>
      </c>
    </row>
    <row r="16">
      <c r="A16" s="39">
        <f>IF(B16="","","PRJ-"&amp;TEXT(ROW()-4,"000"))</f>
        <v/>
      </c>
      <c r="B16" s="40" t="n"/>
      <c r="C16" s="40" t="n"/>
      <c r="D16" s="40" t="n"/>
      <c r="E16" s="40" t="n"/>
      <c r="F16" s="41" t="n"/>
      <c r="G16" s="42">
        <f>IF(B16="","",IFERROR(INDEX('استلام المواقع'!$D$5:$D$304,MATCH(A16,'استلام المواقع'!$B$5:$B$304,0)),""))</f>
        <v/>
      </c>
      <c r="H16" s="43" t="n"/>
      <c r="I16" s="42">
        <f>IF(OR(G16="",H16=""),"",G16+H16)</f>
        <v/>
      </c>
      <c r="J16" s="44" t="n"/>
      <c r="K16" s="45">
        <f>IF(OR(I16="",H16=0),"",MAX(0,MIN(1,(IF(P16&lt;&gt;"",P16,TODAY())-G16)/H16)))</f>
        <v/>
      </c>
      <c r="L16" s="46">
        <f>IF(B16="","",SUMIFS('المستخلصات'!$N$5:$N$304,'المستخلصات'!$B$5:$B$304,A16))</f>
        <v/>
      </c>
      <c r="M16" s="46">
        <f>IF(B16="","",SUMIFS('سندات القبض'!$K$5:$K$304,'سندات القبض'!$D$5:$D$304,A16))</f>
        <v/>
      </c>
      <c r="N16" s="46">
        <f>IF(B16="","",SUMIFS('سندات الصرف'!$L$5:$L$304,'سندات الصرف'!$D$5:$D$304,A16))</f>
        <v/>
      </c>
      <c r="O16" s="46">
        <f>IF(B16="","",M16-N16)</f>
        <v/>
      </c>
      <c r="P16" s="47" t="n"/>
      <c r="Q16" s="47" t="n"/>
      <c r="R16" s="48">
        <f>IF(B16="","",COUNTIFS('اعتماد المواد'!$B$5:$B$304,A16,'اعتماد المواد'!$M$5:$M$304,"قيد المراجعة"))</f>
        <v/>
      </c>
      <c r="S16" s="48">
        <f>IF(B16="","",COUNTIFS('عدم المطابقة'!$C$5:$C$304,A16,'عدم المطابقة'!$L$5:$L$304,"مفتوح*"))</f>
        <v/>
      </c>
      <c r="T16" s="48">
        <f>IF(B16="","",COUNTIFS('ملاحظات التسليم'!$B$5:$B$304,A16,'ملاحظات التسليم'!$K$5:$K$304,"مفتوح*"))</f>
        <v/>
      </c>
      <c r="U16" s="49">
        <f>IF(B16="","",IF(Q16&lt;&gt;"","مسلّم نهائياً",IF(P16&lt;&gt;"","فترة الضمان",IF(G16="","بانتظار استلام الموقع",IF(TODAY()&gt;I16,"متأخر عن التعاقد",IF(J16&lt;K16-0.1,"متأخر عن الخطة","جاري التنفيذ"))))))</f>
        <v/>
      </c>
    </row>
    <row r="17">
      <c r="A17" s="39">
        <f>IF(B17="","","PRJ-"&amp;TEXT(ROW()-4,"000"))</f>
        <v/>
      </c>
      <c r="B17" s="40" t="n"/>
      <c r="C17" s="40" t="n"/>
      <c r="D17" s="40" t="n"/>
      <c r="E17" s="40" t="n"/>
      <c r="F17" s="41" t="n"/>
      <c r="G17" s="42">
        <f>IF(B17="","",IFERROR(INDEX('استلام المواقع'!$D$5:$D$304,MATCH(A17,'استلام المواقع'!$B$5:$B$304,0)),""))</f>
        <v/>
      </c>
      <c r="H17" s="43" t="n"/>
      <c r="I17" s="42">
        <f>IF(OR(G17="",H17=""),"",G17+H17)</f>
        <v/>
      </c>
      <c r="J17" s="44" t="n"/>
      <c r="K17" s="45">
        <f>IF(OR(I17="",H17=0),"",MAX(0,MIN(1,(IF(P17&lt;&gt;"",P17,TODAY())-G17)/H17)))</f>
        <v/>
      </c>
      <c r="L17" s="46">
        <f>IF(B17="","",SUMIFS('المستخلصات'!$N$5:$N$304,'المستخلصات'!$B$5:$B$304,A17))</f>
        <v/>
      </c>
      <c r="M17" s="46">
        <f>IF(B17="","",SUMIFS('سندات القبض'!$K$5:$K$304,'سندات القبض'!$D$5:$D$304,A17))</f>
        <v/>
      </c>
      <c r="N17" s="46">
        <f>IF(B17="","",SUMIFS('سندات الصرف'!$L$5:$L$304,'سندات الصرف'!$D$5:$D$304,A17))</f>
        <v/>
      </c>
      <c r="O17" s="46">
        <f>IF(B17="","",M17-N17)</f>
        <v/>
      </c>
      <c r="P17" s="47" t="n"/>
      <c r="Q17" s="47" t="n"/>
      <c r="R17" s="48">
        <f>IF(B17="","",COUNTIFS('اعتماد المواد'!$B$5:$B$304,A17,'اعتماد المواد'!$M$5:$M$304,"قيد المراجعة"))</f>
        <v/>
      </c>
      <c r="S17" s="48">
        <f>IF(B17="","",COUNTIFS('عدم المطابقة'!$C$5:$C$304,A17,'عدم المطابقة'!$L$5:$L$304,"مفتوح*"))</f>
        <v/>
      </c>
      <c r="T17" s="48">
        <f>IF(B17="","",COUNTIFS('ملاحظات التسليم'!$B$5:$B$304,A17,'ملاحظات التسليم'!$K$5:$K$304,"مفتوح*"))</f>
        <v/>
      </c>
      <c r="U17" s="49">
        <f>IF(B17="","",IF(Q17&lt;&gt;"","مسلّم نهائياً",IF(P17&lt;&gt;"","فترة الضمان",IF(G17="","بانتظار استلام الموقع",IF(TODAY()&gt;I17,"متأخر عن التعاقد",IF(J17&lt;K17-0.1,"متأخر عن الخطة","جاري التنفيذ"))))))</f>
        <v/>
      </c>
    </row>
    <row r="18">
      <c r="A18" s="39">
        <f>IF(B18="","","PRJ-"&amp;TEXT(ROW()-4,"000"))</f>
        <v/>
      </c>
      <c r="B18" s="40" t="n"/>
      <c r="C18" s="40" t="n"/>
      <c r="D18" s="40" t="n"/>
      <c r="E18" s="40" t="n"/>
      <c r="F18" s="41" t="n"/>
      <c r="G18" s="42">
        <f>IF(B18="","",IFERROR(INDEX('استلام المواقع'!$D$5:$D$304,MATCH(A18,'استلام المواقع'!$B$5:$B$304,0)),""))</f>
        <v/>
      </c>
      <c r="H18" s="43" t="n"/>
      <c r="I18" s="42">
        <f>IF(OR(G18="",H18=""),"",G18+H18)</f>
        <v/>
      </c>
      <c r="J18" s="44" t="n"/>
      <c r="K18" s="45">
        <f>IF(OR(I18="",H18=0),"",MAX(0,MIN(1,(IF(P18&lt;&gt;"",P18,TODAY())-G18)/H18)))</f>
        <v/>
      </c>
      <c r="L18" s="46">
        <f>IF(B18="","",SUMIFS('المستخلصات'!$N$5:$N$304,'المستخلصات'!$B$5:$B$304,A18))</f>
        <v/>
      </c>
      <c r="M18" s="46">
        <f>IF(B18="","",SUMIFS('سندات القبض'!$K$5:$K$304,'سندات القبض'!$D$5:$D$304,A18))</f>
        <v/>
      </c>
      <c r="N18" s="46">
        <f>IF(B18="","",SUMIFS('سندات الصرف'!$L$5:$L$304,'سندات الصرف'!$D$5:$D$304,A18))</f>
        <v/>
      </c>
      <c r="O18" s="46">
        <f>IF(B18="","",M18-N18)</f>
        <v/>
      </c>
      <c r="P18" s="47" t="n"/>
      <c r="Q18" s="47" t="n"/>
      <c r="R18" s="48">
        <f>IF(B18="","",COUNTIFS('اعتماد المواد'!$B$5:$B$304,A18,'اعتماد المواد'!$M$5:$M$304,"قيد المراجعة"))</f>
        <v/>
      </c>
      <c r="S18" s="48">
        <f>IF(B18="","",COUNTIFS('عدم المطابقة'!$C$5:$C$304,A18,'عدم المطابقة'!$L$5:$L$304,"مفتوح*"))</f>
        <v/>
      </c>
      <c r="T18" s="48">
        <f>IF(B18="","",COUNTIFS('ملاحظات التسليم'!$B$5:$B$304,A18,'ملاحظات التسليم'!$K$5:$K$304,"مفتوح*"))</f>
        <v/>
      </c>
      <c r="U18" s="49">
        <f>IF(B18="","",IF(Q18&lt;&gt;"","مسلّم نهائياً",IF(P18&lt;&gt;"","فترة الضمان",IF(G18="","بانتظار استلام الموقع",IF(TODAY()&gt;I18,"متأخر عن التعاقد",IF(J18&lt;K18-0.1,"متأخر عن الخطة","جاري التنفيذ"))))))</f>
        <v/>
      </c>
    </row>
    <row r="19">
      <c r="A19" s="39">
        <f>IF(B19="","","PRJ-"&amp;TEXT(ROW()-4,"000"))</f>
        <v/>
      </c>
      <c r="B19" s="40" t="n"/>
      <c r="C19" s="40" t="n"/>
      <c r="D19" s="40" t="n"/>
      <c r="E19" s="40" t="n"/>
      <c r="F19" s="41" t="n"/>
      <c r="G19" s="42">
        <f>IF(B19="","",IFERROR(INDEX('استلام المواقع'!$D$5:$D$304,MATCH(A19,'استلام المواقع'!$B$5:$B$304,0)),""))</f>
        <v/>
      </c>
      <c r="H19" s="43" t="n"/>
      <c r="I19" s="42">
        <f>IF(OR(G19="",H19=""),"",G19+H19)</f>
        <v/>
      </c>
      <c r="J19" s="44" t="n"/>
      <c r="K19" s="45">
        <f>IF(OR(I19="",H19=0),"",MAX(0,MIN(1,(IF(P19&lt;&gt;"",P19,TODAY())-G19)/H19)))</f>
        <v/>
      </c>
      <c r="L19" s="46">
        <f>IF(B19="","",SUMIFS('المستخلصات'!$N$5:$N$304,'المستخلصات'!$B$5:$B$304,A19))</f>
        <v/>
      </c>
      <c r="M19" s="46">
        <f>IF(B19="","",SUMIFS('سندات القبض'!$K$5:$K$304,'سندات القبض'!$D$5:$D$304,A19))</f>
        <v/>
      </c>
      <c r="N19" s="46">
        <f>IF(B19="","",SUMIFS('سندات الصرف'!$L$5:$L$304,'سندات الصرف'!$D$5:$D$304,A19))</f>
        <v/>
      </c>
      <c r="O19" s="46">
        <f>IF(B19="","",M19-N19)</f>
        <v/>
      </c>
      <c r="P19" s="47" t="n"/>
      <c r="Q19" s="47" t="n"/>
      <c r="R19" s="48">
        <f>IF(B19="","",COUNTIFS('اعتماد المواد'!$B$5:$B$304,A19,'اعتماد المواد'!$M$5:$M$304,"قيد المراجعة"))</f>
        <v/>
      </c>
      <c r="S19" s="48">
        <f>IF(B19="","",COUNTIFS('عدم المطابقة'!$C$5:$C$304,A19,'عدم المطابقة'!$L$5:$L$304,"مفتوح*"))</f>
        <v/>
      </c>
      <c r="T19" s="48">
        <f>IF(B19="","",COUNTIFS('ملاحظات التسليم'!$B$5:$B$304,A19,'ملاحظات التسليم'!$K$5:$K$304,"مفتوح*"))</f>
        <v/>
      </c>
      <c r="U19" s="49">
        <f>IF(B19="","",IF(Q19&lt;&gt;"","مسلّم نهائياً",IF(P19&lt;&gt;"","فترة الضمان",IF(G19="","بانتظار استلام الموقع",IF(TODAY()&gt;I19,"متأخر عن التعاقد",IF(J19&lt;K19-0.1,"متأخر عن الخطة","جاري التنفيذ"))))))</f>
        <v/>
      </c>
    </row>
    <row r="20">
      <c r="A20" s="39">
        <f>IF(B20="","","PRJ-"&amp;TEXT(ROW()-4,"000"))</f>
        <v/>
      </c>
      <c r="B20" s="40" t="n"/>
      <c r="C20" s="40" t="n"/>
      <c r="D20" s="40" t="n"/>
      <c r="E20" s="40" t="n"/>
      <c r="F20" s="41" t="n"/>
      <c r="G20" s="42">
        <f>IF(B20="","",IFERROR(INDEX('استلام المواقع'!$D$5:$D$304,MATCH(A20,'استلام المواقع'!$B$5:$B$304,0)),""))</f>
        <v/>
      </c>
      <c r="H20" s="43" t="n"/>
      <c r="I20" s="42">
        <f>IF(OR(G20="",H20=""),"",G20+H20)</f>
        <v/>
      </c>
      <c r="J20" s="44" t="n"/>
      <c r="K20" s="45">
        <f>IF(OR(I20="",H20=0),"",MAX(0,MIN(1,(IF(P20&lt;&gt;"",P20,TODAY())-G20)/H20)))</f>
        <v/>
      </c>
      <c r="L20" s="46">
        <f>IF(B20="","",SUMIFS('المستخلصات'!$N$5:$N$304,'المستخلصات'!$B$5:$B$304,A20))</f>
        <v/>
      </c>
      <c r="M20" s="46">
        <f>IF(B20="","",SUMIFS('سندات القبض'!$K$5:$K$304,'سندات القبض'!$D$5:$D$304,A20))</f>
        <v/>
      </c>
      <c r="N20" s="46">
        <f>IF(B20="","",SUMIFS('سندات الصرف'!$L$5:$L$304,'سندات الصرف'!$D$5:$D$304,A20))</f>
        <v/>
      </c>
      <c r="O20" s="46">
        <f>IF(B20="","",M20-N20)</f>
        <v/>
      </c>
      <c r="P20" s="47" t="n"/>
      <c r="Q20" s="47" t="n"/>
      <c r="R20" s="48">
        <f>IF(B20="","",COUNTIFS('اعتماد المواد'!$B$5:$B$304,A20,'اعتماد المواد'!$M$5:$M$304,"قيد المراجعة"))</f>
        <v/>
      </c>
      <c r="S20" s="48">
        <f>IF(B20="","",COUNTIFS('عدم المطابقة'!$C$5:$C$304,A20,'عدم المطابقة'!$L$5:$L$304,"مفتوح*"))</f>
        <v/>
      </c>
      <c r="T20" s="48">
        <f>IF(B20="","",COUNTIFS('ملاحظات التسليم'!$B$5:$B$304,A20,'ملاحظات التسليم'!$K$5:$K$304,"مفتوح*"))</f>
        <v/>
      </c>
      <c r="U20" s="49">
        <f>IF(B20="","",IF(Q20&lt;&gt;"","مسلّم نهائياً",IF(P20&lt;&gt;"","فترة الضمان",IF(G20="","بانتظار استلام الموقع",IF(TODAY()&gt;I20,"متأخر عن التعاقد",IF(J20&lt;K20-0.1,"متأخر عن الخطة","جاري التنفيذ"))))))</f>
        <v/>
      </c>
    </row>
    <row r="21">
      <c r="A21" s="39">
        <f>IF(B21="","","PRJ-"&amp;TEXT(ROW()-4,"000"))</f>
        <v/>
      </c>
      <c r="B21" s="40" t="n"/>
      <c r="C21" s="40" t="n"/>
      <c r="D21" s="40" t="n"/>
      <c r="E21" s="40" t="n"/>
      <c r="F21" s="41" t="n"/>
      <c r="G21" s="42">
        <f>IF(B21="","",IFERROR(INDEX('استلام المواقع'!$D$5:$D$304,MATCH(A21,'استلام المواقع'!$B$5:$B$304,0)),""))</f>
        <v/>
      </c>
      <c r="H21" s="43" t="n"/>
      <c r="I21" s="42">
        <f>IF(OR(G21="",H21=""),"",G21+H21)</f>
        <v/>
      </c>
      <c r="J21" s="44" t="n"/>
      <c r="K21" s="45">
        <f>IF(OR(I21="",H21=0),"",MAX(0,MIN(1,(IF(P21&lt;&gt;"",P21,TODAY())-G21)/H21)))</f>
        <v/>
      </c>
      <c r="L21" s="46">
        <f>IF(B21="","",SUMIFS('المستخلصات'!$N$5:$N$304,'المستخلصات'!$B$5:$B$304,A21))</f>
        <v/>
      </c>
      <c r="M21" s="46">
        <f>IF(B21="","",SUMIFS('سندات القبض'!$K$5:$K$304,'سندات القبض'!$D$5:$D$304,A21))</f>
        <v/>
      </c>
      <c r="N21" s="46">
        <f>IF(B21="","",SUMIFS('سندات الصرف'!$L$5:$L$304,'سندات الصرف'!$D$5:$D$304,A21))</f>
        <v/>
      </c>
      <c r="O21" s="46">
        <f>IF(B21="","",M21-N21)</f>
        <v/>
      </c>
      <c r="P21" s="47" t="n"/>
      <c r="Q21" s="47" t="n"/>
      <c r="R21" s="48">
        <f>IF(B21="","",COUNTIFS('اعتماد المواد'!$B$5:$B$304,A21,'اعتماد المواد'!$M$5:$M$304,"قيد المراجعة"))</f>
        <v/>
      </c>
      <c r="S21" s="48">
        <f>IF(B21="","",COUNTIFS('عدم المطابقة'!$C$5:$C$304,A21,'عدم المطابقة'!$L$5:$L$304,"مفتوح*"))</f>
        <v/>
      </c>
      <c r="T21" s="48">
        <f>IF(B21="","",COUNTIFS('ملاحظات التسليم'!$B$5:$B$304,A21,'ملاحظات التسليم'!$K$5:$K$304,"مفتوح*"))</f>
        <v/>
      </c>
      <c r="U21" s="49">
        <f>IF(B21="","",IF(Q21&lt;&gt;"","مسلّم نهائياً",IF(P21&lt;&gt;"","فترة الضمان",IF(G21="","بانتظار استلام الموقع",IF(TODAY()&gt;I21,"متأخر عن التعاقد",IF(J21&lt;K21-0.1,"متأخر عن الخطة","جاري التنفيذ"))))))</f>
        <v/>
      </c>
    </row>
    <row r="22">
      <c r="A22" s="39">
        <f>IF(B22="","","PRJ-"&amp;TEXT(ROW()-4,"000"))</f>
        <v/>
      </c>
      <c r="B22" s="40" t="n"/>
      <c r="C22" s="40" t="n"/>
      <c r="D22" s="40" t="n"/>
      <c r="E22" s="40" t="n"/>
      <c r="F22" s="41" t="n"/>
      <c r="G22" s="42">
        <f>IF(B22="","",IFERROR(INDEX('استلام المواقع'!$D$5:$D$304,MATCH(A22,'استلام المواقع'!$B$5:$B$304,0)),""))</f>
        <v/>
      </c>
      <c r="H22" s="43" t="n"/>
      <c r="I22" s="42">
        <f>IF(OR(G22="",H22=""),"",G22+H22)</f>
        <v/>
      </c>
      <c r="J22" s="44" t="n"/>
      <c r="K22" s="45">
        <f>IF(OR(I22="",H22=0),"",MAX(0,MIN(1,(IF(P22&lt;&gt;"",P22,TODAY())-G22)/H22)))</f>
        <v/>
      </c>
      <c r="L22" s="46">
        <f>IF(B22="","",SUMIFS('المستخلصات'!$N$5:$N$304,'المستخلصات'!$B$5:$B$304,A22))</f>
        <v/>
      </c>
      <c r="M22" s="46">
        <f>IF(B22="","",SUMIFS('سندات القبض'!$K$5:$K$304,'سندات القبض'!$D$5:$D$304,A22))</f>
        <v/>
      </c>
      <c r="N22" s="46">
        <f>IF(B22="","",SUMIFS('سندات الصرف'!$L$5:$L$304,'سندات الصرف'!$D$5:$D$304,A22))</f>
        <v/>
      </c>
      <c r="O22" s="46">
        <f>IF(B22="","",M22-N22)</f>
        <v/>
      </c>
      <c r="P22" s="47" t="n"/>
      <c r="Q22" s="47" t="n"/>
      <c r="R22" s="48">
        <f>IF(B22="","",COUNTIFS('اعتماد المواد'!$B$5:$B$304,A22,'اعتماد المواد'!$M$5:$M$304,"قيد المراجعة"))</f>
        <v/>
      </c>
      <c r="S22" s="48">
        <f>IF(B22="","",COUNTIFS('عدم المطابقة'!$C$5:$C$304,A22,'عدم المطابقة'!$L$5:$L$304,"مفتوح*"))</f>
        <v/>
      </c>
      <c r="T22" s="48">
        <f>IF(B22="","",COUNTIFS('ملاحظات التسليم'!$B$5:$B$304,A22,'ملاحظات التسليم'!$K$5:$K$304,"مفتوح*"))</f>
        <v/>
      </c>
      <c r="U22" s="49">
        <f>IF(B22="","",IF(Q22&lt;&gt;"","مسلّم نهائياً",IF(P22&lt;&gt;"","فترة الضمان",IF(G22="","بانتظار استلام الموقع",IF(TODAY()&gt;I22,"متأخر عن التعاقد",IF(J22&lt;K22-0.1,"متأخر عن الخطة","جاري التنفيذ"))))))</f>
        <v/>
      </c>
    </row>
    <row r="23">
      <c r="A23" s="39">
        <f>IF(B23="","","PRJ-"&amp;TEXT(ROW()-4,"000"))</f>
        <v/>
      </c>
      <c r="B23" s="40" t="n"/>
      <c r="C23" s="40" t="n"/>
      <c r="D23" s="40" t="n"/>
      <c r="E23" s="40" t="n"/>
      <c r="F23" s="41" t="n"/>
      <c r="G23" s="42">
        <f>IF(B23="","",IFERROR(INDEX('استلام المواقع'!$D$5:$D$304,MATCH(A23,'استلام المواقع'!$B$5:$B$304,0)),""))</f>
        <v/>
      </c>
      <c r="H23" s="43" t="n"/>
      <c r="I23" s="42">
        <f>IF(OR(G23="",H23=""),"",G23+H23)</f>
        <v/>
      </c>
      <c r="J23" s="44" t="n"/>
      <c r="K23" s="45">
        <f>IF(OR(I23="",H23=0),"",MAX(0,MIN(1,(IF(P23&lt;&gt;"",P23,TODAY())-G23)/H23)))</f>
        <v/>
      </c>
      <c r="L23" s="46">
        <f>IF(B23="","",SUMIFS('المستخلصات'!$N$5:$N$304,'المستخلصات'!$B$5:$B$304,A23))</f>
        <v/>
      </c>
      <c r="M23" s="46">
        <f>IF(B23="","",SUMIFS('سندات القبض'!$K$5:$K$304,'سندات القبض'!$D$5:$D$304,A23))</f>
        <v/>
      </c>
      <c r="N23" s="46">
        <f>IF(B23="","",SUMIFS('سندات الصرف'!$L$5:$L$304,'سندات الصرف'!$D$5:$D$304,A23))</f>
        <v/>
      </c>
      <c r="O23" s="46">
        <f>IF(B23="","",M23-N23)</f>
        <v/>
      </c>
      <c r="P23" s="47" t="n"/>
      <c r="Q23" s="47" t="n"/>
      <c r="R23" s="48">
        <f>IF(B23="","",COUNTIFS('اعتماد المواد'!$B$5:$B$304,A23,'اعتماد المواد'!$M$5:$M$304,"قيد المراجعة"))</f>
        <v/>
      </c>
      <c r="S23" s="48">
        <f>IF(B23="","",COUNTIFS('عدم المطابقة'!$C$5:$C$304,A23,'عدم المطابقة'!$L$5:$L$304,"مفتوح*"))</f>
        <v/>
      </c>
      <c r="T23" s="48">
        <f>IF(B23="","",COUNTIFS('ملاحظات التسليم'!$B$5:$B$304,A23,'ملاحظات التسليم'!$K$5:$K$304,"مفتوح*"))</f>
        <v/>
      </c>
      <c r="U23" s="49">
        <f>IF(B23="","",IF(Q23&lt;&gt;"","مسلّم نهائياً",IF(P23&lt;&gt;"","فترة الضمان",IF(G23="","بانتظار استلام الموقع",IF(TODAY()&gt;I23,"متأخر عن التعاقد",IF(J23&lt;K23-0.1,"متأخر عن الخطة","جاري التنفيذ"))))))</f>
        <v/>
      </c>
    </row>
    <row r="24">
      <c r="A24" s="39">
        <f>IF(B24="","","PRJ-"&amp;TEXT(ROW()-4,"000"))</f>
        <v/>
      </c>
      <c r="B24" s="40" t="n"/>
      <c r="C24" s="40" t="n"/>
      <c r="D24" s="40" t="n"/>
      <c r="E24" s="40" t="n"/>
      <c r="F24" s="41" t="n"/>
      <c r="G24" s="42">
        <f>IF(B24="","",IFERROR(INDEX('استلام المواقع'!$D$5:$D$304,MATCH(A24,'استلام المواقع'!$B$5:$B$304,0)),""))</f>
        <v/>
      </c>
      <c r="H24" s="43" t="n"/>
      <c r="I24" s="42">
        <f>IF(OR(G24="",H24=""),"",G24+H24)</f>
        <v/>
      </c>
      <c r="J24" s="44" t="n"/>
      <c r="K24" s="45">
        <f>IF(OR(I24="",H24=0),"",MAX(0,MIN(1,(IF(P24&lt;&gt;"",P24,TODAY())-G24)/H24)))</f>
        <v/>
      </c>
      <c r="L24" s="46">
        <f>IF(B24="","",SUMIFS('المستخلصات'!$N$5:$N$304,'المستخلصات'!$B$5:$B$304,A24))</f>
        <v/>
      </c>
      <c r="M24" s="46">
        <f>IF(B24="","",SUMIFS('سندات القبض'!$K$5:$K$304,'سندات القبض'!$D$5:$D$304,A24))</f>
        <v/>
      </c>
      <c r="N24" s="46">
        <f>IF(B24="","",SUMIFS('سندات الصرف'!$L$5:$L$304,'سندات الصرف'!$D$5:$D$304,A24))</f>
        <v/>
      </c>
      <c r="O24" s="46">
        <f>IF(B24="","",M24-N24)</f>
        <v/>
      </c>
      <c r="P24" s="47" t="n"/>
      <c r="Q24" s="47" t="n"/>
      <c r="R24" s="48">
        <f>IF(B24="","",COUNTIFS('اعتماد المواد'!$B$5:$B$304,A24,'اعتماد المواد'!$M$5:$M$304,"قيد المراجعة"))</f>
        <v/>
      </c>
      <c r="S24" s="48">
        <f>IF(B24="","",COUNTIFS('عدم المطابقة'!$C$5:$C$304,A24,'عدم المطابقة'!$L$5:$L$304,"مفتوح*"))</f>
        <v/>
      </c>
      <c r="T24" s="48">
        <f>IF(B24="","",COUNTIFS('ملاحظات التسليم'!$B$5:$B$304,A24,'ملاحظات التسليم'!$K$5:$K$304,"مفتوح*"))</f>
        <v/>
      </c>
      <c r="U24" s="49">
        <f>IF(B24="","",IF(Q24&lt;&gt;"","مسلّم نهائياً",IF(P24&lt;&gt;"","فترة الضمان",IF(G24="","بانتظار استلام الموقع",IF(TODAY()&gt;I24,"متأخر عن التعاقد",IF(J24&lt;K24-0.1,"متأخر عن الخطة","جاري التنفيذ"))))))</f>
        <v/>
      </c>
    </row>
    <row r="25">
      <c r="A25" s="39">
        <f>IF(B25="","","PRJ-"&amp;TEXT(ROW()-4,"000"))</f>
        <v/>
      </c>
      <c r="B25" s="40" t="n"/>
      <c r="C25" s="40" t="n"/>
      <c r="D25" s="40" t="n"/>
      <c r="E25" s="40" t="n"/>
      <c r="F25" s="41" t="n"/>
      <c r="G25" s="42">
        <f>IF(B25="","",IFERROR(INDEX('استلام المواقع'!$D$5:$D$304,MATCH(A25,'استلام المواقع'!$B$5:$B$304,0)),""))</f>
        <v/>
      </c>
      <c r="H25" s="43" t="n"/>
      <c r="I25" s="42">
        <f>IF(OR(G25="",H25=""),"",G25+H25)</f>
        <v/>
      </c>
      <c r="J25" s="44" t="n"/>
      <c r="K25" s="45">
        <f>IF(OR(I25="",H25=0),"",MAX(0,MIN(1,(IF(P25&lt;&gt;"",P25,TODAY())-G25)/H25)))</f>
        <v/>
      </c>
      <c r="L25" s="46">
        <f>IF(B25="","",SUMIFS('المستخلصات'!$N$5:$N$304,'المستخلصات'!$B$5:$B$304,A25))</f>
        <v/>
      </c>
      <c r="M25" s="46">
        <f>IF(B25="","",SUMIFS('سندات القبض'!$K$5:$K$304,'سندات القبض'!$D$5:$D$304,A25))</f>
        <v/>
      </c>
      <c r="N25" s="46">
        <f>IF(B25="","",SUMIFS('سندات الصرف'!$L$5:$L$304,'سندات الصرف'!$D$5:$D$304,A25))</f>
        <v/>
      </c>
      <c r="O25" s="46">
        <f>IF(B25="","",M25-N25)</f>
        <v/>
      </c>
      <c r="P25" s="47" t="n"/>
      <c r="Q25" s="47" t="n"/>
      <c r="R25" s="48">
        <f>IF(B25="","",COUNTIFS('اعتماد المواد'!$B$5:$B$304,A25,'اعتماد المواد'!$M$5:$M$304,"قيد المراجعة"))</f>
        <v/>
      </c>
      <c r="S25" s="48">
        <f>IF(B25="","",COUNTIFS('عدم المطابقة'!$C$5:$C$304,A25,'عدم المطابقة'!$L$5:$L$304,"مفتوح*"))</f>
        <v/>
      </c>
      <c r="T25" s="48">
        <f>IF(B25="","",COUNTIFS('ملاحظات التسليم'!$B$5:$B$304,A25,'ملاحظات التسليم'!$K$5:$K$304,"مفتوح*"))</f>
        <v/>
      </c>
      <c r="U25" s="49">
        <f>IF(B25="","",IF(Q25&lt;&gt;"","مسلّم نهائياً",IF(P25&lt;&gt;"","فترة الضمان",IF(G25="","بانتظار استلام الموقع",IF(TODAY()&gt;I25,"متأخر عن التعاقد",IF(J25&lt;K25-0.1,"متأخر عن الخطة","جاري التنفيذ"))))))</f>
        <v/>
      </c>
    </row>
    <row r="26">
      <c r="A26" s="39">
        <f>IF(B26="","","PRJ-"&amp;TEXT(ROW()-4,"000"))</f>
        <v/>
      </c>
      <c r="B26" s="40" t="n"/>
      <c r="C26" s="40" t="n"/>
      <c r="D26" s="40" t="n"/>
      <c r="E26" s="40" t="n"/>
      <c r="F26" s="41" t="n"/>
      <c r="G26" s="42">
        <f>IF(B26="","",IFERROR(INDEX('استلام المواقع'!$D$5:$D$304,MATCH(A26,'استلام المواقع'!$B$5:$B$304,0)),""))</f>
        <v/>
      </c>
      <c r="H26" s="43" t="n"/>
      <c r="I26" s="42">
        <f>IF(OR(G26="",H26=""),"",G26+H26)</f>
        <v/>
      </c>
      <c r="J26" s="44" t="n"/>
      <c r="K26" s="45">
        <f>IF(OR(I26="",H26=0),"",MAX(0,MIN(1,(IF(P26&lt;&gt;"",P26,TODAY())-G26)/H26)))</f>
        <v/>
      </c>
      <c r="L26" s="46">
        <f>IF(B26="","",SUMIFS('المستخلصات'!$N$5:$N$304,'المستخلصات'!$B$5:$B$304,A26))</f>
        <v/>
      </c>
      <c r="M26" s="46">
        <f>IF(B26="","",SUMIFS('سندات القبض'!$K$5:$K$304,'سندات القبض'!$D$5:$D$304,A26))</f>
        <v/>
      </c>
      <c r="N26" s="46">
        <f>IF(B26="","",SUMIFS('سندات الصرف'!$L$5:$L$304,'سندات الصرف'!$D$5:$D$304,A26))</f>
        <v/>
      </c>
      <c r="O26" s="46">
        <f>IF(B26="","",M26-N26)</f>
        <v/>
      </c>
      <c r="P26" s="47" t="n"/>
      <c r="Q26" s="47" t="n"/>
      <c r="R26" s="48">
        <f>IF(B26="","",COUNTIFS('اعتماد المواد'!$B$5:$B$304,A26,'اعتماد المواد'!$M$5:$M$304,"قيد المراجعة"))</f>
        <v/>
      </c>
      <c r="S26" s="48">
        <f>IF(B26="","",COUNTIFS('عدم المطابقة'!$C$5:$C$304,A26,'عدم المطابقة'!$L$5:$L$304,"مفتوح*"))</f>
        <v/>
      </c>
      <c r="T26" s="48">
        <f>IF(B26="","",COUNTIFS('ملاحظات التسليم'!$B$5:$B$304,A26,'ملاحظات التسليم'!$K$5:$K$304,"مفتوح*"))</f>
        <v/>
      </c>
      <c r="U26" s="49">
        <f>IF(B26="","",IF(Q26&lt;&gt;"","مسلّم نهائياً",IF(P26&lt;&gt;"","فترة الضمان",IF(G26="","بانتظار استلام الموقع",IF(TODAY()&gt;I26,"متأخر عن التعاقد",IF(J26&lt;K26-0.1,"متأخر عن الخطة","جاري التنفيذ"))))))</f>
        <v/>
      </c>
    </row>
    <row r="27">
      <c r="A27" s="39">
        <f>IF(B27="","","PRJ-"&amp;TEXT(ROW()-4,"000"))</f>
        <v/>
      </c>
      <c r="B27" s="40" t="n"/>
      <c r="C27" s="40" t="n"/>
      <c r="D27" s="40" t="n"/>
      <c r="E27" s="40" t="n"/>
      <c r="F27" s="41" t="n"/>
      <c r="G27" s="42">
        <f>IF(B27="","",IFERROR(INDEX('استلام المواقع'!$D$5:$D$304,MATCH(A27,'استلام المواقع'!$B$5:$B$304,0)),""))</f>
        <v/>
      </c>
      <c r="H27" s="43" t="n"/>
      <c r="I27" s="42">
        <f>IF(OR(G27="",H27=""),"",G27+H27)</f>
        <v/>
      </c>
      <c r="J27" s="44" t="n"/>
      <c r="K27" s="45">
        <f>IF(OR(I27="",H27=0),"",MAX(0,MIN(1,(IF(P27&lt;&gt;"",P27,TODAY())-G27)/H27)))</f>
        <v/>
      </c>
      <c r="L27" s="46">
        <f>IF(B27="","",SUMIFS('المستخلصات'!$N$5:$N$304,'المستخلصات'!$B$5:$B$304,A27))</f>
        <v/>
      </c>
      <c r="M27" s="46">
        <f>IF(B27="","",SUMIFS('سندات القبض'!$K$5:$K$304,'سندات القبض'!$D$5:$D$304,A27))</f>
        <v/>
      </c>
      <c r="N27" s="46">
        <f>IF(B27="","",SUMIFS('سندات الصرف'!$L$5:$L$304,'سندات الصرف'!$D$5:$D$304,A27))</f>
        <v/>
      </c>
      <c r="O27" s="46">
        <f>IF(B27="","",M27-N27)</f>
        <v/>
      </c>
      <c r="P27" s="47" t="n"/>
      <c r="Q27" s="47" t="n"/>
      <c r="R27" s="48">
        <f>IF(B27="","",COUNTIFS('اعتماد المواد'!$B$5:$B$304,A27,'اعتماد المواد'!$M$5:$M$304,"قيد المراجعة"))</f>
        <v/>
      </c>
      <c r="S27" s="48">
        <f>IF(B27="","",COUNTIFS('عدم المطابقة'!$C$5:$C$304,A27,'عدم المطابقة'!$L$5:$L$304,"مفتوح*"))</f>
        <v/>
      </c>
      <c r="T27" s="48">
        <f>IF(B27="","",COUNTIFS('ملاحظات التسليم'!$B$5:$B$304,A27,'ملاحظات التسليم'!$K$5:$K$304,"مفتوح*"))</f>
        <v/>
      </c>
      <c r="U27" s="49">
        <f>IF(B27="","",IF(Q27&lt;&gt;"","مسلّم نهائياً",IF(P27&lt;&gt;"","فترة الضمان",IF(G27="","بانتظار استلام الموقع",IF(TODAY()&gt;I27,"متأخر عن التعاقد",IF(J27&lt;K27-0.1,"متأخر عن الخطة","جاري التنفيذ"))))))</f>
        <v/>
      </c>
    </row>
    <row r="28">
      <c r="A28" s="39">
        <f>IF(B28="","","PRJ-"&amp;TEXT(ROW()-4,"000"))</f>
        <v/>
      </c>
      <c r="B28" s="40" t="n"/>
      <c r="C28" s="40" t="n"/>
      <c r="D28" s="40" t="n"/>
      <c r="E28" s="40" t="n"/>
      <c r="F28" s="41" t="n"/>
      <c r="G28" s="42">
        <f>IF(B28="","",IFERROR(INDEX('استلام المواقع'!$D$5:$D$304,MATCH(A28,'استلام المواقع'!$B$5:$B$304,0)),""))</f>
        <v/>
      </c>
      <c r="H28" s="43" t="n"/>
      <c r="I28" s="42">
        <f>IF(OR(G28="",H28=""),"",G28+H28)</f>
        <v/>
      </c>
      <c r="J28" s="44" t="n"/>
      <c r="K28" s="45">
        <f>IF(OR(I28="",H28=0),"",MAX(0,MIN(1,(IF(P28&lt;&gt;"",P28,TODAY())-G28)/H28)))</f>
        <v/>
      </c>
      <c r="L28" s="46">
        <f>IF(B28="","",SUMIFS('المستخلصات'!$N$5:$N$304,'المستخلصات'!$B$5:$B$304,A28))</f>
        <v/>
      </c>
      <c r="M28" s="46">
        <f>IF(B28="","",SUMIFS('سندات القبض'!$K$5:$K$304,'سندات القبض'!$D$5:$D$304,A28))</f>
        <v/>
      </c>
      <c r="N28" s="46">
        <f>IF(B28="","",SUMIFS('سندات الصرف'!$L$5:$L$304,'سندات الصرف'!$D$5:$D$304,A28))</f>
        <v/>
      </c>
      <c r="O28" s="46">
        <f>IF(B28="","",M28-N28)</f>
        <v/>
      </c>
      <c r="P28" s="47" t="n"/>
      <c r="Q28" s="47" t="n"/>
      <c r="R28" s="48">
        <f>IF(B28="","",COUNTIFS('اعتماد المواد'!$B$5:$B$304,A28,'اعتماد المواد'!$M$5:$M$304,"قيد المراجعة"))</f>
        <v/>
      </c>
      <c r="S28" s="48">
        <f>IF(B28="","",COUNTIFS('عدم المطابقة'!$C$5:$C$304,A28,'عدم المطابقة'!$L$5:$L$304,"مفتوح*"))</f>
        <v/>
      </c>
      <c r="T28" s="48">
        <f>IF(B28="","",COUNTIFS('ملاحظات التسليم'!$B$5:$B$304,A28,'ملاحظات التسليم'!$K$5:$K$304,"مفتوح*"))</f>
        <v/>
      </c>
      <c r="U28" s="49">
        <f>IF(B28="","",IF(Q28&lt;&gt;"","مسلّم نهائياً",IF(P28&lt;&gt;"","فترة الضمان",IF(G28="","بانتظار استلام الموقع",IF(TODAY()&gt;I28,"متأخر عن التعاقد",IF(J28&lt;K28-0.1,"متأخر عن الخطة","جاري التنفيذ"))))))</f>
        <v/>
      </c>
    </row>
    <row r="29">
      <c r="A29" s="39">
        <f>IF(B29="","","PRJ-"&amp;TEXT(ROW()-4,"000"))</f>
        <v/>
      </c>
      <c r="B29" s="40" t="n"/>
      <c r="C29" s="40" t="n"/>
      <c r="D29" s="40" t="n"/>
      <c r="E29" s="40" t="n"/>
      <c r="F29" s="41" t="n"/>
      <c r="G29" s="42">
        <f>IF(B29="","",IFERROR(INDEX('استلام المواقع'!$D$5:$D$304,MATCH(A29,'استلام المواقع'!$B$5:$B$304,0)),""))</f>
        <v/>
      </c>
      <c r="H29" s="43" t="n"/>
      <c r="I29" s="42">
        <f>IF(OR(G29="",H29=""),"",G29+H29)</f>
        <v/>
      </c>
      <c r="J29" s="44" t="n"/>
      <c r="K29" s="45">
        <f>IF(OR(I29="",H29=0),"",MAX(0,MIN(1,(IF(P29&lt;&gt;"",P29,TODAY())-G29)/H29)))</f>
        <v/>
      </c>
      <c r="L29" s="46">
        <f>IF(B29="","",SUMIFS('المستخلصات'!$N$5:$N$304,'المستخلصات'!$B$5:$B$304,A29))</f>
        <v/>
      </c>
      <c r="M29" s="46">
        <f>IF(B29="","",SUMIFS('سندات القبض'!$K$5:$K$304,'سندات القبض'!$D$5:$D$304,A29))</f>
        <v/>
      </c>
      <c r="N29" s="46">
        <f>IF(B29="","",SUMIFS('سندات الصرف'!$L$5:$L$304,'سندات الصرف'!$D$5:$D$304,A29))</f>
        <v/>
      </c>
      <c r="O29" s="46">
        <f>IF(B29="","",M29-N29)</f>
        <v/>
      </c>
      <c r="P29" s="47" t="n"/>
      <c r="Q29" s="47" t="n"/>
      <c r="R29" s="48">
        <f>IF(B29="","",COUNTIFS('اعتماد المواد'!$B$5:$B$304,A29,'اعتماد المواد'!$M$5:$M$304,"قيد المراجعة"))</f>
        <v/>
      </c>
      <c r="S29" s="48">
        <f>IF(B29="","",COUNTIFS('عدم المطابقة'!$C$5:$C$304,A29,'عدم المطابقة'!$L$5:$L$304,"مفتوح*"))</f>
        <v/>
      </c>
      <c r="T29" s="48">
        <f>IF(B29="","",COUNTIFS('ملاحظات التسليم'!$B$5:$B$304,A29,'ملاحظات التسليم'!$K$5:$K$304,"مفتوح*"))</f>
        <v/>
      </c>
      <c r="U29" s="49">
        <f>IF(B29="","",IF(Q29&lt;&gt;"","مسلّم نهائياً",IF(P29&lt;&gt;"","فترة الضمان",IF(G29="","بانتظار استلام الموقع",IF(TODAY()&gt;I29,"متأخر عن التعاقد",IF(J29&lt;K29-0.1,"متأخر عن الخطة","جاري التنفيذ"))))))</f>
        <v/>
      </c>
    </row>
    <row r="30">
      <c r="A30" s="39">
        <f>IF(B30="","","PRJ-"&amp;TEXT(ROW()-4,"000"))</f>
        <v/>
      </c>
      <c r="B30" s="40" t="n"/>
      <c r="C30" s="40" t="n"/>
      <c r="D30" s="40" t="n"/>
      <c r="E30" s="40" t="n"/>
      <c r="F30" s="41" t="n"/>
      <c r="G30" s="42">
        <f>IF(B30="","",IFERROR(INDEX('استلام المواقع'!$D$5:$D$304,MATCH(A30,'استلام المواقع'!$B$5:$B$304,0)),""))</f>
        <v/>
      </c>
      <c r="H30" s="43" t="n"/>
      <c r="I30" s="42">
        <f>IF(OR(G30="",H30=""),"",G30+H30)</f>
        <v/>
      </c>
      <c r="J30" s="44" t="n"/>
      <c r="K30" s="45">
        <f>IF(OR(I30="",H30=0),"",MAX(0,MIN(1,(IF(P30&lt;&gt;"",P30,TODAY())-G30)/H30)))</f>
        <v/>
      </c>
      <c r="L30" s="46">
        <f>IF(B30="","",SUMIFS('المستخلصات'!$N$5:$N$304,'المستخلصات'!$B$5:$B$304,A30))</f>
        <v/>
      </c>
      <c r="M30" s="46">
        <f>IF(B30="","",SUMIFS('سندات القبض'!$K$5:$K$304,'سندات القبض'!$D$5:$D$304,A30))</f>
        <v/>
      </c>
      <c r="N30" s="46">
        <f>IF(B30="","",SUMIFS('سندات الصرف'!$L$5:$L$304,'سندات الصرف'!$D$5:$D$304,A30))</f>
        <v/>
      </c>
      <c r="O30" s="46">
        <f>IF(B30="","",M30-N30)</f>
        <v/>
      </c>
      <c r="P30" s="47" t="n"/>
      <c r="Q30" s="47" t="n"/>
      <c r="R30" s="48">
        <f>IF(B30="","",COUNTIFS('اعتماد المواد'!$B$5:$B$304,A30,'اعتماد المواد'!$M$5:$M$304,"قيد المراجعة"))</f>
        <v/>
      </c>
      <c r="S30" s="48">
        <f>IF(B30="","",COUNTIFS('عدم المطابقة'!$C$5:$C$304,A30,'عدم المطابقة'!$L$5:$L$304,"مفتوح*"))</f>
        <v/>
      </c>
      <c r="T30" s="48">
        <f>IF(B30="","",COUNTIFS('ملاحظات التسليم'!$B$5:$B$304,A30,'ملاحظات التسليم'!$K$5:$K$304,"مفتوح*"))</f>
        <v/>
      </c>
      <c r="U30" s="49">
        <f>IF(B30="","",IF(Q30&lt;&gt;"","مسلّم نهائياً",IF(P30&lt;&gt;"","فترة الضمان",IF(G30="","بانتظار استلام الموقع",IF(TODAY()&gt;I30,"متأخر عن التعاقد",IF(J30&lt;K30-0.1,"متأخر عن الخطة","جاري التنفيذ"))))))</f>
        <v/>
      </c>
    </row>
    <row r="31">
      <c r="A31" s="39">
        <f>IF(B31="","","PRJ-"&amp;TEXT(ROW()-4,"000"))</f>
        <v/>
      </c>
      <c r="B31" s="40" t="n"/>
      <c r="C31" s="40" t="n"/>
      <c r="D31" s="40" t="n"/>
      <c r="E31" s="40" t="n"/>
      <c r="F31" s="41" t="n"/>
      <c r="G31" s="42">
        <f>IF(B31="","",IFERROR(INDEX('استلام المواقع'!$D$5:$D$304,MATCH(A31,'استلام المواقع'!$B$5:$B$304,0)),""))</f>
        <v/>
      </c>
      <c r="H31" s="43" t="n"/>
      <c r="I31" s="42">
        <f>IF(OR(G31="",H31=""),"",G31+H31)</f>
        <v/>
      </c>
      <c r="J31" s="44" t="n"/>
      <c r="K31" s="45">
        <f>IF(OR(I31="",H31=0),"",MAX(0,MIN(1,(IF(P31&lt;&gt;"",P31,TODAY())-G31)/H31)))</f>
        <v/>
      </c>
      <c r="L31" s="46">
        <f>IF(B31="","",SUMIFS('المستخلصات'!$N$5:$N$304,'المستخلصات'!$B$5:$B$304,A31))</f>
        <v/>
      </c>
      <c r="M31" s="46">
        <f>IF(B31="","",SUMIFS('سندات القبض'!$K$5:$K$304,'سندات القبض'!$D$5:$D$304,A31))</f>
        <v/>
      </c>
      <c r="N31" s="46">
        <f>IF(B31="","",SUMIFS('سندات الصرف'!$L$5:$L$304,'سندات الصرف'!$D$5:$D$304,A31))</f>
        <v/>
      </c>
      <c r="O31" s="46">
        <f>IF(B31="","",M31-N31)</f>
        <v/>
      </c>
      <c r="P31" s="47" t="n"/>
      <c r="Q31" s="47" t="n"/>
      <c r="R31" s="48">
        <f>IF(B31="","",COUNTIFS('اعتماد المواد'!$B$5:$B$304,A31,'اعتماد المواد'!$M$5:$M$304,"قيد المراجعة"))</f>
        <v/>
      </c>
      <c r="S31" s="48">
        <f>IF(B31="","",COUNTIFS('عدم المطابقة'!$C$5:$C$304,A31,'عدم المطابقة'!$L$5:$L$304,"مفتوح*"))</f>
        <v/>
      </c>
      <c r="T31" s="48">
        <f>IF(B31="","",COUNTIFS('ملاحظات التسليم'!$B$5:$B$304,A31,'ملاحظات التسليم'!$K$5:$K$304,"مفتوح*"))</f>
        <v/>
      </c>
      <c r="U31" s="49">
        <f>IF(B31="","",IF(Q31&lt;&gt;"","مسلّم نهائياً",IF(P31&lt;&gt;"","فترة الضمان",IF(G31="","بانتظار استلام الموقع",IF(TODAY()&gt;I31,"متأخر عن التعاقد",IF(J31&lt;K31-0.1,"متأخر عن الخطة","جاري التنفيذ"))))))</f>
        <v/>
      </c>
    </row>
    <row r="32">
      <c r="A32" s="39">
        <f>IF(B32="","","PRJ-"&amp;TEXT(ROW()-4,"000"))</f>
        <v/>
      </c>
      <c r="B32" s="40" t="n"/>
      <c r="C32" s="40" t="n"/>
      <c r="D32" s="40" t="n"/>
      <c r="E32" s="40" t="n"/>
      <c r="F32" s="41" t="n"/>
      <c r="G32" s="42">
        <f>IF(B32="","",IFERROR(INDEX('استلام المواقع'!$D$5:$D$304,MATCH(A32,'استلام المواقع'!$B$5:$B$304,0)),""))</f>
        <v/>
      </c>
      <c r="H32" s="43" t="n"/>
      <c r="I32" s="42">
        <f>IF(OR(G32="",H32=""),"",G32+H32)</f>
        <v/>
      </c>
      <c r="J32" s="44" t="n"/>
      <c r="K32" s="45">
        <f>IF(OR(I32="",H32=0),"",MAX(0,MIN(1,(IF(P32&lt;&gt;"",P32,TODAY())-G32)/H32)))</f>
        <v/>
      </c>
      <c r="L32" s="46">
        <f>IF(B32="","",SUMIFS('المستخلصات'!$N$5:$N$304,'المستخلصات'!$B$5:$B$304,A32))</f>
        <v/>
      </c>
      <c r="M32" s="46">
        <f>IF(B32="","",SUMIFS('سندات القبض'!$K$5:$K$304,'سندات القبض'!$D$5:$D$304,A32))</f>
        <v/>
      </c>
      <c r="N32" s="46">
        <f>IF(B32="","",SUMIFS('سندات الصرف'!$L$5:$L$304,'سندات الصرف'!$D$5:$D$304,A32))</f>
        <v/>
      </c>
      <c r="O32" s="46">
        <f>IF(B32="","",M32-N32)</f>
        <v/>
      </c>
      <c r="P32" s="47" t="n"/>
      <c r="Q32" s="47" t="n"/>
      <c r="R32" s="48">
        <f>IF(B32="","",COUNTIFS('اعتماد المواد'!$B$5:$B$304,A32,'اعتماد المواد'!$M$5:$M$304,"قيد المراجعة"))</f>
        <v/>
      </c>
      <c r="S32" s="48">
        <f>IF(B32="","",COUNTIFS('عدم المطابقة'!$C$5:$C$304,A32,'عدم المطابقة'!$L$5:$L$304,"مفتوح*"))</f>
        <v/>
      </c>
      <c r="T32" s="48">
        <f>IF(B32="","",COUNTIFS('ملاحظات التسليم'!$B$5:$B$304,A32,'ملاحظات التسليم'!$K$5:$K$304,"مفتوح*"))</f>
        <v/>
      </c>
      <c r="U32" s="49">
        <f>IF(B32="","",IF(Q32&lt;&gt;"","مسلّم نهائياً",IF(P32&lt;&gt;"","فترة الضمان",IF(G32="","بانتظار استلام الموقع",IF(TODAY()&gt;I32,"متأخر عن التعاقد",IF(J32&lt;K32-0.1,"متأخر عن الخطة","جاري التنفيذ"))))))</f>
        <v/>
      </c>
    </row>
    <row r="33">
      <c r="A33" s="39">
        <f>IF(B33="","","PRJ-"&amp;TEXT(ROW()-4,"000"))</f>
        <v/>
      </c>
      <c r="B33" s="40" t="n"/>
      <c r="C33" s="40" t="n"/>
      <c r="D33" s="40" t="n"/>
      <c r="E33" s="40" t="n"/>
      <c r="F33" s="41" t="n"/>
      <c r="G33" s="42">
        <f>IF(B33="","",IFERROR(INDEX('استلام المواقع'!$D$5:$D$304,MATCH(A33,'استلام المواقع'!$B$5:$B$304,0)),""))</f>
        <v/>
      </c>
      <c r="H33" s="43" t="n"/>
      <c r="I33" s="42">
        <f>IF(OR(G33="",H33=""),"",G33+H33)</f>
        <v/>
      </c>
      <c r="J33" s="44" t="n"/>
      <c r="K33" s="45">
        <f>IF(OR(I33="",H33=0),"",MAX(0,MIN(1,(IF(P33&lt;&gt;"",P33,TODAY())-G33)/H33)))</f>
        <v/>
      </c>
      <c r="L33" s="46">
        <f>IF(B33="","",SUMIFS('المستخلصات'!$N$5:$N$304,'المستخلصات'!$B$5:$B$304,A33))</f>
        <v/>
      </c>
      <c r="M33" s="46">
        <f>IF(B33="","",SUMIFS('سندات القبض'!$K$5:$K$304,'سندات القبض'!$D$5:$D$304,A33))</f>
        <v/>
      </c>
      <c r="N33" s="46">
        <f>IF(B33="","",SUMIFS('سندات الصرف'!$L$5:$L$304,'سندات الصرف'!$D$5:$D$304,A33))</f>
        <v/>
      </c>
      <c r="O33" s="46">
        <f>IF(B33="","",M33-N33)</f>
        <v/>
      </c>
      <c r="P33" s="47" t="n"/>
      <c r="Q33" s="47" t="n"/>
      <c r="R33" s="48">
        <f>IF(B33="","",COUNTIFS('اعتماد المواد'!$B$5:$B$304,A33,'اعتماد المواد'!$M$5:$M$304,"قيد المراجعة"))</f>
        <v/>
      </c>
      <c r="S33" s="48">
        <f>IF(B33="","",COUNTIFS('عدم المطابقة'!$C$5:$C$304,A33,'عدم المطابقة'!$L$5:$L$304,"مفتوح*"))</f>
        <v/>
      </c>
      <c r="T33" s="48">
        <f>IF(B33="","",COUNTIFS('ملاحظات التسليم'!$B$5:$B$304,A33,'ملاحظات التسليم'!$K$5:$K$304,"مفتوح*"))</f>
        <v/>
      </c>
      <c r="U33" s="49">
        <f>IF(B33="","",IF(Q33&lt;&gt;"","مسلّم نهائياً",IF(P33&lt;&gt;"","فترة الضمان",IF(G33="","بانتظار استلام الموقع",IF(TODAY()&gt;I33,"متأخر عن التعاقد",IF(J33&lt;K33-0.1,"متأخر عن الخطة","جاري التنفيذ"))))))</f>
        <v/>
      </c>
    </row>
    <row r="34">
      <c r="A34" s="39">
        <f>IF(B34="","","PRJ-"&amp;TEXT(ROW()-4,"000"))</f>
        <v/>
      </c>
      <c r="B34" s="40" t="n"/>
      <c r="C34" s="40" t="n"/>
      <c r="D34" s="40" t="n"/>
      <c r="E34" s="40" t="n"/>
      <c r="F34" s="41" t="n"/>
      <c r="G34" s="42">
        <f>IF(B34="","",IFERROR(INDEX('استلام المواقع'!$D$5:$D$304,MATCH(A34,'استلام المواقع'!$B$5:$B$304,0)),""))</f>
        <v/>
      </c>
      <c r="H34" s="43" t="n"/>
      <c r="I34" s="42">
        <f>IF(OR(G34="",H34=""),"",G34+H34)</f>
        <v/>
      </c>
      <c r="J34" s="44" t="n"/>
      <c r="K34" s="45">
        <f>IF(OR(I34="",H34=0),"",MAX(0,MIN(1,(IF(P34&lt;&gt;"",P34,TODAY())-G34)/H34)))</f>
        <v/>
      </c>
      <c r="L34" s="46">
        <f>IF(B34="","",SUMIFS('المستخلصات'!$N$5:$N$304,'المستخلصات'!$B$5:$B$304,A34))</f>
        <v/>
      </c>
      <c r="M34" s="46">
        <f>IF(B34="","",SUMIFS('سندات القبض'!$K$5:$K$304,'سندات القبض'!$D$5:$D$304,A34))</f>
        <v/>
      </c>
      <c r="N34" s="46">
        <f>IF(B34="","",SUMIFS('سندات الصرف'!$L$5:$L$304,'سندات الصرف'!$D$5:$D$304,A34))</f>
        <v/>
      </c>
      <c r="O34" s="46">
        <f>IF(B34="","",M34-N34)</f>
        <v/>
      </c>
      <c r="P34" s="47" t="n"/>
      <c r="Q34" s="47" t="n"/>
      <c r="R34" s="48">
        <f>IF(B34="","",COUNTIFS('اعتماد المواد'!$B$5:$B$304,A34,'اعتماد المواد'!$M$5:$M$304,"قيد المراجعة"))</f>
        <v/>
      </c>
      <c r="S34" s="48">
        <f>IF(B34="","",COUNTIFS('عدم المطابقة'!$C$5:$C$304,A34,'عدم المطابقة'!$L$5:$L$304,"مفتوح*"))</f>
        <v/>
      </c>
      <c r="T34" s="48">
        <f>IF(B34="","",COUNTIFS('ملاحظات التسليم'!$B$5:$B$304,A34,'ملاحظات التسليم'!$K$5:$K$304,"مفتوح*"))</f>
        <v/>
      </c>
      <c r="U34" s="49">
        <f>IF(B34="","",IF(Q34&lt;&gt;"","مسلّم نهائياً",IF(P34&lt;&gt;"","فترة الضمان",IF(G34="","بانتظار استلام الموقع",IF(TODAY()&gt;I34,"متأخر عن التعاقد",IF(J34&lt;K34-0.1,"متأخر عن الخطة","جاري التنفيذ"))))))</f>
        <v/>
      </c>
    </row>
    <row r="35">
      <c r="A35" s="39">
        <f>IF(B35="","","PRJ-"&amp;TEXT(ROW()-4,"000"))</f>
        <v/>
      </c>
      <c r="B35" s="40" t="n"/>
      <c r="C35" s="40" t="n"/>
      <c r="D35" s="40" t="n"/>
      <c r="E35" s="40" t="n"/>
      <c r="F35" s="41" t="n"/>
      <c r="G35" s="42">
        <f>IF(B35="","",IFERROR(INDEX('استلام المواقع'!$D$5:$D$304,MATCH(A35,'استلام المواقع'!$B$5:$B$304,0)),""))</f>
        <v/>
      </c>
      <c r="H35" s="43" t="n"/>
      <c r="I35" s="42">
        <f>IF(OR(G35="",H35=""),"",G35+H35)</f>
        <v/>
      </c>
      <c r="J35" s="44" t="n"/>
      <c r="K35" s="45">
        <f>IF(OR(I35="",H35=0),"",MAX(0,MIN(1,(IF(P35&lt;&gt;"",P35,TODAY())-G35)/H35)))</f>
        <v/>
      </c>
      <c r="L35" s="46">
        <f>IF(B35="","",SUMIFS('المستخلصات'!$N$5:$N$304,'المستخلصات'!$B$5:$B$304,A35))</f>
        <v/>
      </c>
      <c r="M35" s="46">
        <f>IF(B35="","",SUMIFS('سندات القبض'!$K$5:$K$304,'سندات القبض'!$D$5:$D$304,A35))</f>
        <v/>
      </c>
      <c r="N35" s="46">
        <f>IF(B35="","",SUMIFS('سندات الصرف'!$L$5:$L$304,'سندات الصرف'!$D$5:$D$304,A35))</f>
        <v/>
      </c>
      <c r="O35" s="46">
        <f>IF(B35="","",M35-N35)</f>
        <v/>
      </c>
      <c r="P35" s="47" t="n"/>
      <c r="Q35" s="47" t="n"/>
      <c r="R35" s="48">
        <f>IF(B35="","",COUNTIFS('اعتماد المواد'!$B$5:$B$304,A35,'اعتماد المواد'!$M$5:$M$304,"قيد المراجعة"))</f>
        <v/>
      </c>
      <c r="S35" s="48">
        <f>IF(B35="","",COUNTIFS('عدم المطابقة'!$C$5:$C$304,A35,'عدم المطابقة'!$L$5:$L$304,"مفتوح*"))</f>
        <v/>
      </c>
      <c r="T35" s="48">
        <f>IF(B35="","",COUNTIFS('ملاحظات التسليم'!$B$5:$B$304,A35,'ملاحظات التسليم'!$K$5:$K$304,"مفتوح*"))</f>
        <v/>
      </c>
      <c r="U35" s="49">
        <f>IF(B35="","",IF(Q35&lt;&gt;"","مسلّم نهائياً",IF(P35&lt;&gt;"","فترة الضمان",IF(G35="","بانتظار استلام الموقع",IF(TODAY()&gt;I35,"متأخر عن التعاقد",IF(J35&lt;K35-0.1,"متأخر عن الخطة","جاري التنفيذ"))))))</f>
        <v/>
      </c>
    </row>
    <row r="36">
      <c r="A36" s="39">
        <f>IF(B36="","","PRJ-"&amp;TEXT(ROW()-4,"000"))</f>
        <v/>
      </c>
      <c r="B36" s="40" t="n"/>
      <c r="C36" s="40" t="n"/>
      <c r="D36" s="40" t="n"/>
      <c r="E36" s="40" t="n"/>
      <c r="F36" s="41" t="n"/>
      <c r="G36" s="42">
        <f>IF(B36="","",IFERROR(INDEX('استلام المواقع'!$D$5:$D$304,MATCH(A36,'استلام المواقع'!$B$5:$B$304,0)),""))</f>
        <v/>
      </c>
      <c r="H36" s="43" t="n"/>
      <c r="I36" s="42">
        <f>IF(OR(G36="",H36=""),"",G36+H36)</f>
        <v/>
      </c>
      <c r="J36" s="44" t="n"/>
      <c r="K36" s="45">
        <f>IF(OR(I36="",H36=0),"",MAX(0,MIN(1,(IF(P36&lt;&gt;"",P36,TODAY())-G36)/H36)))</f>
        <v/>
      </c>
      <c r="L36" s="46">
        <f>IF(B36="","",SUMIFS('المستخلصات'!$N$5:$N$304,'المستخلصات'!$B$5:$B$304,A36))</f>
        <v/>
      </c>
      <c r="M36" s="46">
        <f>IF(B36="","",SUMIFS('سندات القبض'!$K$5:$K$304,'سندات القبض'!$D$5:$D$304,A36))</f>
        <v/>
      </c>
      <c r="N36" s="46">
        <f>IF(B36="","",SUMIFS('سندات الصرف'!$L$5:$L$304,'سندات الصرف'!$D$5:$D$304,A36))</f>
        <v/>
      </c>
      <c r="O36" s="46">
        <f>IF(B36="","",M36-N36)</f>
        <v/>
      </c>
      <c r="P36" s="47" t="n"/>
      <c r="Q36" s="47" t="n"/>
      <c r="R36" s="48">
        <f>IF(B36="","",COUNTIFS('اعتماد المواد'!$B$5:$B$304,A36,'اعتماد المواد'!$M$5:$M$304,"قيد المراجعة"))</f>
        <v/>
      </c>
      <c r="S36" s="48">
        <f>IF(B36="","",COUNTIFS('عدم المطابقة'!$C$5:$C$304,A36,'عدم المطابقة'!$L$5:$L$304,"مفتوح*"))</f>
        <v/>
      </c>
      <c r="T36" s="48">
        <f>IF(B36="","",COUNTIFS('ملاحظات التسليم'!$B$5:$B$304,A36,'ملاحظات التسليم'!$K$5:$K$304,"مفتوح*"))</f>
        <v/>
      </c>
      <c r="U36" s="49">
        <f>IF(B36="","",IF(Q36&lt;&gt;"","مسلّم نهائياً",IF(P36&lt;&gt;"","فترة الضمان",IF(G36="","بانتظار استلام الموقع",IF(TODAY()&gt;I36,"متأخر عن التعاقد",IF(J36&lt;K36-0.1,"متأخر عن الخطة","جاري التنفيذ"))))))</f>
        <v/>
      </c>
    </row>
    <row r="37">
      <c r="A37" s="39">
        <f>IF(B37="","","PRJ-"&amp;TEXT(ROW()-4,"000"))</f>
        <v/>
      </c>
      <c r="B37" s="40" t="n"/>
      <c r="C37" s="40" t="n"/>
      <c r="D37" s="40" t="n"/>
      <c r="E37" s="40" t="n"/>
      <c r="F37" s="41" t="n"/>
      <c r="G37" s="42">
        <f>IF(B37="","",IFERROR(INDEX('استلام المواقع'!$D$5:$D$304,MATCH(A37,'استلام المواقع'!$B$5:$B$304,0)),""))</f>
        <v/>
      </c>
      <c r="H37" s="43" t="n"/>
      <c r="I37" s="42">
        <f>IF(OR(G37="",H37=""),"",G37+H37)</f>
        <v/>
      </c>
      <c r="J37" s="44" t="n"/>
      <c r="K37" s="45">
        <f>IF(OR(I37="",H37=0),"",MAX(0,MIN(1,(IF(P37&lt;&gt;"",P37,TODAY())-G37)/H37)))</f>
        <v/>
      </c>
      <c r="L37" s="46">
        <f>IF(B37="","",SUMIFS('المستخلصات'!$N$5:$N$304,'المستخلصات'!$B$5:$B$304,A37))</f>
        <v/>
      </c>
      <c r="M37" s="46">
        <f>IF(B37="","",SUMIFS('سندات القبض'!$K$5:$K$304,'سندات القبض'!$D$5:$D$304,A37))</f>
        <v/>
      </c>
      <c r="N37" s="46">
        <f>IF(B37="","",SUMIFS('سندات الصرف'!$L$5:$L$304,'سندات الصرف'!$D$5:$D$304,A37))</f>
        <v/>
      </c>
      <c r="O37" s="46">
        <f>IF(B37="","",M37-N37)</f>
        <v/>
      </c>
      <c r="P37" s="47" t="n"/>
      <c r="Q37" s="47" t="n"/>
      <c r="R37" s="48">
        <f>IF(B37="","",COUNTIFS('اعتماد المواد'!$B$5:$B$304,A37,'اعتماد المواد'!$M$5:$M$304,"قيد المراجعة"))</f>
        <v/>
      </c>
      <c r="S37" s="48">
        <f>IF(B37="","",COUNTIFS('عدم المطابقة'!$C$5:$C$304,A37,'عدم المطابقة'!$L$5:$L$304,"مفتوح*"))</f>
        <v/>
      </c>
      <c r="T37" s="48">
        <f>IF(B37="","",COUNTIFS('ملاحظات التسليم'!$B$5:$B$304,A37,'ملاحظات التسليم'!$K$5:$K$304,"مفتوح*"))</f>
        <v/>
      </c>
      <c r="U37" s="49">
        <f>IF(B37="","",IF(Q37&lt;&gt;"","مسلّم نهائياً",IF(P37&lt;&gt;"","فترة الضمان",IF(G37="","بانتظار استلام الموقع",IF(TODAY()&gt;I37,"متأخر عن التعاقد",IF(J37&lt;K37-0.1,"متأخر عن الخطة","جاري التنفيذ"))))))</f>
        <v/>
      </c>
    </row>
    <row r="38">
      <c r="A38" s="39">
        <f>IF(B38="","","PRJ-"&amp;TEXT(ROW()-4,"000"))</f>
        <v/>
      </c>
      <c r="B38" s="40" t="n"/>
      <c r="C38" s="40" t="n"/>
      <c r="D38" s="40" t="n"/>
      <c r="E38" s="40" t="n"/>
      <c r="F38" s="41" t="n"/>
      <c r="G38" s="42">
        <f>IF(B38="","",IFERROR(INDEX('استلام المواقع'!$D$5:$D$304,MATCH(A38,'استلام المواقع'!$B$5:$B$304,0)),""))</f>
        <v/>
      </c>
      <c r="H38" s="43" t="n"/>
      <c r="I38" s="42">
        <f>IF(OR(G38="",H38=""),"",G38+H38)</f>
        <v/>
      </c>
      <c r="J38" s="44" t="n"/>
      <c r="K38" s="45">
        <f>IF(OR(I38="",H38=0),"",MAX(0,MIN(1,(IF(P38&lt;&gt;"",P38,TODAY())-G38)/H38)))</f>
        <v/>
      </c>
      <c r="L38" s="46">
        <f>IF(B38="","",SUMIFS('المستخلصات'!$N$5:$N$304,'المستخلصات'!$B$5:$B$304,A38))</f>
        <v/>
      </c>
      <c r="M38" s="46">
        <f>IF(B38="","",SUMIFS('سندات القبض'!$K$5:$K$304,'سندات القبض'!$D$5:$D$304,A38))</f>
        <v/>
      </c>
      <c r="N38" s="46">
        <f>IF(B38="","",SUMIFS('سندات الصرف'!$L$5:$L$304,'سندات الصرف'!$D$5:$D$304,A38))</f>
        <v/>
      </c>
      <c r="O38" s="46">
        <f>IF(B38="","",M38-N38)</f>
        <v/>
      </c>
      <c r="P38" s="47" t="n"/>
      <c r="Q38" s="47" t="n"/>
      <c r="R38" s="48">
        <f>IF(B38="","",COUNTIFS('اعتماد المواد'!$B$5:$B$304,A38,'اعتماد المواد'!$M$5:$M$304,"قيد المراجعة"))</f>
        <v/>
      </c>
      <c r="S38" s="48">
        <f>IF(B38="","",COUNTIFS('عدم المطابقة'!$C$5:$C$304,A38,'عدم المطابقة'!$L$5:$L$304,"مفتوح*"))</f>
        <v/>
      </c>
      <c r="T38" s="48">
        <f>IF(B38="","",COUNTIFS('ملاحظات التسليم'!$B$5:$B$304,A38,'ملاحظات التسليم'!$K$5:$K$304,"مفتوح*"))</f>
        <v/>
      </c>
      <c r="U38" s="49">
        <f>IF(B38="","",IF(Q38&lt;&gt;"","مسلّم نهائياً",IF(P38&lt;&gt;"","فترة الضمان",IF(G38="","بانتظار استلام الموقع",IF(TODAY()&gt;I38,"متأخر عن التعاقد",IF(J38&lt;K38-0.1,"متأخر عن الخطة","جاري التنفيذ"))))))</f>
        <v/>
      </c>
    </row>
    <row r="39">
      <c r="A39" s="39">
        <f>IF(B39="","","PRJ-"&amp;TEXT(ROW()-4,"000"))</f>
        <v/>
      </c>
      <c r="B39" s="40" t="n"/>
      <c r="C39" s="40" t="n"/>
      <c r="D39" s="40" t="n"/>
      <c r="E39" s="40" t="n"/>
      <c r="F39" s="41" t="n"/>
      <c r="G39" s="42">
        <f>IF(B39="","",IFERROR(INDEX('استلام المواقع'!$D$5:$D$304,MATCH(A39,'استلام المواقع'!$B$5:$B$304,0)),""))</f>
        <v/>
      </c>
      <c r="H39" s="43" t="n"/>
      <c r="I39" s="42">
        <f>IF(OR(G39="",H39=""),"",G39+H39)</f>
        <v/>
      </c>
      <c r="J39" s="44" t="n"/>
      <c r="K39" s="45">
        <f>IF(OR(I39="",H39=0),"",MAX(0,MIN(1,(IF(P39&lt;&gt;"",P39,TODAY())-G39)/H39)))</f>
        <v/>
      </c>
      <c r="L39" s="46">
        <f>IF(B39="","",SUMIFS('المستخلصات'!$N$5:$N$304,'المستخلصات'!$B$5:$B$304,A39))</f>
        <v/>
      </c>
      <c r="M39" s="46">
        <f>IF(B39="","",SUMIFS('سندات القبض'!$K$5:$K$304,'سندات القبض'!$D$5:$D$304,A39))</f>
        <v/>
      </c>
      <c r="N39" s="46">
        <f>IF(B39="","",SUMIFS('سندات الصرف'!$L$5:$L$304,'سندات الصرف'!$D$5:$D$304,A39))</f>
        <v/>
      </c>
      <c r="O39" s="46">
        <f>IF(B39="","",M39-N39)</f>
        <v/>
      </c>
      <c r="P39" s="47" t="n"/>
      <c r="Q39" s="47" t="n"/>
      <c r="R39" s="48">
        <f>IF(B39="","",COUNTIFS('اعتماد المواد'!$B$5:$B$304,A39,'اعتماد المواد'!$M$5:$M$304,"قيد المراجعة"))</f>
        <v/>
      </c>
      <c r="S39" s="48">
        <f>IF(B39="","",COUNTIFS('عدم المطابقة'!$C$5:$C$304,A39,'عدم المطابقة'!$L$5:$L$304,"مفتوح*"))</f>
        <v/>
      </c>
      <c r="T39" s="48">
        <f>IF(B39="","",COUNTIFS('ملاحظات التسليم'!$B$5:$B$304,A39,'ملاحظات التسليم'!$K$5:$K$304,"مفتوح*"))</f>
        <v/>
      </c>
      <c r="U39" s="49">
        <f>IF(B39="","",IF(Q39&lt;&gt;"","مسلّم نهائياً",IF(P39&lt;&gt;"","فترة الضمان",IF(G39="","بانتظار استلام الموقع",IF(TODAY()&gt;I39,"متأخر عن التعاقد",IF(J39&lt;K39-0.1,"متأخر عن الخطة","جاري التنفيذ"))))))</f>
        <v/>
      </c>
    </row>
    <row r="40">
      <c r="A40" s="39">
        <f>IF(B40="","","PRJ-"&amp;TEXT(ROW()-4,"000"))</f>
        <v/>
      </c>
      <c r="B40" s="40" t="n"/>
      <c r="C40" s="40" t="n"/>
      <c r="D40" s="40" t="n"/>
      <c r="E40" s="40" t="n"/>
      <c r="F40" s="41" t="n"/>
      <c r="G40" s="42">
        <f>IF(B40="","",IFERROR(INDEX('استلام المواقع'!$D$5:$D$304,MATCH(A40,'استلام المواقع'!$B$5:$B$304,0)),""))</f>
        <v/>
      </c>
      <c r="H40" s="43" t="n"/>
      <c r="I40" s="42">
        <f>IF(OR(G40="",H40=""),"",G40+H40)</f>
        <v/>
      </c>
      <c r="J40" s="44" t="n"/>
      <c r="K40" s="45">
        <f>IF(OR(I40="",H40=0),"",MAX(0,MIN(1,(IF(P40&lt;&gt;"",P40,TODAY())-G40)/H40)))</f>
        <v/>
      </c>
      <c r="L40" s="46">
        <f>IF(B40="","",SUMIFS('المستخلصات'!$N$5:$N$304,'المستخلصات'!$B$5:$B$304,A40))</f>
        <v/>
      </c>
      <c r="M40" s="46">
        <f>IF(B40="","",SUMIFS('سندات القبض'!$K$5:$K$304,'سندات القبض'!$D$5:$D$304,A40))</f>
        <v/>
      </c>
      <c r="N40" s="46">
        <f>IF(B40="","",SUMIFS('سندات الصرف'!$L$5:$L$304,'سندات الصرف'!$D$5:$D$304,A40))</f>
        <v/>
      </c>
      <c r="O40" s="46">
        <f>IF(B40="","",M40-N40)</f>
        <v/>
      </c>
      <c r="P40" s="47" t="n"/>
      <c r="Q40" s="47" t="n"/>
      <c r="R40" s="48">
        <f>IF(B40="","",COUNTIFS('اعتماد المواد'!$B$5:$B$304,A40,'اعتماد المواد'!$M$5:$M$304,"قيد المراجعة"))</f>
        <v/>
      </c>
      <c r="S40" s="48">
        <f>IF(B40="","",COUNTIFS('عدم المطابقة'!$C$5:$C$304,A40,'عدم المطابقة'!$L$5:$L$304,"مفتوح*"))</f>
        <v/>
      </c>
      <c r="T40" s="48">
        <f>IF(B40="","",COUNTIFS('ملاحظات التسليم'!$B$5:$B$304,A40,'ملاحظات التسليم'!$K$5:$K$304,"مفتوح*"))</f>
        <v/>
      </c>
      <c r="U40" s="49">
        <f>IF(B40="","",IF(Q40&lt;&gt;"","مسلّم نهائياً",IF(P40&lt;&gt;"","فترة الضمان",IF(G40="","بانتظار استلام الموقع",IF(TODAY()&gt;I40,"متأخر عن التعاقد",IF(J40&lt;K40-0.1,"متأخر عن الخطة","جاري التنفيذ"))))))</f>
        <v/>
      </c>
    </row>
    <row r="41">
      <c r="A41" s="39">
        <f>IF(B41="","","PRJ-"&amp;TEXT(ROW()-4,"000"))</f>
        <v/>
      </c>
      <c r="B41" s="40" t="n"/>
      <c r="C41" s="40" t="n"/>
      <c r="D41" s="40" t="n"/>
      <c r="E41" s="40" t="n"/>
      <c r="F41" s="41" t="n"/>
      <c r="G41" s="42">
        <f>IF(B41="","",IFERROR(INDEX('استلام المواقع'!$D$5:$D$304,MATCH(A41,'استلام المواقع'!$B$5:$B$304,0)),""))</f>
        <v/>
      </c>
      <c r="H41" s="43" t="n"/>
      <c r="I41" s="42">
        <f>IF(OR(G41="",H41=""),"",G41+H41)</f>
        <v/>
      </c>
      <c r="J41" s="44" t="n"/>
      <c r="K41" s="45">
        <f>IF(OR(I41="",H41=0),"",MAX(0,MIN(1,(IF(P41&lt;&gt;"",P41,TODAY())-G41)/H41)))</f>
        <v/>
      </c>
      <c r="L41" s="46">
        <f>IF(B41="","",SUMIFS('المستخلصات'!$N$5:$N$304,'المستخلصات'!$B$5:$B$304,A41))</f>
        <v/>
      </c>
      <c r="M41" s="46">
        <f>IF(B41="","",SUMIFS('سندات القبض'!$K$5:$K$304,'سندات القبض'!$D$5:$D$304,A41))</f>
        <v/>
      </c>
      <c r="N41" s="46">
        <f>IF(B41="","",SUMIFS('سندات الصرف'!$L$5:$L$304,'سندات الصرف'!$D$5:$D$304,A41))</f>
        <v/>
      </c>
      <c r="O41" s="46">
        <f>IF(B41="","",M41-N41)</f>
        <v/>
      </c>
      <c r="P41" s="47" t="n"/>
      <c r="Q41" s="47" t="n"/>
      <c r="R41" s="48">
        <f>IF(B41="","",COUNTIFS('اعتماد المواد'!$B$5:$B$304,A41,'اعتماد المواد'!$M$5:$M$304,"قيد المراجعة"))</f>
        <v/>
      </c>
      <c r="S41" s="48">
        <f>IF(B41="","",COUNTIFS('عدم المطابقة'!$C$5:$C$304,A41,'عدم المطابقة'!$L$5:$L$304,"مفتوح*"))</f>
        <v/>
      </c>
      <c r="T41" s="48">
        <f>IF(B41="","",COUNTIFS('ملاحظات التسليم'!$B$5:$B$304,A41,'ملاحظات التسليم'!$K$5:$K$304,"مفتوح*"))</f>
        <v/>
      </c>
      <c r="U41" s="49">
        <f>IF(B41="","",IF(Q41&lt;&gt;"","مسلّم نهائياً",IF(P41&lt;&gt;"","فترة الضمان",IF(G41="","بانتظار استلام الموقع",IF(TODAY()&gt;I41,"متأخر عن التعاقد",IF(J41&lt;K41-0.1,"متأخر عن الخطة","جاري التنفيذ"))))))</f>
        <v/>
      </c>
    </row>
    <row r="42">
      <c r="A42" s="39">
        <f>IF(B42="","","PRJ-"&amp;TEXT(ROW()-4,"000"))</f>
        <v/>
      </c>
      <c r="B42" s="40" t="n"/>
      <c r="C42" s="40" t="n"/>
      <c r="D42" s="40" t="n"/>
      <c r="E42" s="40" t="n"/>
      <c r="F42" s="41" t="n"/>
      <c r="G42" s="42">
        <f>IF(B42="","",IFERROR(INDEX('استلام المواقع'!$D$5:$D$304,MATCH(A42,'استلام المواقع'!$B$5:$B$304,0)),""))</f>
        <v/>
      </c>
      <c r="H42" s="43" t="n"/>
      <c r="I42" s="42">
        <f>IF(OR(G42="",H42=""),"",G42+H42)</f>
        <v/>
      </c>
      <c r="J42" s="44" t="n"/>
      <c r="K42" s="45">
        <f>IF(OR(I42="",H42=0),"",MAX(0,MIN(1,(IF(P42&lt;&gt;"",P42,TODAY())-G42)/H42)))</f>
        <v/>
      </c>
      <c r="L42" s="46">
        <f>IF(B42="","",SUMIFS('المستخلصات'!$N$5:$N$304,'المستخلصات'!$B$5:$B$304,A42))</f>
        <v/>
      </c>
      <c r="M42" s="46">
        <f>IF(B42="","",SUMIFS('سندات القبض'!$K$5:$K$304,'سندات القبض'!$D$5:$D$304,A42))</f>
        <v/>
      </c>
      <c r="N42" s="46">
        <f>IF(B42="","",SUMIFS('سندات الصرف'!$L$5:$L$304,'سندات الصرف'!$D$5:$D$304,A42))</f>
        <v/>
      </c>
      <c r="O42" s="46">
        <f>IF(B42="","",M42-N42)</f>
        <v/>
      </c>
      <c r="P42" s="47" t="n"/>
      <c r="Q42" s="47" t="n"/>
      <c r="R42" s="48">
        <f>IF(B42="","",COUNTIFS('اعتماد المواد'!$B$5:$B$304,A42,'اعتماد المواد'!$M$5:$M$304,"قيد المراجعة"))</f>
        <v/>
      </c>
      <c r="S42" s="48">
        <f>IF(B42="","",COUNTIFS('عدم المطابقة'!$C$5:$C$304,A42,'عدم المطابقة'!$L$5:$L$304,"مفتوح*"))</f>
        <v/>
      </c>
      <c r="T42" s="48">
        <f>IF(B42="","",COUNTIFS('ملاحظات التسليم'!$B$5:$B$304,A42,'ملاحظات التسليم'!$K$5:$K$304,"مفتوح*"))</f>
        <v/>
      </c>
      <c r="U42" s="49">
        <f>IF(B42="","",IF(Q42&lt;&gt;"","مسلّم نهائياً",IF(P42&lt;&gt;"","فترة الضمان",IF(G42="","بانتظار استلام الموقع",IF(TODAY()&gt;I42,"متأخر عن التعاقد",IF(J42&lt;K42-0.1,"متأخر عن الخطة","جاري التنفيذ"))))))</f>
        <v/>
      </c>
    </row>
    <row r="43">
      <c r="A43" s="39">
        <f>IF(B43="","","PRJ-"&amp;TEXT(ROW()-4,"000"))</f>
        <v/>
      </c>
      <c r="B43" s="40" t="n"/>
      <c r="C43" s="40" t="n"/>
      <c r="D43" s="40" t="n"/>
      <c r="E43" s="40" t="n"/>
      <c r="F43" s="41" t="n"/>
      <c r="G43" s="42">
        <f>IF(B43="","",IFERROR(INDEX('استلام المواقع'!$D$5:$D$304,MATCH(A43,'استلام المواقع'!$B$5:$B$304,0)),""))</f>
        <v/>
      </c>
      <c r="H43" s="43" t="n"/>
      <c r="I43" s="42">
        <f>IF(OR(G43="",H43=""),"",G43+H43)</f>
        <v/>
      </c>
      <c r="J43" s="44" t="n"/>
      <c r="K43" s="45">
        <f>IF(OR(I43="",H43=0),"",MAX(0,MIN(1,(IF(P43&lt;&gt;"",P43,TODAY())-G43)/H43)))</f>
        <v/>
      </c>
      <c r="L43" s="46">
        <f>IF(B43="","",SUMIFS('المستخلصات'!$N$5:$N$304,'المستخلصات'!$B$5:$B$304,A43))</f>
        <v/>
      </c>
      <c r="M43" s="46">
        <f>IF(B43="","",SUMIFS('سندات القبض'!$K$5:$K$304,'سندات القبض'!$D$5:$D$304,A43))</f>
        <v/>
      </c>
      <c r="N43" s="46">
        <f>IF(B43="","",SUMIFS('سندات الصرف'!$L$5:$L$304,'سندات الصرف'!$D$5:$D$304,A43))</f>
        <v/>
      </c>
      <c r="O43" s="46">
        <f>IF(B43="","",M43-N43)</f>
        <v/>
      </c>
      <c r="P43" s="47" t="n"/>
      <c r="Q43" s="47" t="n"/>
      <c r="R43" s="48">
        <f>IF(B43="","",COUNTIFS('اعتماد المواد'!$B$5:$B$304,A43,'اعتماد المواد'!$M$5:$M$304,"قيد المراجعة"))</f>
        <v/>
      </c>
      <c r="S43" s="48">
        <f>IF(B43="","",COUNTIFS('عدم المطابقة'!$C$5:$C$304,A43,'عدم المطابقة'!$L$5:$L$304,"مفتوح*"))</f>
        <v/>
      </c>
      <c r="T43" s="48">
        <f>IF(B43="","",COUNTIFS('ملاحظات التسليم'!$B$5:$B$304,A43,'ملاحظات التسليم'!$K$5:$K$304,"مفتوح*"))</f>
        <v/>
      </c>
      <c r="U43" s="49">
        <f>IF(B43="","",IF(Q43&lt;&gt;"","مسلّم نهائياً",IF(P43&lt;&gt;"","فترة الضمان",IF(G43="","بانتظار استلام الموقع",IF(TODAY()&gt;I43,"متأخر عن التعاقد",IF(J43&lt;K43-0.1,"متأخر عن الخطة","جاري التنفيذ"))))))</f>
        <v/>
      </c>
    </row>
    <row r="44">
      <c r="A44" s="39">
        <f>IF(B44="","","PRJ-"&amp;TEXT(ROW()-4,"000"))</f>
        <v/>
      </c>
      <c r="B44" s="40" t="n"/>
      <c r="C44" s="40" t="n"/>
      <c r="D44" s="40" t="n"/>
      <c r="E44" s="40" t="n"/>
      <c r="F44" s="41" t="n"/>
      <c r="G44" s="42">
        <f>IF(B44="","",IFERROR(INDEX('استلام المواقع'!$D$5:$D$304,MATCH(A44,'استلام المواقع'!$B$5:$B$304,0)),""))</f>
        <v/>
      </c>
      <c r="H44" s="43" t="n"/>
      <c r="I44" s="42">
        <f>IF(OR(G44="",H44=""),"",G44+H44)</f>
        <v/>
      </c>
      <c r="J44" s="44" t="n"/>
      <c r="K44" s="45">
        <f>IF(OR(I44="",H44=0),"",MAX(0,MIN(1,(IF(P44&lt;&gt;"",P44,TODAY())-G44)/H44)))</f>
        <v/>
      </c>
      <c r="L44" s="46">
        <f>IF(B44="","",SUMIFS('المستخلصات'!$N$5:$N$304,'المستخلصات'!$B$5:$B$304,A44))</f>
        <v/>
      </c>
      <c r="M44" s="46">
        <f>IF(B44="","",SUMIFS('سندات القبض'!$K$5:$K$304,'سندات القبض'!$D$5:$D$304,A44))</f>
        <v/>
      </c>
      <c r="N44" s="46">
        <f>IF(B44="","",SUMIFS('سندات الصرف'!$L$5:$L$304,'سندات الصرف'!$D$5:$D$304,A44))</f>
        <v/>
      </c>
      <c r="O44" s="46">
        <f>IF(B44="","",M44-N44)</f>
        <v/>
      </c>
      <c r="P44" s="47" t="n"/>
      <c r="Q44" s="47" t="n"/>
      <c r="R44" s="48">
        <f>IF(B44="","",COUNTIFS('اعتماد المواد'!$B$5:$B$304,A44,'اعتماد المواد'!$M$5:$M$304,"قيد المراجعة"))</f>
        <v/>
      </c>
      <c r="S44" s="48">
        <f>IF(B44="","",COUNTIFS('عدم المطابقة'!$C$5:$C$304,A44,'عدم المطابقة'!$L$5:$L$304,"مفتوح*"))</f>
        <v/>
      </c>
      <c r="T44" s="48">
        <f>IF(B44="","",COUNTIFS('ملاحظات التسليم'!$B$5:$B$304,A44,'ملاحظات التسليم'!$K$5:$K$304,"مفتوح*"))</f>
        <v/>
      </c>
      <c r="U44" s="49">
        <f>IF(B44="","",IF(Q44&lt;&gt;"","مسلّم نهائياً",IF(P44&lt;&gt;"","فترة الضمان",IF(G44="","بانتظار استلام الموقع",IF(TODAY()&gt;I44,"متأخر عن التعاقد",IF(J44&lt;K44-0.1,"متأخر عن الخطة","جاري التنفيذ"))))))</f>
        <v/>
      </c>
    </row>
    <row r="45">
      <c r="A45" s="39">
        <f>IF(B45="","","PRJ-"&amp;TEXT(ROW()-4,"000"))</f>
        <v/>
      </c>
      <c r="B45" s="40" t="n"/>
      <c r="C45" s="40" t="n"/>
      <c r="D45" s="40" t="n"/>
      <c r="E45" s="40" t="n"/>
      <c r="F45" s="41" t="n"/>
      <c r="G45" s="42">
        <f>IF(B45="","",IFERROR(INDEX('استلام المواقع'!$D$5:$D$304,MATCH(A45,'استلام المواقع'!$B$5:$B$304,0)),""))</f>
        <v/>
      </c>
      <c r="H45" s="43" t="n"/>
      <c r="I45" s="42">
        <f>IF(OR(G45="",H45=""),"",G45+H45)</f>
        <v/>
      </c>
      <c r="J45" s="44" t="n"/>
      <c r="K45" s="45">
        <f>IF(OR(I45="",H45=0),"",MAX(0,MIN(1,(IF(P45&lt;&gt;"",P45,TODAY())-G45)/H45)))</f>
        <v/>
      </c>
      <c r="L45" s="46">
        <f>IF(B45="","",SUMIFS('المستخلصات'!$N$5:$N$304,'المستخلصات'!$B$5:$B$304,A45))</f>
        <v/>
      </c>
      <c r="M45" s="46">
        <f>IF(B45="","",SUMIFS('سندات القبض'!$K$5:$K$304,'سندات القبض'!$D$5:$D$304,A45))</f>
        <v/>
      </c>
      <c r="N45" s="46">
        <f>IF(B45="","",SUMIFS('سندات الصرف'!$L$5:$L$304,'سندات الصرف'!$D$5:$D$304,A45))</f>
        <v/>
      </c>
      <c r="O45" s="46">
        <f>IF(B45="","",M45-N45)</f>
        <v/>
      </c>
      <c r="P45" s="47" t="n"/>
      <c r="Q45" s="47" t="n"/>
      <c r="R45" s="48">
        <f>IF(B45="","",COUNTIFS('اعتماد المواد'!$B$5:$B$304,A45,'اعتماد المواد'!$M$5:$M$304,"قيد المراجعة"))</f>
        <v/>
      </c>
      <c r="S45" s="48">
        <f>IF(B45="","",COUNTIFS('عدم المطابقة'!$C$5:$C$304,A45,'عدم المطابقة'!$L$5:$L$304,"مفتوح*"))</f>
        <v/>
      </c>
      <c r="T45" s="48">
        <f>IF(B45="","",COUNTIFS('ملاحظات التسليم'!$B$5:$B$304,A45,'ملاحظات التسليم'!$K$5:$K$304,"مفتوح*"))</f>
        <v/>
      </c>
      <c r="U45" s="49">
        <f>IF(B45="","",IF(Q45&lt;&gt;"","مسلّم نهائياً",IF(P45&lt;&gt;"","فترة الضمان",IF(G45="","بانتظار استلام الموقع",IF(TODAY()&gt;I45,"متأخر عن التعاقد",IF(J45&lt;K45-0.1,"متأخر عن الخطة","جاري التنفيذ"))))))</f>
        <v/>
      </c>
    </row>
    <row r="46">
      <c r="A46" s="39">
        <f>IF(B46="","","PRJ-"&amp;TEXT(ROW()-4,"000"))</f>
        <v/>
      </c>
      <c r="B46" s="40" t="n"/>
      <c r="C46" s="40" t="n"/>
      <c r="D46" s="40" t="n"/>
      <c r="E46" s="40" t="n"/>
      <c r="F46" s="41" t="n"/>
      <c r="G46" s="42">
        <f>IF(B46="","",IFERROR(INDEX('استلام المواقع'!$D$5:$D$304,MATCH(A46,'استلام المواقع'!$B$5:$B$304,0)),""))</f>
        <v/>
      </c>
      <c r="H46" s="43" t="n"/>
      <c r="I46" s="42">
        <f>IF(OR(G46="",H46=""),"",G46+H46)</f>
        <v/>
      </c>
      <c r="J46" s="44" t="n"/>
      <c r="K46" s="45">
        <f>IF(OR(I46="",H46=0),"",MAX(0,MIN(1,(IF(P46&lt;&gt;"",P46,TODAY())-G46)/H46)))</f>
        <v/>
      </c>
      <c r="L46" s="46">
        <f>IF(B46="","",SUMIFS('المستخلصات'!$N$5:$N$304,'المستخلصات'!$B$5:$B$304,A46))</f>
        <v/>
      </c>
      <c r="M46" s="46">
        <f>IF(B46="","",SUMIFS('سندات القبض'!$K$5:$K$304,'سندات القبض'!$D$5:$D$304,A46))</f>
        <v/>
      </c>
      <c r="N46" s="46">
        <f>IF(B46="","",SUMIFS('سندات الصرف'!$L$5:$L$304,'سندات الصرف'!$D$5:$D$304,A46))</f>
        <v/>
      </c>
      <c r="O46" s="46">
        <f>IF(B46="","",M46-N46)</f>
        <v/>
      </c>
      <c r="P46" s="47" t="n"/>
      <c r="Q46" s="47" t="n"/>
      <c r="R46" s="48">
        <f>IF(B46="","",COUNTIFS('اعتماد المواد'!$B$5:$B$304,A46,'اعتماد المواد'!$M$5:$M$304,"قيد المراجعة"))</f>
        <v/>
      </c>
      <c r="S46" s="48">
        <f>IF(B46="","",COUNTIFS('عدم المطابقة'!$C$5:$C$304,A46,'عدم المطابقة'!$L$5:$L$304,"مفتوح*"))</f>
        <v/>
      </c>
      <c r="T46" s="48">
        <f>IF(B46="","",COUNTIFS('ملاحظات التسليم'!$B$5:$B$304,A46,'ملاحظات التسليم'!$K$5:$K$304,"مفتوح*"))</f>
        <v/>
      </c>
      <c r="U46" s="49">
        <f>IF(B46="","",IF(Q46&lt;&gt;"","مسلّم نهائياً",IF(P46&lt;&gt;"","فترة الضمان",IF(G46="","بانتظار استلام الموقع",IF(TODAY()&gt;I46,"متأخر عن التعاقد",IF(J46&lt;K46-0.1,"متأخر عن الخطة","جاري التنفيذ"))))))</f>
        <v/>
      </c>
    </row>
    <row r="47">
      <c r="A47" s="39">
        <f>IF(B47="","","PRJ-"&amp;TEXT(ROW()-4,"000"))</f>
        <v/>
      </c>
      <c r="B47" s="40" t="n"/>
      <c r="C47" s="40" t="n"/>
      <c r="D47" s="40" t="n"/>
      <c r="E47" s="40" t="n"/>
      <c r="F47" s="41" t="n"/>
      <c r="G47" s="42">
        <f>IF(B47="","",IFERROR(INDEX('استلام المواقع'!$D$5:$D$304,MATCH(A47,'استلام المواقع'!$B$5:$B$304,0)),""))</f>
        <v/>
      </c>
      <c r="H47" s="43" t="n"/>
      <c r="I47" s="42">
        <f>IF(OR(G47="",H47=""),"",G47+H47)</f>
        <v/>
      </c>
      <c r="J47" s="44" t="n"/>
      <c r="K47" s="45">
        <f>IF(OR(I47="",H47=0),"",MAX(0,MIN(1,(IF(P47&lt;&gt;"",P47,TODAY())-G47)/H47)))</f>
        <v/>
      </c>
      <c r="L47" s="46">
        <f>IF(B47="","",SUMIFS('المستخلصات'!$N$5:$N$304,'المستخلصات'!$B$5:$B$304,A47))</f>
        <v/>
      </c>
      <c r="M47" s="46">
        <f>IF(B47="","",SUMIFS('سندات القبض'!$K$5:$K$304,'سندات القبض'!$D$5:$D$304,A47))</f>
        <v/>
      </c>
      <c r="N47" s="46">
        <f>IF(B47="","",SUMIFS('سندات الصرف'!$L$5:$L$304,'سندات الصرف'!$D$5:$D$304,A47))</f>
        <v/>
      </c>
      <c r="O47" s="46">
        <f>IF(B47="","",M47-N47)</f>
        <v/>
      </c>
      <c r="P47" s="47" t="n"/>
      <c r="Q47" s="47" t="n"/>
      <c r="R47" s="48">
        <f>IF(B47="","",COUNTIFS('اعتماد المواد'!$B$5:$B$304,A47,'اعتماد المواد'!$M$5:$M$304,"قيد المراجعة"))</f>
        <v/>
      </c>
      <c r="S47" s="48">
        <f>IF(B47="","",COUNTIFS('عدم المطابقة'!$C$5:$C$304,A47,'عدم المطابقة'!$L$5:$L$304,"مفتوح*"))</f>
        <v/>
      </c>
      <c r="T47" s="48">
        <f>IF(B47="","",COUNTIFS('ملاحظات التسليم'!$B$5:$B$304,A47,'ملاحظات التسليم'!$K$5:$K$304,"مفتوح*"))</f>
        <v/>
      </c>
      <c r="U47" s="49">
        <f>IF(B47="","",IF(Q47&lt;&gt;"","مسلّم نهائياً",IF(P47&lt;&gt;"","فترة الضمان",IF(G47="","بانتظار استلام الموقع",IF(TODAY()&gt;I47,"متأخر عن التعاقد",IF(J47&lt;K47-0.1,"متأخر عن الخطة","جاري التنفيذ"))))))</f>
        <v/>
      </c>
    </row>
    <row r="48">
      <c r="A48" s="39">
        <f>IF(B48="","","PRJ-"&amp;TEXT(ROW()-4,"000"))</f>
        <v/>
      </c>
      <c r="B48" s="40" t="n"/>
      <c r="C48" s="40" t="n"/>
      <c r="D48" s="40" t="n"/>
      <c r="E48" s="40" t="n"/>
      <c r="F48" s="41" t="n"/>
      <c r="G48" s="42">
        <f>IF(B48="","",IFERROR(INDEX('استلام المواقع'!$D$5:$D$304,MATCH(A48,'استلام المواقع'!$B$5:$B$304,0)),""))</f>
        <v/>
      </c>
      <c r="H48" s="43" t="n"/>
      <c r="I48" s="42">
        <f>IF(OR(G48="",H48=""),"",G48+H48)</f>
        <v/>
      </c>
      <c r="J48" s="44" t="n"/>
      <c r="K48" s="45">
        <f>IF(OR(I48="",H48=0),"",MAX(0,MIN(1,(IF(P48&lt;&gt;"",P48,TODAY())-G48)/H48)))</f>
        <v/>
      </c>
      <c r="L48" s="46">
        <f>IF(B48="","",SUMIFS('المستخلصات'!$N$5:$N$304,'المستخلصات'!$B$5:$B$304,A48))</f>
        <v/>
      </c>
      <c r="M48" s="46">
        <f>IF(B48="","",SUMIFS('سندات القبض'!$K$5:$K$304,'سندات القبض'!$D$5:$D$304,A48))</f>
        <v/>
      </c>
      <c r="N48" s="46">
        <f>IF(B48="","",SUMIFS('سندات الصرف'!$L$5:$L$304,'سندات الصرف'!$D$5:$D$304,A48))</f>
        <v/>
      </c>
      <c r="O48" s="46">
        <f>IF(B48="","",M48-N48)</f>
        <v/>
      </c>
      <c r="P48" s="47" t="n"/>
      <c r="Q48" s="47" t="n"/>
      <c r="R48" s="48">
        <f>IF(B48="","",COUNTIFS('اعتماد المواد'!$B$5:$B$304,A48,'اعتماد المواد'!$M$5:$M$304,"قيد المراجعة"))</f>
        <v/>
      </c>
      <c r="S48" s="48">
        <f>IF(B48="","",COUNTIFS('عدم المطابقة'!$C$5:$C$304,A48,'عدم المطابقة'!$L$5:$L$304,"مفتوح*"))</f>
        <v/>
      </c>
      <c r="T48" s="48">
        <f>IF(B48="","",COUNTIFS('ملاحظات التسليم'!$B$5:$B$304,A48,'ملاحظات التسليم'!$K$5:$K$304,"مفتوح*"))</f>
        <v/>
      </c>
      <c r="U48" s="49">
        <f>IF(B48="","",IF(Q48&lt;&gt;"","مسلّم نهائياً",IF(P48&lt;&gt;"","فترة الضمان",IF(G48="","بانتظار استلام الموقع",IF(TODAY()&gt;I48,"متأخر عن التعاقد",IF(J48&lt;K48-0.1,"متأخر عن الخطة","جاري التنفيذ"))))))</f>
        <v/>
      </c>
    </row>
    <row r="49">
      <c r="A49" s="39">
        <f>IF(B49="","","PRJ-"&amp;TEXT(ROW()-4,"000"))</f>
        <v/>
      </c>
      <c r="B49" s="40" t="n"/>
      <c r="C49" s="40" t="n"/>
      <c r="D49" s="40" t="n"/>
      <c r="E49" s="40" t="n"/>
      <c r="F49" s="41" t="n"/>
      <c r="G49" s="42">
        <f>IF(B49="","",IFERROR(INDEX('استلام المواقع'!$D$5:$D$304,MATCH(A49,'استلام المواقع'!$B$5:$B$304,0)),""))</f>
        <v/>
      </c>
      <c r="H49" s="43" t="n"/>
      <c r="I49" s="42">
        <f>IF(OR(G49="",H49=""),"",G49+H49)</f>
        <v/>
      </c>
      <c r="J49" s="44" t="n"/>
      <c r="K49" s="45">
        <f>IF(OR(I49="",H49=0),"",MAX(0,MIN(1,(IF(P49&lt;&gt;"",P49,TODAY())-G49)/H49)))</f>
        <v/>
      </c>
      <c r="L49" s="46">
        <f>IF(B49="","",SUMIFS('المستخلصات'!$N$5:$N$304,'المستخلصات'!$B$5:$B$304,A49))</f>
        <v/>
      </c>
      <c r="M49" s="46">
        <f>IF(B49="","",SUMIFS('سندات القبض'!$K$5:$K$304,'سندات القبض'!$D$5:$D$304,A49))</f>
        <v/>
      </c>
      <c r="N49" s="46">
        <f>IF(B49="","",SUMIFS('سندات الصرف'!$L$5:$L$304,'سندات الصرف'!$D$5:$D$304,A49))</f>
        <v/>
      </c>
      <c r="O49" s="46">
        <f>IF(B49="","",M49-N49)</f>
        <v/>
      </c>
      <c r="P49" s="47" t="n"/>
      <c r="Q49" s="47" t="n"/>
      <c r="R49" s="48">
        <f>IF(B49="","",COUNTIFS('اعتماد المواد'!$B$5:$B$304,A49,'اعتماد المواد'!$M$5:$M$304,"قيد المراجعة"))</f>
        <v/>
      </c>
      <c r="S49" s="48">
        <f>IF(B49="","",COUNTIFS('عدم المطابقة'!$C$5:$C$304,A49,'عدم المطابقة'!$L$5:$L$304,"مفتوح*"))</f>
        <v/>
      </c>
      <c r="T49" s="48">
        <f>IF(B49="","",COUNTIFS('ملاحظات التسليم'!$B$5:$B$304,A49,'ملاحظات التسليم'!$K$5:$K$304,"مفتوح*"))</f>
        <v/>
      </c>
      <c r="U49" s="49">
        <f>IF(B49="","",IF(Q49&lt;&gt;"","مسلّم نهائياً",IF(P49&lt;&gt;"","فترة الضمان",IF(G49="","بانتظار استلام الموقع",IF(TODAY()&gt;I49,"متأخر عن التعاقد",IF(J49&lt;K49-0.1,"متأخر عن الخطة","جاري التنفيذ"))))))</f>
        <v/>
      </c>
    </row>
    <row r="50">
      <c r="A50" s="39">
        <f>IF(B50="","","PRJ-"&amp;TEXT(ROW()-4,"000"))</f>
        <v/>
      </c>
      <c r="B50" s="40" t="n"/>
      <c r="C50" s="40" t="n"/>
      <c r="D50" s="40" t="n"/>
      <c r="E50" s="40" t="n"/>
      <c r="F50" s="41" t="n"/>
      <c r="G50" s="42">
        <f>IF(B50="","",IFERROR(INDEX('استلام المواقع'!$D$5:$D$304,MATCH(A50,'استلام المواقع'!$B$5:$B$304,0)),""))</f>
        <v/>
      </c>
      <c r="H50" s="43" t="n"/>
      <c r="I50" s="42">
        <f>IF(OR(G50="",H50=""),"",G50+H50)</f>
        <v/>
      </c>
      <c r="J50" s="44" t="n"/>
      <c r="K50" s="45">
        <f>IF(OR(I50="",H50=0),"",MAX(0,MIN(1,(IF(P50&lt;&gt;"",P50,TODAY())-G50)/H50)))</f>
        <v/>
      </c>
      <c r="L50" s="46">
        <f>IF(B50="","",SUMIFS('المستخلصات'!$N$5:$N$304,'المستخلصات'!$B$5:$B$304,A50))</f>
        <v/>
      </c>
      <c r="M50" s="46">
        <f>IF(B50="","",SUMIFS('سندات القبض'!$K$5:$K$304,'سندات القبض'!$D$5:$D$304,A50))</f>
        <v/>
      </c>
      <c r="N50" s="46">
        <f>IF(B50="","",SUMIFS('سندات الصرف'!$L$5:$L$304,'سندات الصرف'!$D$5:$D$304,A50))</f>
        <v/>
      </c>
      <c r="O50" s="46">
        <f>IF(B50="","",M50-N50)</f>
        <v/>
      </c>
      <c r="P50" s="47" t="n"/>
      <c r="Q50" s="47" t="n"/>
      <c r="R50" s="48">
        <f>IF(B50="","",COUNTIFS('اعتماد المواد'!$B$5:$B$304,A50,'اعتماد المواد'!$M$5:$M$304,"قيد المراجعة"))</f>
        <v/>
      </c>
      <c r="S50" s="48">
        <f>IF(B50="","",COUNTIFS('عدم المطابقة'!$C$5:$C$304,A50,'عدم المطابقة'!$L$5:$L$304,"مفتوح*"))</f>
        <v/>
      </c>
      <c r="T50" s="48">
        <f>IF(B50="","",COUNTIFS('ملاحظات التسليم'!$B$5:$B$304,A50,'ملاحظات التسليم'!$K$5:$K$304,"مفتوح*"))</f>
        <v/>
      </c>
      <c r="U50" s="49">
        <f>IF(B50="","",IF(Q50&lt;&gt;"","مسلّم نهائياً",IF(P50&lt;&gt;"","فترة الضمان",IF(G50="","بانتظار استلام الموقع",IF(TODAY()&gt;I50,"متأخر عن التعاقد",IF(J50&lt;K50-0.1,"متأخر عن الخطة","جاري التنفيذ"))))))</f>
        <v/>
      </c>
    </row>
    <row r="51">
      <c r="A51" s="39">
        <f>IF(B51="","","PRJ-"&amp;TEXT(ROW()-4,"000"))</f>
        <v/>
      </c>
      <c r="B51" s="40" t="n"/>
      <c r="C51" s="40" t="n"/>
      <c r="D51" s="40" t="n"/>
      <c r="E51" s="40" t="n"/>
      <c r="F51" s="41" t="n"/>
      <c r="G51" s="42">
        <f>IF(B51="","",IFERROR(INDEX('استلام المواقع'!$D$5:$D$304,MATCH(A51,'استلام المواقع'!$B$5:$B$304,0)),""))</f>
        <v/>
      </c>
      <c r="H51" s="43" t="n"/>
      <c r="I51" s="42">
        <f>IF(OR(G51="",H51=""),"",G51+H51)</f>
        <v/>
      </c>
      <c r="J51" s="44" t="n"/>
      <c r="K51" s="45">
        <f>IF(OR(I51="",H51=0),"",MAX(0,MIN(1,(IF(P51&lt;&gt;"",P51,TODAY())-G51)/H51)))</f>
        <v/>
      </c>
      <c r="L51" s="46">
        <f>IF(B51="","",SUMIFS('المستخلصات'!$N$5:$N$304,'المستخلصات'!$B$5:$B$304,A51))</f>
        <v/>
      </c>
      <c r="M51" s="46">
        <f>IF(B51="","",SUMIFS('سندات القبض'!$K$5:$K$304,'سندات القبض'!$D$5:$D$304,A51))</f>
        <v/>
      </c>
      <c r="N51" s="46">
        <f>IF(B51="","",SUMIFS('سندات الصرف'!$L$5:$L$304,'سندات الصرف'!$D$5:$D$304,A51))</f>
        <v/>
      </c>
      <c r="O51" s="46">
        <f>IF(B51="","",M51-N51)</f>
        <v/>
      </c>
      <c r="P51" s="47" t="n"/>
      <c r="Q51" s="47" t="n"/>
      <c r="R51" s="48">
        <f>IF(B51="","",COUNTIFS('اعتماد المواد'!$B$5:$B$304,A51,'اعتماد المواد'!$M$5:$M$304,"قيد المراجعة"))</f>
        <v/>
      </c>
      <c r="S51" s="48">
        <f>IF(B51="","",COUNTIFS('عدم المطابقة'!$C$5:$C$304,A51,'عدم المطابقة'!$L$5:$L$304,"مفتوح*"))</f>
        <v/>
      </c>
      <c r="T51" s="48">
        <f>IF(B51="","",COUNTIFS('ملاحظات التسليم'!$B$5:$B$304,A51,'ملاحظات التسليم'!$K$5:$K$304,"مفتوح*"))</f>
        <v/>
      </c>
      <c r="U51" s="49">
        <f>IF(B51="","",IF(Q51&lt;&gt;"","مسلّم نهائياً",IF(P51&lt;&gt;"","فترة الضمان",IF(G51="","بانتظار استلام الموقع",IF(TODAY()&gt;I51,"متأخر عن التعاقد",IF(J51&lt;K51-0.1,"متأخر عن الخطة","جاري التنفيذ"))))))</f>
        <v/>
      </c>
    </row>
    <row r="52">
      <c r="A52" s="39">
        <f>IF(B52="","","PRJ-"&amp;TEXT(ROW()-4,"000"))</f>
        <v/>
      </c>
      <c r="B52" s="40" t="n"/>
      <c r="C52" s="40" t="n"/>
      <c r="D52" s="40" t="n"/>
      <c r="E52" s="40" t="n"/>
      <c r="F52" s="41" t="n"/>
      <c r="G52" s="42">
        <f>IF(B52="","",IFERROR(INDEX('استلام المواقع'!$D$5:$D$304,MATCH(A52,'استلام المواقع'!$B$5:$B$304,0)),""))</f>
        <v/>
      </c>
      <c r="H52" s="43" t="n"/>
      <c r="I52" s="42">
        <f>IF(OR(G52="",H52=""),"",G52+H52)</f>
        <v/>
      </c>
      <c r="J52" s="44" t="n"/>
      <c r="K52" s="45">
        <f>IF(OR(I52="",H52=0),"",MAX(0,MIN(1,(IF(P52&lt;&gt;"",P52,TODAY())-G52)/H52)))</f>
        <v/>
      </c>
      <c r="L52" s="46">
        <f>IF(B52="","",SUMIFS('المستخلصات'!$N$5:$N$304,'المستخلصات'!$B$5:$B$304,A52))</f>
        <v/>
      </c>
      <c r="M52" s="46">
        <f>IF(B52="","",SUMIFS('سندات القبض'!$K$5:$K$304,'سندات القبض'!$D$5:$D$304,A52))</f>
        <v/>
      </c>
      <c r="N52" s="46">
        <f>IF(B52="","",SUMIFS('سندات الصرف'!$L$5:$L$304,'سندات الصرف'!$D$5:$D$304,A52))</f>
        <v/>
      </c>
      <c r="O52" s="46">
        <f>IF(B52="","",M52-N52)</f>
        <v/>
      </c>
      <c r="P52" s="47" t="n"/>
      <c r="Q52" s="47" t="n"/>
      <c r="R52" s="48">
        <f>IF(B52="","",COUNTIFS('اعتماد المواد'!$B$5:$B$304,A52,'اعتماد المواد'!$M$5:$M$304,"قيد المراجعة"))</f>
        <v/>
      </c>
      <c r="S52" s="48">
        <f>IF(B52="","",COUNTIFS('عدم المطابقة'!$C$5:$C$304,A52,'عدم المطابقة'!$L$5:$L$304,"مفتوح*"))</f>
        <v/>
      </c>
      <c r="T52" s="48">
        <f>IF(B52="","",COUNTIFS('ملاحظات التسليم'!$B$5:$B$304,A52,'ملاحظات التسليم'!$K$5:$K$304,"مفتوح*"))</f>
        <v/>
      </c>
      <c r="U52" s="49">
        <f>IF(B52="","",IF(Q52&lt;&gt;"","مسلّم نهائياً",IF(P52&lt;&gt;"","فترة الضمان",IF(G52="","بانتظار استلام الموقع",IF(TODAY()&gt;I52,"متأخر عن التعاقد",IF(J52&lt;K52-0.1,"متأخر عن الخطة","جاري التنفيذ"))))))</f>
        <v/>
      </c>
    </row>
    <row r="53">
      <c r="A53" s="39">
        <f>IF(B53="","","PRJ-"&amp;TEXT(ROW()-4,"000"))</f>
        <v/>
      </c>
      <c r="B53" s="40" t="n"/>
      <c r="C53" s="40" t="n"/>
      <c r="D53" s="40" t="n"/>
      <c r="E53" s="40" t="n"/>
      <c r="F53" s="41" t="n"/>
      <c r="G53" s="42">
        <f>IF(B53="","",IFERROR(INDEX('استلام المواقع'!$D$5:$D$304,MATCH(A53,'استلام المواقع'!$B$5:$B$304,0)),""))</f>
        <v/>
      </c>
      <c r="H53" s="43" t="n"/>
      <c r="I53" s="42">
        <f>IF(OR(G53="",H53=""),"",G53+H53)</f>
        <v/>
      </c>
      <c r="J53" s="44" t="n"/>
      <c r="K53" s="45">
        <f>IF(OR(I53="",H53=0),"",MAX(0,MIN(1,(IF(P53&lt;&gt;"",P53,TODAY())-G53)/H53)))</f>
        <v/>
      </c>
      <c r="L53" s="46">
        <f>IF(B53="","",SUMIFS('المستخلصات'!$N$5:$N$304,'المستخلصات'!$B$5:$B$304,A53))</f>
        <v/>
      </c>
      <c r="M53" s="46">
        <f>IF(B53="","",SUMIFS('سندات القبض'!$K$5:$K$304,'سندات القبض'!$D$5:$D$304,A53))</f>
        <v/>
      </c>
      <c r="N53" s="46">
        <f>IF(B53="","",SUMIFS('سندات الصرف'!$L$5:$L$304,'سندات الصرف'!$D$5:$D$304,A53))</f>
        <v/>
      </c>
      <c r="O53" s="46">
        <f>IF(B53="","",M53-N53)</f>
        <v/>
      </c>
      <c r="P53" s="47" t="n"/>
      <c r="Q53" s="47" t="n"/>
      <c r="R53" s="48">
        <f>IF(B53="","",COUNTIFS('اعتماد المواد'!$B$5:$B$304,A53,'اعتماد المواد'!$M$5:$M$304,"قيد المراجعة"))</f>
        <v/>
      </c>
      <c r="S53" s="48">
        <f>IF(B53="","",COUNTIFS('عدم المطابقة'!$C$5:$C$304,A53,'عدم المطابقة'!$L$5:$L$304,"مفتوح*"))</f>
        <v/>
      </c>
      <c r="T53" s="48">
        <f>IF(B53="","",COUNTIFS('ملاحظات التسليم'!$B$5:$B$304,A53,'ملاحظات التسليم'!$K$5:$K$304,"مفتوح*"))</f>
        <v/>
      </c>
      <c r="U53" s="49">
        <f>IF(B53="","",IF(Q53&lt;&gt;"","مسلّم نهائياً",IF(P53&lt;&gt;"","فترة الضمان",IF(G53="","بانتظار استلام الموقع",IF(TODAY()&gt;I53,"متأخر عن التعاقد",IF(J53&lt;K53-0.1,"متأخر عن الخطة","جاري التنفيذ"))))))</f>
        <v/>
      </c>
    </row>
    <row r="54">
      <c r="A54" s="39">
        <f>IF(B54="","","PRJ-"&amp;TEXT(ROW()-4,"000"))</f>
        <v/>
      </c>
      <c r="B54" s="40" t="n"/>
      <c r="C54" s="40" t="n"/>
      <c r="D54" s="40" t="n"/>
      <c r="E54" s="40" t="n"/>
      <c r="F54" s="41" t="n"/>
      <c r="G54" s="42">
        <f>IF(B54="","",IFERROR(INDEX('استلام المواقع'!$D$5:$D$304,MATCH(A54,'استلام المواقع'!$B$5:$B$304,0)),""))</f>
        <v/>
      </c>
      <c r="H54" s="43" t="n"/>
      <c r="I54" s="42">
        <f>IF(OR(G54="",H54=""),"",G54+H54)</f>
        <v/>
      </c>
      <c r="J54" s="44" t="n"/>
      <c r="K54" s="45">
        <f>IF(OR(I54="",H54=0),"",MAX(0,MIN(1,(IF(P54&lt;&gt;"",P54,TODAY())-G54)/H54)))</f>
        <v/>
      </c>
      <c r="L54" s="46">
        <f>IF(B54="","",SUMIFS('المستخلصات'!$N$5:$N$304,'المستخلصات'!$B$5:$B$304,A54))</f>
        <v/>
      </c>
      <c r="M54" s="46">
        <f>IF(B54="","",SUMIFS('سندات القبض'!$K$5:$K$304,'سندات القبض'!$D$5:$D$304,A54))</f>
        <v/>
      </c>
      <c r="N54" s="46">
        <f>IF(B54="","",SUMIFS('سندات الصرف'!$L$5:$L$304,'سندات الصرف'!$D$5:$D$304,A54))</f>
        <v/>
      </c>
      <c r="O54" s="46">
        <f>IF(B54="","",M54-N54)</f>
        <v/>
      </c>
      <c r="P54" s="47" t="n"/>
      <c r="Q54" s="47" t="n"/>
      <c r="R54" s="48">
        <f>IF(B54="","",COUNTIFS('اعتماد المواد'!$B$5:$B$304,A54,'اعتماد المواد'!$M$5:$M$304,"قيد المراجعة"))</f>
        <v/>
      </c>
      <c r="S54" s="48">
        <f>IF(B54="","",COUNTIFS('عدم المطابقة'!$C$5:$C$304,A54,'عدم المطابقة'!$L$5:$L$304,"مفتوح*"))</f>
        <v/>
      </c>
      <c r="T54" s="48">
        <f>IF(B54="","",COUNTIFS('ملاحظات التسليم'!$B$5:$B$304,A54,'ملاحظات التسليم'!$K$5:$K$304,"مفتوح*"))</f>
        <v/>
      </c>
      <c r="U54" s="49">
        <f>IF(B54="","",IF(Q54&lt;&gt;"","مسلّم نهائياً",IF(P54&lt;&gt;"","فترة الضمان",IF(G54="","بانتظار استلام الموقع",IF(TODAY()&gt;I54,"متأخر عن التعاقد",IF(J54&lt;K54-0.1,"متأخر عن الخطة","جاري التنفيذ"))))))</f>
        <v/>
      </c>
    </row>
    <row r="55">
      <c r="A55" s="39">
        <f>IF(B55="","","PRJ-"&amp;TEXT(ROW()-4,"000"))</f>
        <v/>
      </c>
      <c r="B55" s="40" t="n"/>
      <c r="C55" s="40" t="n"/>
      <c r="D55" s="40" t="n"/>
      <c r="E55" s="40" t="n"/>
      <c r="F55" s="41" t="n"/>
      <c r="G55" s="42">
        <f>IF(B55="","",IFERROR(INDEX('استلام المواقع'!$D$5:$D$304,MATCH(A55,'استلام المواقع'!$B$5:$B$304,0)),""))</f>
        <v/>
      </c>
      <c r="H55" s="43" t="n"/>
      <c r="I55" s="42">
        <f>IF(OR(G55="",H55=""),"",G55+H55)</f>
        <v/>
      </c>
      <c r="J55" s="44" t="n"/>
      <c r="K55" s="45">
        <f>IF(OR(I55="",H55=0),"",MAX(0,MIN(1,(IF(P55&lt;&gt;"",P55,TODAY())-G55)/H55)))</f>
        <v/>
      </c>
      <c r="L55" s="46">
        <f>IF(B55="","",SUMIFS('المستخلصات'!$N$5:$N$304,'المستخلصات'!$B$5:$B$304,A55))</f>
        <v/>
      </c>
      <c r="M55" s="46">
        <f>IF(B55="","",SUMIFS('سندات القبض'!$K$5:$K$304,'سندات القبض'!$D$5:$D$304,A55))</f>
        <v/>
      </c>
      <c r="N55" s="46">
        <f>IF(B55="","",SUMIFS('سندات الصرف'!$L$5:$L$304,'سندات الصرف'!$D$5:$D$304,A55))</f>
        <v/>
      </c>
      <c r="O55" s="46">
        <f>IF(B55="","",M55-N55)</f>
        <v/>
      </c>
      <c r="P55" s="47" t="n"/>
      <c r="Q55" s="47" t="n"/>
      <c r="R55" s="48">
        <f>IF(B55="","",COUNTIFS('اعتماد المواد'!$B$5:$B$304,A55,'اعتماد المواد'!$M$5:$M$304,"قيد المراجعة"))</f>
        <v/>
      </c>
      <c r="S55" s="48">
        <f>IF(B55="","",COUNTIFS('عدم المطابقة'!$C$5:$C$304,A55,'عدم المطابقة'!$L$5:$L$304,"مفتوح*"))</f>
        <v/>
      </c>
      <c r="T55" s="48">
        <f>IF(B55="","",COUNTIFS('ملاحظات التسليم'!$B$5:$B$304,A55,'ملاحظات التسليم'!$K$5:$K$304,"مفتوح*"))</f>
        <v/>
      </c>
      <c r="U55" s="49">
        <f>IF(B55="","",IF(Q55&lt;&gt;"","مسلّم نهائياً",IF(P55&lt;&gt;"","فترة الضمان",IF(G55="","بانتظار استلام الموقع",IF(TODAY()&gt;I55,"متأخر عن التعاقد",IF(J55&lt;K55-0.1,"متأخر عن الخطة","جاري التنفيذ"))))))</f>
        <v/>
      </c>
    </row>
    <row r="56">
      <c r="A56" s="39">
        <f>IF(B56="","","PRJ-"&amp;TEXT(ROW()-4,"000"))</f>
        <v/>
      </c>
      <c r="B56" s="40" t="n"/>
      <c r="C56" s="40" t="n"/>
      <c r="D56" s="40" t="n"/>
      <c r="E56" s="40" t="n"/>
      <c r="F56" s="41" t="n"/>
      <c r="G56" s="42">
        <f>IF(B56="","",IFERROR(INDEX('استلام المواقع'!$D$5:$D$304,MATCH(A56,'استلام المواقع'!$B$5:$B$304,0)),""))</f>
        <v/>
      </c>
      <c r="H56" s="43" t="n"/>
      <c r="I56" s="42">
        <f>IF(OR(G56="",H56=""),"",G56+H56)</f>
        <v/>
      </c>
      <c r="J56" s="44" t="n"/>
      <c r="K56" s="45">
        <f>IF(OR(I56="",H56=0),"",MAX(0,MIN(1,(IF(P56&lt;&gt;"",P56,TODAY())-G56)/H56)))</f>
        <v/>
      </c>
      <c r="L56" s="46">
        <f>IF(B56="","",SUMIFS('المستخلصات'!$N$5:$N$304,'المستخلصات'!$B$5:$B$304,A56))</f>
        <v/>
      </c>
      <c r="M56" s="46">
        <f>IF(B56="","",SUMIFS('سندات القبض'!$K$5:$K$304,'سندات القبض'!$D$5:$D$304,A56))</f>
        <v/>
      </c>
      <c r="N56" s="46">
        <f>IF(B56="","",SUMIFS('سندات الصرف'!$L$5:$L$304,'سندات الصرف'!$D$5:$D$304,A56))</f>
        <v/>
      </c>
      <c r="O56" s="46">
        <f>IF(B56="","",M56-N56)</f>
        <v/>
      </c>
      <c r="P56" s="47" t="n"/>
      <c r="Q56" s="47" t="n"/>
      <c r="R56" s="48">
        <f>IF(B56="","",COUNTIFS('اعتماد المواد'!$B$5:$B$304,A56,'اعتماد المواد'!$M$5:$M$304,"قيد المراجعة"))</f>
        <v/>
      </c>
      <c r="S56" s="48">
        <f>IF(B56="","",COUNTIFS('عدم المطابقة'!$C$5:$C$304,A56,'عدم المطابقة'!$L$5:$L$304,"مفتوح*"))</f>
        <v/>
      </c>
      <c r="T56" s="48">
        <f>IF(B56="","",COUNTIFS('ملاحظات التسليم'!$B$5:$B$304,A56,'ملاحظات التسليم'!$K$5:$K$304,"مفتوح*"))</f>
        <v/>
      </c>
      <c r="U56" s="49">
        <f>IF(B56="","",IF(Q56&lt;&gt;"","مسلّم نهائياً",IF(P56&lt;&gt;"","فترة الضمان",IF(G56="","بانتظار استلام الموقع",IF(TODAY()&gt;I56,"متأخر عن التعاقد",IF(J56&lt;K56-0.1,"متأخر عن الخطة","جاري التنفيذ"))))))</f>
        <v/>
      </c>
    </row>
    <row r="57">
      <c r="A57" s="39">
        <f>IF(B57="","","PRJ-"&amp;TEXT(ROW()-4,"000"))</f>
        <v/>
      </c>
      <c r="B57" s="40" t="n"/>
      <c r="C57" s="40" t="n"/>
      <c r="D57" s="40" t="n"/>
      <c r="E57" s="40" t="n"/>
      <c r="F57" s="41" t="n"/>
      <c r="G57" s="42">
        <f>IF(B57="","",IFERROR(INDEX('استلام المواقع'!$D$5:$D$304,MATCH(A57,'استلام المواقع'!$B$5:$B$304,0)),""))</f>
        <v/>
      </c>
      <c r="H57" s="43" t="n"/>
      <c r="I57" s="42">
        <f>IF(OR(G57="",H57=""),"",G57+H57)</f>
        <v/>
      </c>
      <c r="J57" s="44" t="n"/>
      <c r="K57" s="45">
        <f>IF(OR(I57="",H57=0),"",MAX(0,MIN(1,(IF(P57&lt;&gt;"",P57,TODAY())-G57)/H57)))</f>
        <v/>
      </c>
      <c r="L57" s="46">
        <f>IF(B57="","",SUMIFS('المستخلصات'!$N$5:$N$304,'المستخلصات'!$B$5:$B$304,A57))</f>
        <v/>
      </c>
      <c r="M57" s="46">
        <f>IF(B57="","",SUMIFS('سندات القبض'!$K$5:$K$304,'سندات القبض'!$D$5:$D$304,A57))</f>
        <v/>
      </c>
      <c r="N57" s="46">
        <f>IF(B57="","",SUMIFS('سندات الصرف'!$L$5:$L$304,'سندات الصرف'!$D$5:$D$304,A57))</f>
        <v/>
      </c>
      <c r="O57" s="46">
        <f>IF(B57="","",M57-N57)</f>
        <v/>
      </c>
      <c r="P57" s="47" t="n"/>
      <c r="Q57" s="47" t="n"/>
      <c r="R57" s="48">
        <f>IF(B57="","",COUNTIFS('اعتماد المواد'!$B$5:$B$304,A57,'اعتماد المواد'!$M$5:$M$304,"قيد المراجعة"))</f>
        <v/>
      </c>
      <c r="S57" s="48">
        <f>IF(B57="","",COUNTIFS('عدم المطابقة'!$C$5:$C$304,A57,'عدم المطابقة'!$L$5:$L$304,"مفتوح*"))</f>
        <v/>
      </c>
      <c r="T57" s="48">
        <f>IF(B57="","",COUNTIFS('ملاحظات التسليم'!$B$5:$B$304,A57,'ملاحظات التسليم'!$K$5:$K$304,"مفتوح*"))</f>
        <v/>
      </c>
      <c r="U57" s="49">
        <f>IF(B57="","",IF(Q57&lt;&gt;"","مسلّم نهائياً",IF(P57&lt;&gt;"","فترة الضمان",IF(G57="","بانتظار استلام الموقع",IF(TODAY()&gt;I57,"متأخر عن التعاقد",IF(J57&lt;K57-0.1,"متأخر عن الخطة","جاري التنفيذ"))))))</f>
        <v/>
      </c>
    </row>
    <row r="58">
      <c r="A58" s="39">
        <f>IF(B58="","","PRJ-"&amp;TEXT(ROW()-4,"000"))</f>
        <v/>
      </c>
      <c r="B58" s="40" t="n"/>
      <c r="C58" s="40" t="n"/>
      <c r="D58" s="40" t="n"/>
      <c r="E58" s="40" t="n"/>
      <c r="F58" s="41" t="n"/>
      <c r="G58" s="42">
        <f>IF(B58="","",IFERROR(INDEX('استلام المواقع'!$D$5:$D$304,MATCH(A58,'استلام المواقع'!$B$5:$B$304,0)),""))</f>
        <v/>
      </c>
      <c r="H58" s="43" t="n"/>
      <c r="I58" s="42">
        <f>IF(OR(G58="",H58=""),"",G58+H58)</f>
        <v/>
      </c>
      <c r="J58" s="44" t="n"/>
      <c r="K58" s="45">
        <f>IF(OR(I58="",H58=0),"",MAX(0,MIN(1,(IF(P58&lt;&gt;"",P58,TODAY())-G58)/H58)))</f>
        <v/>
      </c>
      <c r="L58" s="46">
        <f>IF(B58="","",SUMIFS('المستخلصات'!$N$5:$N$304,'المستخلصات'!$B$5:$B$304,A58))</f>
        <v/>
      </c>
      <c r="M58" s="46">
        <f>IF(B58="","",SUMIFS('سندات القبض'!$K$5:$K$304,'سندات القبض'!$D$5:$D$304,A58))</f>
        <v/>
      </c>
      <c r="N58" s="46">
        <f>IF(B58="","",SUMIFS('سندات الصرف'!$L$5:$L$304,'سندات الصرف'!$D$5:$D$304,A58))</f>
        <v/>
      </c>
      <c r="O58" s="46">
        <f>IF(B58="","",M58-N58)</f>
        <v/>
      </c>
      <c r="P58" s="47" t="n"/>
      <c r="Q58" s="47" t="n"/>
      <c r="R58" s="48">
        <f>IF(B58="","",COUNTIFS('اعتماد المواد'!$B$5:$B$304,A58,'اعتماد المواد'!$M$5:$M$304,"قيد المراجعة"))</f>
        <v/>
      </c>
      <c r="S58" s="48">
        <f>IF(B58="","",COUNTIFS('عدم المطابقة'!$C$5:$C$304,A58,'عدم المطابقة'!$L$5:$L$304,"مفتوح*"))</f>
        <v/>
      </c>
      <c r="T58" s="48">
        <f>IF(B58="","",COUNTIFS('ملاحظات التسليم'!$B$5:$B$304,A58,'ملاحظات التسليم'!$K$5:$K$304,"مفتوح*"))</f>
        <v/>
      </c>
      <c r="U58" s="49">
        <f>IF(B58="","",IF(Q58&lt;&gt;"","مسلّم نهائياً",IF(P58&lt;&gt;"","فترة الضمان",IF(G58="","بانتظار استلام الموقع",IF(TODAY()&gt;I58,"متأخر عن التعاقد",IF(J58&lt;K58-0.1,"متأخر عن الخطة","جاري التنفيذ"))))))</f>
        <v/>
      </c>
    </row>
    <row r="59">
      <c r="A59" s="39">
        <f>IF(B59="","","PRJ-"&amp;TEXT(ROW()-4,"000"))</f>
        <v/>
      </c>
      <c r="B59" s="40" t="n"/>
      <c r="C59" s="40" t="n"/>
      <c r="D59" s="40" t="n"/>
      <c r="E59" s="40" t="n"/>
      <c r="F59" s="41" t="n"/>
      <c r="G59" s="42">
        <f>IF(B59="","",IFERROR(INDEX('استلام المواقع'!$D$5:$D$304,MATCH(A59,'استلام المواقع'!$B$5:$B$304,0)),""))</f>
        <v/>
      </c>
      <c r="H59" s="43" t="n"/>
      <c r="I59" s="42">
        <f>IF(OR(G59="",H59=""),"",G59+H59)</f>
        <v/>
      </c>
      <c r="J59" s="44" t="n"/>
      <c r="K59" s="45">
        <f>IF(OR(I59="",H59=0),"",MAX(0,MIN(1,(IF(P59&lt;&gt;"",P59,TODAY())-G59)/H59)))</f>
        <v/>
      </c>
      <c r="L59" s="46">
        <f>IF(B59="","",SUMIFS('المستخلصات'!$N$5:$N$304,'المستخلصات'!$B$5:$B$304,A59))</f>
        <v/>
      </c>
      <c r="M59" s="46">
        <f>IF(B59="","",SUMIFS('سندات القبض'!$K$5:$K$304,'سندات القبض'!$D$5:$D$304,A59))</f>
        <v/>
      </c>
      <c r="N59" s="46">
        <f>IF(B59="","",SUMIFS('سندات الصرف'!$L$5:$L$304,'سندات الصرف'!$D$5:$D$304,A59))</f>
        <v/>
      </c>
      <c r="O59" s="46">
        <f>IF(B59="","",M59-N59)</f>
        <v/>
      </c>
      <c r="P59" s="47" t="n"/>
      <c r="Q59" s="47" t="n"/>
      <c r="R59" s="48">
        <f>IF(B59="","",COUNTIFS('اعتماد المواد'!$B$5:$B$304,A59,'اعتماد المواد'!$M$5:$M$304,"قيد المراجعة"))</f>
        <v/>
      </c>
      <c r="S59" s="48">
        <f>IF(B59="","",COUNTIFS('عدم المطابقة'!$C$5:$C$304,A59,'عدم المطابقة'!$L$5:$L$304,"مفتوح*"))</f>
        <v/>
      </c>
      <c r="T59" s="48">
        <f>IF(B59="","",COUNTIFS('ملاحظات التسليم'!$B$5:$B$304,A59,'ملاحظات التسليم'!$K$5:$K$304,"مفتوح*"))</f>
        <v/>
      </c>
      <c r="U59" s="49">
        <f>IF(B59="","",IF(Q59&lt;&gt;"","مسلّم نهائياً",IF(P59&lt;&gt;"","فترة الضمان",IF(G59="","بانتظار استلام الموقع",IF(TODAY()&gt;I59,"متأخر عن التعاقد",IF(J59&lt;K59-0.1,"متأخر عن الخطة","جاري التنفيذ"))))))</f>
        <v/>
      </c>
    </row>
    <row r="60">
      <c r="A60" s="39">
        <f>IF(B60="","","PRJ-"&amp;TEXT(ROW()-4,"000"))</f>
        <v/>
      </c>
      <c r="B60" s="40" t="n"/>
      <c r="C60" s="40" t="n"/>
      <c r="D60" s="40" t="n"/>
      <c r="E60" s="40" t="n"/>
      <c r="F60" s="41" t="n"/>
      <c r="G60" s="42">
        <f>IF(B60="","",IFERROR(INDEX('استلام المواقع'!$D$5:$D$304,MATCH(A60,'استلام المواقع'!$B$5:$B$304,0)),""))</f>
        <v/>
      </c>
      <c r="H60" s="43" t="n"/>
      <c r="I60" s="42">
        <f>IF(OR(G60="",H60=""),"",G60+H60)</f>
        <v/>
      </c>
      <c r="J60" s="44" t="n"/>
      <c r="K60" s="45">
        <f>IF(OR(I60="",H60=0),"",MAX(0,MIN(1,(IF(P60&lt;&gt;"",P60,TODAY())-G60)/H60)))</f>
        <v/>
      </c>
      <c r="L60" s="46">
        <f>IF(B60="","",SUMIFS('المستخلصات'!$N$5:$N$304,'المستخلصات'!$B$5:$B$304,A60))</f>
        <v/>
      </c>
      <c r="M60" s="46">
        <f>IF(B60="","",SUMIFS('سندات القبض'!$K$5:$K$304,'سندات القبض'!$D$5:$D$304,A60))</f>
        <v/>
      </c>
      <c r="N60" s="46">
        <f>IF(B60="","",SUMIFS('سندات الصرف'!$L$5:$L$304,'سندات الصرف'!$D$5:$D$304,A60))</f>
        <v/>
      </c>
      <c r="O60" s="46">
        <f>IF(B60="","",M60-N60)</f>
        <v/>
      </c>
      <c r="P60" s="47" t="n"/>
      <c r="Q60" s="47" t="n"/>
      <c r="R60" s="48">
        <f>IF(B60="","",COUNTIFS('اعتماد المواد'!$B$5:$B$304,A60,'اعتماد المواد'!$M$5:$M$304,"قيد المراجعة"))</f>
        <v/>
      </c>
      <c r="S60" s="48">
        <f>IF(B60="","",COUNTIFS('عدم المطابقة'!$C$5:$C$304,A60,'عدم المطابقة'!$L$5:$L$304,"مفتوح*"))</f>
        <v/>
      </c>
      <c r="T60" s="48">
        <f>IF(B60="","",COUNTIFS('ملاحظات التسليم'!$B$5:$B$304,A60,'ملاحظات التسليم'!$K$5:$K$304,"مفتوح*"))</f>
        <v/>
      </c>
      <c r="U60" s="49">
        <f>IF(B60="","",IF(Q60&lt;&gt;"","مسلّم نهائياً",IF(P60&lt;&gt;"","فترة الضمان",IF(G60="","بانتظار استلام الموقع",IF(TODAY()&gt;I60,"متأخر عن التعاقد",IF(J60&lt;K60-0.1,"متأخر عن الخطة","جاري التنفيذ"))))))</f>
        <v/>
      </c>
    </row>
    <row r="61">
      <c r="A61" s="39">
        <f>IF(B61="","","PRJ-"&amp;TEXT(ROW()-4,"000"))</f>
        <v/>
      </c>
      <c r="B61" s="40" t="n"/>
      <c r="C61" s="40" t="n"/>
      <c r="D61" s="40" t="n"/>
      <c r="E61" s="40" t="n"/>
      <c r="F61" s="41" t="n"/>
      <c r="G61" s="42">
        <f>IF(B61="","",IFERROR(INDEX('استلام المواقع'!$D$5:$D$304,MATCH(A61,'استلام المواقع'!$B$5:$B$304,0)),""))</f>
        <v/>
      </c>
      <c r="H61" s="43" t="n"/>
      <c r="I61" s="42">
        <f>IF(OR(G61="",H61=""),"",G61+H61)</f>
        <v/>
      </c>
      <c r="J61" s="44" t="n"/>
      <c r="K61" s="45">
        <f>IF(OR(I61="",H61=0),"",MAX(0,MIN(1,(IF(P61&lt;&gt;"",P61,TODAY())-G61)/H61)))</f>
        <v/>
      </c>
      <c r="L61" s="46">
        <f>IF(B61="","",SUMIFS('المستخلصات'!$N$5:$N$304,'المستخلصات'!$B$5:$B$304,A61))</f>
        <v/>
      </c>
      <c r="M61" s="46">
        <f>IF(B61="","",SUMIFS('سندات القبض'!$K$5:$K$304,'سندات القبض'!$D$5:$D$304,A61))</f>
        <v/>
      </c>
      <c r="N61" s="46">
        <f>IF(B61="","",SUMIFS('سندات الصرف'!$L$5:$L$304,'سندات الصرف'!$D$5:$D$304,A61))</f>
        <v/>
      </c>
      <c r="O61" s="46">
        <f>IF(B61="","",M61-N61)</f>
        <v/>
      </c>
      <c r="P61" s="47" t="n"/>
      <c r="Q61" s="47" t="n"/>
      <c r="R61" s="48">
        <f>IF(B61="","",COUNTIFS('اعتماد المواد'!$B$5:$B$304,A61,'اعتماد المواد'!$M$5:$M$304,"قيد المراجعة"))</f>
        <v/>
      </c>
      <c r="S61" s="48">
        <f>IF(B61="","",COUNTIFS('عدم المطابقة'!$C$5:$C$304,A61,'عدم المطابقة'!$L$5:$L$304,"مفتوح*"))</f>
        <v/>
      </c>
      <c r="T61" s="48">
        <f>IF(B61="","",COUNTIFS('ملاحظات التسليم'!$B$5:$B$304,A61,'ملاحظات التسليم'!$K$5:$K$304,"مفتوح*"))</f>
        <v/>
      </c>
      <c r="U61" s="49">
        <f>IF(B61="","",IF(Q61&lt;&gt;"","مسلّم نهائياً",IF(P61&lt;&gt;"","فترة الضمان",IF(G61="","بانتظار استلام الموقع",IF(TODAY()&gt;I61,"متأخر عن التعاقد",IF(J61&lt;K61-0.1,"متأخر عن الخطة","جاري التنفيذ"))))))</f>
        <v/>
      </c>
    </row>
    <row r="62">
      <c r="A62" s="39">
        <f>IF(B62="","","PRJ-"&amp;TEXT(ROW()-4,"000"))</f>
        <v/>
      </c>
      <c r="B62" s="40" t="n"/>
      <c r="C62" s="40" t="n"/>
      <c r="D62" s="40" t="n"/>
      <c r="E62" s="40" t="n"/>
      <c r="F62" s="41" t="n"/>
      <c r="G62" s="42">
        <f>IF(B62="","",IFERROR(INDEX('استلام المواقع'!$D$5:$D$304,MATCH(A62,'استلام المواقع'!$B$5:$B$304,0)),""))</f>
        <v/>
      </c>
      <c r="H62" s="43" t="n"/>
      <c r="I62" s="42">
        <f>IF(OR(G62="",H62=""),"",G62+H62)</f>
        <v/>
      </c>
      <c r="J62" s="44" t="n"/>
      <c r="K62" s="45">
        <f>IF(OR(I62="",H62=0),"",MAX(0,MIN(1,(IF(P62&lt;&gt;"",P62,TODAY())-G62)/H62)))</f>
        <v/>
      </c>
      <c r="L62" s="46">
        <f>IF(B62="","",SUMIFS('المستخلصات'!$N$5:$N$304,'المستخلصات'!$B$5:$B$304,A62))</f>
        <v/>
      </c>
      <c r="M62" s="46">
        <f>IF(B62="","",SUMIFS('سندات القبض'!$K$5:$K$304,'سندات القبض'!$D$5:$D$304,A62))</f>
        <v/>
      </c>
      <c r="N62" s="46">
        <f>IF(B62="","",SUMIFS('سندات الصرف'!$L$5:$L$304,'سندات الصرف'!$D$5:$D$304,A62))</f>
        <v/>
      </c>
      <c r="O62" s="46">
        <f>IF(B62="","",M62-N62)</f>
        <v/>
      </c>
      <c r="P62" s="47" t="n"/>
      <c r="Q62" s="47" t="n"/>
      <c r="R62" s="48">
        <f>IF(B62="","",COUNTIFS('اعتماد المواد'!$B$5:$B$304,A62,'اعتماد المواد'!$M$5:$M$304,"قيد المراجعة"))</f>
        <v/>
      </c>
      <c r="S62" s="48">
        <f>IF(B62="","",COUNTIFS('عدم المطابقة'!$C$5:$C$304,A62,'عدم المطابقة'!$L$5:$L$304,"مفتوح*"))</f>
        <v/>
      </c>
      <c r="T62" s="48">
        <f>IF(B62="","",COUNTIFS('ملاحظات التسليم'!$B$5:$B$304,A62,'ملاحظات التسليم'!$K$5:$K$304,"مفتوح*"))</f>
        <v/>
      </c>
      <c r="U62" s="49">
        <f>IF(B62="","",IF(Q62&lt;&gt;"","مسلّم نهائياً",IF(P62&lt;&gt;"","فترة الضمان",IF(G62="","بانتظار استلام الموقع",IF(TODAY()&gt;I62,"متأخر عن التعاقد",IF(J62&lt;K62-0.1,"متأخر عن الخطة","جاري التنفيذ"))))))</f>
        <v/>
      </c>
    </row>
    <row r="63">
      <c r="A63" s="39">
        <f>IF(B63="","","PRJ-"&amp;TEXT(ROW()-4,"000"))</f>
        <v/>
      </c>
      <c r="B63" s="40" t="n"/>
      <c r="C63" s="40" t="n"/>
      <c r="D63" s="40" t="n"/>
      <c r="E63" s="40" t="n"/>
      <c r="F63" s="41" t="n"/>
      <c r="G63" s="42">
        <f>IF(B63="","",IFERROR(INDEX('استلام المواقع'!$D$5:$D$304,MATCH(A63,'استلام المواقع'!$B$5:$B$304,0)),""))</f>
        <v/>
      </c>
      <c r="H63" s="43" t="n"/>
      <c r="I63" s="42">
        <f>IF(OR(G63="",H63=""),"",G63+H63)</f>
        <v/>
      </c>
      <c r="J63" s="44" t="n"/>
      <c r="K63" s="45">
        <f>IF(OR(I63="",H63=0),"",MAX(0,MIN(1,(IF(P63&lt;&gt;"",P63,TODAY())-G63)/H63)))</f>
        <v/>
      </c>
      <c r="L63" s="46">
        <f>IF(B63="","",SUMIFS('المستخلصات'!$N$5:$N$304,'المستخلصات'!$B$5:$B$304,A63))</f>
        <v/>
      </c>
      <c r="M63" s="46">
        <f>IF(B63="","",SUMIFS('سندات القبض'!$K$5:$K$304,'سندات القبض'!$D$5:$D$304,A63))</f>
        <v/>
      </c>
      <c r="N63" s="46">
        <f>IF(B63="","",SUMIFS('سندات الصرف'!$L$5:$L$304,'سندات الصرف'!$D$5:$D$304,A63))</f>
        <v/>
      </c>
      <c r="O63" s="46">
        <f>IF(B63="","",M63-N63)</f>
        <v/>
      </c>
      <c r="P63" s="47" t="n"/>
      <c r="Q63" s="47" t="n"/>
      <c r="R63" s="48">
        <f>IF(B63="","",COUNTIFS('اعتماد المواد'!$B$5:$B$304,A63,'اعتماد المواد'!$M$5:$M$304,"قيد المراجعة"))</f>
        <v/>
      </c>
      <c r="S63" s="48">
        <f>IF(B63="","",COUNTIFS('عدم المطابقة'!$C$5:$C$304,A63,'عدم المطابقة'!$L$5:$L$304,"مفتوح*"))</f>
        <v/>
      </c>
      <c r="T63" s="48">
        <f>IF(B63="","",COUNTIFS('ملاحظات التسليم'!$B$5:$B$304,A63,'ملاحظات التسليم'!$K$5:$K$304,"مفتوح*"))</f>
        <v/>
      </c>
      <c r="U63" s="49">
        <f>IF(B63="","",IF(Q63&lt;&gt;"","مسلّم نهائياً",IF(P63&lt;&gt;"","فترة الضمان",IF(G63="","بانتظار استلام الموقع",IF(TODAY()&gt;I63,"متأخر عن التعاقد",IF(J63&lt;K63-0.1,"متأخر عن الخطة","جاري التنفيذ"))))))</f>
        <v/>
      </c>
    </row>
    <row r="64">
      <c r="A64" s="39">
        <f>IF(B64="","","PRJ-"&amp;TEXT(ROW()-4,"000"))</f>
        <v/>
      </c>
      <c r="B64" s="40" t="n"/>
      <c r="C64" s="40" t="n"/>
      <c r="D64" s="40" t="n"/>
      <c r="E64" s="40" t="n"/>
      <c r="F64" s="41" t="n"/>
      <c r="G64" s="42">
        <f>IF(B64="","",IFERROR(INDEX('استلام المواقع'!$D$5:$D$304,MATCH(A64,'استلام المواقع'!$B$5:$B$304,0)),""))</f>
        <v/>
      </c>
      <c r="H64" s="43" t="n"/>
      <c r="I64" s="42">
        <f>IF(OR(G64="",H64=""),"",G64+H64)</f>
        <v/>
      </c>
      <c r="J64" s="44" t="n"/>
      <c r="K64" s="45">
        <f>IF(OR(I64="",H64=0),"",MAX(0,MIN(1,(IF(P64&lt;&gt;"",P64,TODAY())-G64)/H64)))</f>
        <v/>
      </c>
      <c r="L64" s="46">
        <f>IF(B64="","",SUMIFS('المستخلصات'!$N$5:$N$304,'المستخلصات'!$B$5:$B$304,A64))</f>
        <v/>
      </c>
      <c r="M64" s="46">
        <f>IF(B64="","",SUMIFS('سندات القبض'!$K$5:$K$304,'سندات القبض'!$D$5:$D$304,A64))</f>
        <v/>
      </c>
      <c r="N64" s="46">
        <f>IF(B64="","",SUMIFS('سندات الصرف'!$L$5:$L$304,'سندات الصرف'!$D$5:$D$304,A64))</f>
        <v/>
      </c>
      <c r="O64" s="46">
        <f>IF(B64="","",M64-N64)</f>
        <v/>
      </c>
      <c r="P64" s="47" t="n"/>
      <c r="Q64" s="47" t="n"/>
      <c r="R64" s="48">
        <f>IF(B64="","",COUNTIFS('اعتماد المواد'!$B$5:$B$304,A64,'اعتماد المواد'!$M$5:$M$304,"قيد المراجعة"))</f>
        <v/>
      </c>
      <c r="S64" s="48">
        <f>IF(B64="","",COUNTIFS('عدم المطابقة'!$C$5:$C$304,A64,'عدم المطابقة'!$L$5:$L$304,"مفتوح*"))</f>
        <v/>
      </c>
      <c r="T64" s="48">
        <f>IF(B64="","",COUNTIFS('ملاحظات التسليم'!$B$5:$B$304,A64,'ملاحظات التسليم'!$K$5:$K$304,"مفتوح*"))</f>
        <v/>
      </c>
      <c r="U64" s="49">
        <f>IF(B64="","",IF(Q64&lt;&gt;"","مسلّم نهائياً",IF(P64&lt;&gt;"","فترة الضمان",IF(G64="","بانتظار استلام الموقع",IF(TODAY()&gt;I64,"متأخر عن التعاقد",IF(J64&lt;K64-0.1,"متأخر عن الخطة","جاري التنفيذ"))))))</f>
        <v/>
      </c>
    </row>
    <row r="65">
      <c r="A65" s="39">
        <f>IF(B65="","","PRJ-"&amp;TEXT(ROW()-4,"000"))</f>
        <v/>
      </c>
      <c r="B65" s="40" t="n"/>
      <c r="C65" s="40" t="n"/>
      <c r="D65" s="40" t="n"/>
      <c r="E65" s="40" t="n"/>
      <c r="F65" s="41" t="n"/>
      <c r="G65" s="42">
        <f>IF(B65="","",IFERROR(INDEX('استلام المواقع'!$D$5:$D$304,MATCH(A65,'استلام المواقع'!$B$5:$B$304,0)),""))</f>
        <v/>
      </c>
      <c r="H65" s="43" t="n"/>
      <c r="I65" s="42">
        <f>IF(OR(G65="",H65=""),"",G65+H65)</f>
        <v/>
      </c>
      <c r="J65" s="44" t="n"/>
      <c r="K65" s="45">
        <f>IF(OR(I65="",H65=0),"",MAX(0,MIN(1,(IF(P65&lt;&gt;"",P65,TODAY())-G65)/H65)))</f>
        <v/>
      </c>
      <c r="L65" s="46">
        <f>IF(B65="","",SUMIFS('المستخلصات'!$N$5:$N$304,'المستخلصات'!$B$5:$B$304,A65))</f>
        <v/>
      </c>
      <c r="M65" s="46">
        <f>IF(B65="","",SUMIFS('سندات القبض'!$K$5:$K$304,'سندات القبض'!$D$5:$D$304,A65))</f>
        <v/>
      </c>
      <c r="N65" s="46">
        <f>IF(B65="","",SUMIFS('سندات الصرف'!$L$5:$L$304,'سندات الصرف'!$D$5:$D$304,A65))</f>
        <v/>
      </c>
      <c r="O65" s="46">
        <f>IF(B65="","",M65-N65)</f>
        <v/>
      </c>
      <c r="P65" s="47" t="n"/>
      <c r="Q65" s="47" t="n"/>
      <c r="R65" s="48">
        <f>IF(B65="","",COUNTIFS('اعتماد المواد'!$B$5:$B$304,A65,'اعتماد المواد'!$M$5:$M$304,"قيد المراجعة"))</f>
        <v/>
      </c>
      <c r="S65" s="48">
        <f>IF(B65="","",COUNTIFS('عدم المطابقة'!$C$5:$C$304,A65,'عدم المطابقة'!$L$5:$L$304,"مفتوح*"))</f>
        <v/>
      </c>
      <c r="T65" s="48">
        <f>IF(B65="","",COUNTIFS('ملاحظات التسليم'!$B$5:$B$304,A65,'ملاحظات التسليم'!$K$5:$K$304,"مفتوح*"))</f>
        <v/>
      </c>
      <c r="U65" s="49">
        <f>IF(B65="","",IF(Q65&lt;&gt;"","مسلّم نهائياً",IF(P65&lt;&gt;"","فترة الضمان",IF(G65="","بانتظار استلام الموقع",IF(TODAY()&gt;I65,"متأخر عن التعاقد",IF(J65&lt;K65-0.1,"متأخر عن الخطة","جاري التنفيذ"))))))</f>
        <v/>
      </c>
    </row>
    <row r="66">
      <c r="A66" s="39">
        <f>IF(B66="","","PRJ-"&amp;TEXT(ROW()-4,"000"))</f>
        <v/>
      </c>
      <c r="B66" s="40" t="n"/>
      <c r="C66" s="40" t="n"/>
      <c r="D66" s="40" t="n"/>
      <c r="E66" s="40" t="n"/>
      <c r="F66" s="41" t="n"/>
      <c r="G66" s="42">
        <f>IF(B66="","",IFERROR(INDEX('استلام المواقع'!$D$5:$D$304,MATCH(A66,'استلام المواقع'!$B$5:$B$304,0)),""))</f>
        <v/>
      </c>
      <c r="H66" s="43" t="n"/>
      <c r="I66" s="42">
        <f>IF(OR(G66="",H66=""),"",G66+H66)</f>
        <v/>
      </c>
      <c r="J66" s="44" t="n"/>
      <c r="K66" s="45">
        <f>IF(OR(I66="",H66=0),"",MAX(0,MIN(1,(IF(P66&lt;&gt;"",P66,TODAY())-G66)/H66)))</f>
        <v/>
      </c>
      <c r="L66" s="46">
        <f>IF(B66="","",SUMIFS('المستخلصات'!$N$5:$N$304,'المستخلصات'!$B$5:$B$304,A66))</f>
        <v/>
      </c>
      <c r="M66" s="46">
        <f>IF(B66="","",SUMIFS('سندات القبض'!$K$5:$K$304,'سندات القبض'!$D$5:$D$304,A66))</f>
        <v/>
      </c>
      <c r="N66" s="46">
        <f>IF(B66="","",SUMIFS('سندات الصرف'!$L$5:$L$304,'سندات الصرف'!$D$5:$D$304,A66))</f>
        <v/>
      </c>
      <c r="O66" s="46">
        <f>IF(B66="","",M66-N66)</f>
        <v/>
      </c>
      <c r="P66" s="47" t="n"/>
      <c r="Q66" s="47" t="n"/>
      <c r="R66" s="48">
        <f>IF(B66="","",COUNTIFS('اعتماد المواد'!$B$5:$B$304,A66,'اعتماد المواد'!$M$5:$M$304,"قيد المراجعة"))</f>
        <v/>
      </c>
      <c r="S66" s="48">
        <f>IF(B66="","",COUNTIFS('عدم المطابقة'!$C$5:$C$304,A66,'عدم المطابقة'!$L$5:$L$304,"مفتوح*"))</f>
        <v/>
      </c>
      <c r="T66" s="48">
        <f>IF(B66="","",COUNTIFS('ملاحظات التسليم'!$B$5:$B$304,A66,'ملاحظات التسليم'!$K$5:$K$304,"مفتوح*"))</f>
        <v/>
      </c>
      <c r="U66" s="49">
        <f>IF(B66="","",IF(Q66&lt;&gt;"","مسلّم نهائياً",IF(P66&lt;&gt;"","فترة الضمان",IF(G66="","بانتظار استلام الموقع",IF(TODAY()&gt;I66,"متأخر عن التعاقد",IF(J66&lt;K66-0.1,"متأخر عن الخطة","جاري التنفيذ"))))))</f>
        <v/>
      </c>
    </row>
    <row r="67">
      <c r="A67" s="39">
        <f>IF(B67="","","PRJ-"&amp;TEXT(ROW()-4,"000"))</f>
        <v/>
      </c>
      <c r="B67" s="40" t="n"/>
      <c r="C67" s="40" t="n"/>
      <c r="D67" s="40" t="n"/>
      <c r="E67" s="40" t="n"/>
      <c r="F67" s="41" t="n"/>
      <c r="G67" s="42">
        <f>IF(B67="","",IFERROR(INDEX('استلام المواقع'!$D$5:$D$304,MATCH(A67,'استلام المواقع'!$B$5:$B$304,0)),""))</f>
        <v/>
      </c>
      <c r="H67" s="43" t="n"/>
      <c r="I67" s="42">
        <f>IF(OR(G67="",H67=""),"",G67+H67)</f>
        <v/>
      </c>
      <c r="J67" s="44" t="n"/>
      <c r="K67" s="45">
        <f>IF(OR(I67="",H67=0),"",MAX(0,MIN(1,(IF(P67&lt;&gt;"",P67,TODAY())-G67)/H67)))</f>
        <v/>
      </c>
      <c r="L67" s="46">
        <f>IF(B67="","",SUMIFS('المستخلصات'!$N$5:$N$304,'المستخلصات'!$B$5:$B$304,A67))</f>
        <v/>
      </c>
      <c r="M67" s="46">
        <f>IF(B67="","",SUMIFS('سندات القبض'!$K$5:$K$304,'سندات القبض'!$D$5:$D$304,A67))</f>
        <v/>
      </c>
      <c r="N67" s="46">
        <f>IF(B67="","",SUMIFS('سندات الصرف'!$L$5:$L$304,'سندات الصرف'!$D$5:$D$304,A67))</f>
        <v/>
      </c>
      <c r="O67" s="46">
        <f>IF(B67="","",M67-N67)</f>
        <v/>
      </c>
      <c r="P67" s="47" t="n"/>
      <c r="Q67" s="47" t="n"/>
      <c r="R67" s="48">
        <f>IF(B67="","",COUNTIFS('اعتماد المواد'!$B$5:$B$304,A67,'اعتماد المواد'!$M$5:$M$304,"قيد المراجعة"))</f>
        <v/>
      </c>
      <c r="S67" s="48">
        <f>IF(B67="","",COUNTIFS('عدم المطابقة'!$C$5:$C$304,A67,'عدم المطابقة'!$L$5:$L$304,"مفتوح*"))</f>
        <v/>
      </c>
      <c r="T67" s="48">
        <f>IF(B67="","",COUNTIFS('ملاحظات التسليم'!$B$5:$B$304,A67,'ملاحظات التسليم'!$K$5:$K$304,"مفتوح*"))</f>
        <v/>
      </c>
      <c r="U67" s="49">
        <f>IF(B67="","",IF(Q67&lt;&gt;"","مسلّم نهائياً",IF(P67&lt;&gt;"","فترة الضمان",IF(G67="","بانتظار استلام الموقع",IF(TODAY()&gt;I67,"متأخر عن التعاقد",IF(J67&lt;K67-0.1,"متأخر عن الخطة","جاري التنفيذ"))))))</f>
        <v/>
      </c>
    </row>
    <row r="68">
      <c r="A68" s="39">
        <f>IF(B68="","","PRJ-"&amp;TEXT(ROW()-4,"000"))</f>
        <v/>
      </c>
      <c r="B68" s="40" t="n"/>
      <c r="C68" s="40" t="n"/>
      <c r="D68" s="40" t="n"/>
      <c r="E68" s="40" t="n"/>
      <c r="F68" s="41" t="n"/>
      <c r="G68" s="42">
        <f>IF(B68="","",IFERROR(INDEX('استلام المواقع'!$D$5:$D$304,MATCH(A68,'استلام المواقع'!$B$5:$B$304,0)),""))</f>
        <v/>
      </c>
      <c r="H68" s="43" t="n"/>
      <c r="I68" s="42">
        <f>IF(OR(G68="",H68=""),"",G68+H68)</f>
        <v/>
      </c>
      <c r="J68" s="44" t="n"/>
      <c r="K68" s="45">
        <f>IF(OR(I68="",H68=0),"",MAX(0,MIN(1,(IF(P68&lt;&gt;"",P68,TODAY())-G68)/H68)))</f>
        <v/>
      </c>
      <c r="L68" s="46">
        <f>IF(B68="","",SUMIFS('المستخلصات'!$N$5:$N$304,'المستخلصات'!$B$5:$B$304,A68))</f>
        <v/>
      </c>
      <c r="M68" s="46">
        <f>IF(B68="","",SUMIFS('سندات القبض'!$K$5:$K$304,'سندات القبض'!$D$5:$D$304,A68))</f>
        <v/>
      </c>
      <c r="N68" s="46">
        <f>IF(B68="","",SUMIFS('سندات الصرف'!$L$5:$L$304,'سندات الصرف'!$D$5:$D$304,A68))</f>
        <v/>
      </c>
      <c r="O68" s="46">
        <f>IF(B68="","",M68-N68)</f>
        <v/>
      </c>
      <c r="P68" s="47" t="n"/>
      <c r="Q68" s="47" t="n"/>
      <c r="R68" s="48">
        <f>IF(B68="","",COUNTIFS('اعتماد المواد'!$B$5:$B$304,A68,'اعتماد المواد'!$M$5:$M$304,"قيد المراجعة"))</f>
        <v/>
      </c>
      <c r="S68" s="48">
        <f>IF(B68="","",COUNTIFS('عدم المطابقة'!$C$5:$C$304,A68,'عدم المطابقة'!$L$5:$L$304,"مفتوح*"))</f>
        <v/>
      </c>
      <c r="T68" s="48">
        <f>IF(B68="","",COUNTIFS('ملاحظات التسليم'!$B$5:$B$304,A68,'ملاحظات التسليم'!$K$5:$K$304,"مفتوح*"))</f>
        <v/>
      </c>
      <c r="U68" s="49">
        <f>IF(B68="","",IF(Q68&lt;&gt;"","مسلّم نهائياً",IF(P68&lt;&gt;"","فترة الضمان",IF(G68="","بانتظار استلام الموقع",IF(TODAY()&gt;I68,"متأخر عن التعاقد",IF(J68&lt;K68-0.1,"متأخر عن الخطة","جاري التنفيذ"))))))</f>
        <v/>
      </c>
    </row>
    <row r="69">
      <c r="A69" s="39">
        <f>IF(B69="","","PRJ-"&amp;TEXT(ROW()-4,"000"))</f>
        <v/>
      </c>
      <c r="B69" s="40" t="n"/>
      <c r="C69" s="40" t="n"/>
      <c r="D69" s="40" t="n"/>
      <c r="E69" s="40" t="n"/>
      <c r="F69" s="41" t="n"/>
      <c r="G69" s="42">
        <f>IF(B69="","",IFERROR(INDEX('استلام المواقع'!$D$5:$D$304,MATCH(A69,'استلام المواقع'!$B$5:$B$304,0)),""))</f>
        <v/>
      </c>
      <c r="H69" s="43" t="n"/>
      <c r="I69" s="42">
        <f>IF(OR(G69="",H69=""),"",G69+H69)</f>
        <v/>
      </c>
      <c r="J69" s="44" t="n"/>
      <c r="K69" s="45">
        <f>IF(OR(I69="",H69=0),"",MAX(0,MIN(1,(IF(P69&lt;&gt;"",P69,TODAY())-G69)/H69)))</f>
        <v/>
      </c>
      <c r="L69" s="46">
        <f>IF(B69="","",SUMIFS('المستخلصات'!$N$5:$N$304,'المستخلصات'!$B$5:$B$304,A69))</f>
        <v/>
      </c>
      <c r="M69" s="46">
        <f>IF(B69="","",SUMIFS('سندات القبض'!$K$5:$K$304,'سندات القبض'!$D$5:$D$304,A69))</f>
        <v/>
      </c>
      <c r="N69" s="46">
        <f>IF(B69="","",SUMIFS('سندات الصرف'!$L$5:$L$304,'سندات الصرف'!$D$5:$D$304,A69))</f>
        <v/>
      </c>
      <c r="O69" s="46">
        <f>IF(B69="","",M69-N69)</f>
        <v/>
      </c>
      <c r="P69" s="47" t="n"/>
      <c r="Q69" s="47" t="n"/>
      <c r="R69" s="48">
        <f>IF(B69="","",COUNTIFS('اعتماد المواد'!$B$5:$B$304,A69,'اعتماد المواد'!$M$5:$M$304,"قيد المراجعة"))</f>
        <v/>
      </c>
      <c r="S69" s="48">
        <f>IF(B69="","",COUNTIFS('عدم المطابقة'!$C$5:$C$304,A69,'عدم المطابقة'!$L$5:$L$304,"مفتوح*"))</f>
        <v/>
      </c>
      <c r="T69" s="48">
        <f>IF(B69="","",COUNTIFS('ملاحظات التسليم'!$B$5:$B$304,A69,'ملاحظات التسليم'!$K$5:$K$304,"مفتوح*"))</f>
        <v/>
      </c>
      <c r="U69" s="49">
        <f>IF(B69="","",IF(Q69&lt;&gt;"","مسلّم نهائياً",IF(P69&lt;&gt;"","فترة الضمان",IF(G69="","بانتظار استلام الموقع",IF(TODAY()&gt;I69,"متأخر عن التعاقد",IF(J69&lt;K69-0.1,"متأخر عن الخطة","جاري التنفيذ"))))))</f>
        <v/>
      </c>
    </row>
    <row r="70">
      <c r="A70" s="39">
        <f>IF(B70="","","PRJ-"&amp;TEXT(ROW()-4,"000"))</f>
        <v/>
      </c>
      <c r="B70" s="40" t="n"/>
      <c r="C70" s="40" t="n"/>
      <c r="D70" s="40" t="n"/>
      <c r="E70" s="40" t="n"/>
      <c r="F70" s="41" t="n"/>
      <c r="G70" s="42">
        <f>IF(B70="","",IFERROR(INDEX('استلام المواقع'!$D$5:$D$304,MATCH(A70,'استلام المواقع'!$B$5:$B$304,0)),""))</f>
        <v/>
      </c>
      <c r="H70" s="43" t="n"/>
      <c r="I70" s="42">
        <f>IF(OR(G70="",H70=""),"",G70+H70)</f>
        <v/>
      </c>
      <c r="J70" s="44" t="n"/>
      <c r="K70" s="45">
        <f>IF(OR(I70="",H70=0),"",MAX(0,MIN(1,(IF(P70&lt;&gt;"",P70,TODAY())-G70)/H70)))</f>
        <v/>
      </c>
      <c r="L70" s="46">
        <f>IF(B70="","",SUMIFS('المستخلصات'!$N$5:$N$304,'المستخلصات'!$B$5:$B$304,A70))</f>
        <v/>
      </c>
      <c r="M70" s="46">
        <f>IF(B70="","",SUMIFS('سندات القبض'!$K$5:$K$304,'سندات القبض'!$D$5:$D$304,A70))</f>
        <v/>
      </c>
      <c r="N70" s="46">
        <f>IF(B70="","",SUMIFS('سندات الصرف'!$L$5:$L$304,'سندات الصرف'!$D$5:$D$304,A70))</f>
        <v/>
      </c>
      <c r="O70" s="46">
        <f>IF(B70="","",M70-N70)</f>
        <v/>
      </c>
      <c r="P70" s="47" t="n"/>
      <c r="Q70" s="47" t="n"/>
      <c r="R70" s="48">
        <f>IF(B70="","",COUNTIFS('اعتماد المواد'!$B$5:$B$304,A70,'اعتماد المواد'!$M$5:$M$304,"قيد المراجعة"))</f>
        <v/>
      </c>
      <c r="S70" s="48">
        <f>IF(B70="","",COUNTIFS('عدم المطابقة'!$C$5:$C$304,A70,'عدم المطابقة'!$L$5:$L$304,"مفتوح*"))</f>
        <v/>
      </c>
      <c r="T70" s="48">
        <f>IF(B70="","",COUNTIFS('ملاحظات التسليم'!$B$5:$B$304,A70,'ملاحظات التسليم'!$K$5:$K$304,"مفتوح*"))</f>
        <v/>
      </c>
      <c r="U70" s="49">
        <f>IF(B70="","",IF(Q70&lt;&gt;"","مسلّم نهائياً",IF(P70&lt;&gt;"","فترة الضمان",IF(G70="","بانتظار استلام الموقع",IF(TODAY()&gt;I70,"متأخر عن التعاقد",IF(J70&lt;K70-0.1,"متأخر عن الخطة","جاري التنفيذ"))))))</f>
        <v/>
      </c>
    </row>
    <row r="71">
      <c r="A71" s="39">
        <f>IF(B71="","","PRJ-"&amp;TEXT(ROW()-4,"000"))</f>
        <v/>
      </c>
      <c r="B71" s="40" t="n"/>
      <c r="C71" s="40" t="n"/>
      <c r="D71" s="40" t="n"/>
      <c r="E71" s="40" t="n"/>
      <c r="F71" s="41" t="n"/>
      <c r="G71" s="42">
        <f>IF(B71="","",IFERROR(INDEX('استلام المواقع'!$D$5:$D$304,MATCH(A71,'استلام المواقع'!$B$5:$B$304,0)),""))</f>
        <v/>
      </c>
      <c r="H71" s="43" t="n"/>
      <c r="I71" s="42">
        <f>IF(OR(G71="",H71=""),"",G71+H71)</f>
        <v/>
      </c>
      <c r="J71" s="44" t="n"/>
      <c r="K71" s="45">
        <f>IF(OR(I71="",H71=0),"",MAX(0,MIN(1,(IF(P71&lt;&gt;"",P71,TODAY())-G71)/H71)))</f>
        <v/>
      </c>
      <c r="L71" s="46">
        <f>IF(B71="","",SUMIFS('المستخلصات'!$N$5:$N$304,'المستخلصات'!$B$5:$B$304,A71))</f>
        <v/>
      </c>
      <c r="M71" s="46">
        <f>IF(B71="","",SUMIFS('سندات القبض'!$K$5:$K$304,'سندات القبض'!$D$5:$D$304,A71))</f>
        <v/>
      </c>
      <c r="N71" s="46">
        <f>IF(B71="","",SUMIFS('سندات الصرف'!$L$5:$L$304,'سندات الصرف'!$D$5:$D$304,A71))</f>
        <v/>
      </c>
      <c r="O71" s="46">
        <f>IF(B71="","",M71-N71)</f>
        <v/>
      </c>
      <c r="P71" s="47" t="n"/>
      <c r="Q71" s="47" t="n"/>
      <c r="R71" s="48">
        <f>IF(B71="","",COUNTIFS('اعتماد المواد'!$B$5:$B$304,A71,'اعتماد المواد'!$M$5:$M$304,"قيد المراجعة"))</f>
        <v/>
      </c>
      <c r="S71" s="48">
        <f>IF(B71="","",COUNTIFS('عدم المطابقة'!$C$5:$C$304,A71,'عدم المطابقة'!$L$5:$L$304,"مفتوح*"))</f>
        <v/>
      </c>
      <c r="T71" s="48">
        <f>IF(B71="","",COUNTIFS('ملاحظات التسليم'!$B$5:$B$304,A71,'ملاحظات التسليم'!$K$5:$K$304,"مفتوح*"))</f>
        <v/>
      </c>
      <c r="U71" s="49">
        <f>IF(B71="","",IF(Q71&lt;&gt;"","مسلّم نهائياً",IF(P71&lt;&gt;"","فترة الضمان",IF(G71="","بانتظار استلام الموقع",IF(TODAY()&gt;I71,"متأخر عن التعاقد",IF(J71&lt;K71-0.1,"متأخر عن الخطة","جاري التنفيذ"))))))</f>
        <v/>
      </c>
    </row>
    <row r="72">
      <c r="A72" s="39">
        <f>IF(B72="","","PRJ-"&amp;TEXT(ROW()-4,"000"))</f>
        <v/>
      </c>
      <c r="B72" s="40" t="n"/>
      <c r="C72" s="40" t="n"/>
      <c r="D72" s="40" t="n"/>
      <c r="E72" s="40" t="n"/>
      <c r="F72" s="41" t="n"/>
      <c r="G72" s="42">
        <f>IF(B72="","",IFERROR(INDEX('استلام المواقع'!$D$5:$D$304,MATCH(A72,'استلام المواقع'!$B$5:$B$304,0)),""))</f>
        <v/>
      </c>
      <c r="H72" s="43" t="n"/>
      <c r="I72" s="42">
        <f>IF(OR(G72="",H72=""),"",G72+H72)</f>
        <v/>
      </c>
      <c r="J72" s="44" t="n"/>
      <c r="K72" s="45">
        <f>IF(OR(I72="",H72=0),"",MAX(0,MIN(1,(IF(P72&lt;&gt;"",P72,TODAY())-G72)/H72)))</f>
        <v/>
      </c>
      <c r="L72" s="46">
        <f>IF(B72="","",SUMIFS('المستخلصات'!$N$5:$N$304,'المستخلصات'!$B$5:$B$304,A72))</f>
        <v/>
      </c>
      <c r="M72" s="46">
        <f>IF(B72="","",SUMIFS('سندات القبض'!$K$5:$K$304,'سندات القبض'!$D$5:$D$304,A72))</f>
        <v/>
      </c>
      <c r="N72" s="46">
        <f>IF(B72="","",SUMIFS('سندات الصرف'!$L$5:$L$304,'سندات الصرف'!$D$5:$D$304,A72))</f>
        <v/>
      </c>
      <c r="O72" s="46">
        <f>IF(B72="","",M72-N72)</f>
        <v/>
      </c>
      <c r="P72" s="47" t="n"/>
      <c r="Q72" s="47" t="n"/>
      <c r="R72" s="48">
        <f>IF(B72="","",COUNTIFS('اعتماد المواد'!$B$5:$B$304,A72,'اعتماد المواد'!$M$5:$M$304,"قيد المراجعة"))</f>
        <v/>
      </c>
      <c r="S72" s="48">
        <f>IF(B72="","",COUNTIFS('عدم المطابقة'!$C$5:$C$304,A72,'عدم المطابقة'!$L$5:$L$304,"مفتوح*"))</f>
        <v/>
      </c>
      <c r="T72" s="48">
        <f>IF(B72="","",COUNTIFS('ملاحظات التسليم'!$B$5:$B$304,A72,'ملاحظات التسليم'!$K$5:$K$304,"مفتوح*"))</f>
        <v/>
      </c>
      <c r="U72" s="49">
        <f>IF(B72="","",IF(Q72&lt;&gt;"","مسلّم نهائياً",IF(P72&lt;&gt;"","فترة الضمان",IF(G72="","بانتظار استلام الموقع",IF(TODAY()&gt;I72,"متأخر عن التعاقد",IF(J72&lt;K72-0.1,"متأخر عن الخطة","جاري التنفيذ"))))))</f>
        <v/>
      </c>
    </row>
    <row r="73">
      <c r="A73" s="39">
        <f>IF(B73="","","PRJ-"&amp;TEXT(ROW()-4,"000"))</f>
        <v/>
      </c>
      <c r="B73" s="40" t="n"/>
      <c r="C73" s="40" t="n"/>
      <c r="D73" s="40" t="n"/>
      <c r="E73" s="40" t="n"/>
      <c r="F73" s="41" t="n"/>
      <c r="G73" s="42">
        <f>IF(B73="","",IFERROR(INDEX('استلام المواقع'!$D$5:$D$304,MATCH(A73,'استلام المواقع'!$B$5:$B$304,0)),""))</f>
        <v/>
      </c>
      <c r="H73" s="43" t="n"/>
      <c r="I73" s="42">
        <f>IF(OR(G73="",H73=""),"",G73+H73)</f>
        <v/>
      </c>
      <c r="J73" s="44" t="n"/>
      <c r="K73" s="45">
        <f>IF(OR(I73="",H73=0),"",MAX(0,MIN(1,(IF(P73&lt;&gt;"",P73,TODAY())-G73)/H73)))</f>
        <v/>
      </c>
      <c r="L73" s="46">
        <f>IF(B73="","",SUMIFS('المستخلصات'!$N$5:$N$304,'المستخلصات'!$B$5:$B$304,A73))</f>
        <v/>
      </c>
      <c r="M73" s="46">
        <f>IF(B73="","",SUMIFS('سندات القبض'!$K$5:$K$304,'سندات القبض'!$D$5:$D$304,A73))</f>
        <v/>
      </c>
      <c r="N73" s="46">
        <f>IF(B73="","",SUMIFS('سندات الصرف'!$L$5:$L$304,'سندات الصرف'!$D$5:$D$304,A73))</f>
        <v/>
      </c>
      <c r="O73" s="46">
        <f>IF(B73="","",M73-N73)</f>
        <v/>
      </c>
      <c r="P73" s="47" t="n"/>
      <c r="Q73" s="47" t="n"/>
      <c r="R73" s="48">
        <f>IF(B73="","",COUNTIFS('اعتماد المواد'!$B$5:$B$304,A73,'اعتماد المواد'!$M$5:$M$304,"قيد المراجعة"))</f>
        <v/>
      </c>
      <c r="S73" s="48">
        <f>IF(B73="","",COUNTIFS('عدم المطابقة'!$C$5:$C$304,A73,'عدم المطابقة'!$L$5:$L$304,"مفتوح*"))</f>
        <v/>
      </c>
      <c r="T73" s="48">
        <f>IF(B73="","",COUNTIFS('ملاحظات التسليم'!$B$5:$B$304,A73,'ملاحظات التسليم'!$K$5:$K$304,"مفتوح*"))</f>
        <v/>
      </c>
      <c r="U73" s="49">
        <f>IF(B73="","",IF(Q73&lt;&gt;"","مسلّم نهائياً",IF(P73&lt;&gt;"","فترة الضمان",IF(G73="","بانتظار استلام الموقع",IF(TODAY()&gt;I73,"متأخر عن التعاقد",IF(J73&lt;K73-0.1,"متأخر عن الخطة","جاري التنفيذ"))))))</f>
        <v/>
      </c>
    </row>
    <row r="74">
      <c r="A74" s="39">
        <f>IF(B74="","","PRJ-"&amp;TEXT(ROW()-4,"000"))</f>
        <v/>
      </c>
      <c r="B74" s="40" t="n"/>
      <c r="C74" s="40" t="n"/>
      <c r="D74" s="40" t="n"/>
      <c r="E74" s="40" t="n"/>
      <c r="F74" s="41" t="n"/>
      <c r="G74" s="42">
        <f>IF(B74="","",IFERROR(INDEX('استلام المواقع'!$D$5:$D$304,MATCH(A74,'استلام المواقع'!$B$5:$B$304,0)),""))</f>
        <v/>
      </c>
      <c r="H74" s="43" t="n"/>
      <c r="I74" s="42">
        <f>IF(OR(G74="",H74=""),"",G74+H74)</f>
        <v/>
      </c>
      <c r="J74" s="44" t="n"/>
      <c r="K74" s="45">
        <f>IF(OR(I74="",H74=0),"",MAX(0,MIN(1,(IF(P74&lt;&gt;"",P74,TODAY())-G74)/H74)))</f>
        <v/>
      </c>
      <c r="L74" s="46">
        <f>IF(B74="","",SUMIFS('المستخلصات'!$N$5:$N$304,'المستخلصات'!$B$5:$B$304,A74))</f>
        <v/>
      </c>
      <c r="M74" s="46">
        <f>IF(B74="","",SUMIFS('سندات القبض'!$K$5:$K$304,'سندات القبض'!$D$5:$D$304,A74))</f>
        <v/>
      </c>
      <c r="N74" s="46">
        <f>IF(B74="","",SUMIFS('سندات الصرف'!$L$5:$L$304,'سندات الصرف'!$D$5:$D$304,A74))</f>
        <v/>
      </c>
      <c r="O74" s="46">
        <f>IF(B74="","",M74-N74)</f>
        <v/>
      </c>
      <c r="P74" s="47" t="n"/>
      <c r="Q74" s="47" t="n"/>
      <c r="R74" s="48">
        <f>IF(B74="","",COUNTIFS('اعتماد المواد'!$B$5:$B$304,A74,'اعتماد المواد'!$M$5:$M$304,"قيد المراجعة"))</f>
        <v/>
      </c>
      <c r="S74" s="48">
        <f>IF(B74="","",COUNTIFS('عدم المطابقة'!$C$5:$C$304,A74,'عدم المطابقة'!$L$5:$L$304,"مفتوح*"))</f>
        <v/>
      </c>
      <c r="T74" s="48">
        <f>IF(B74="","",COUNTIFS('ملاحظات التسليم'!$B$5:$B$304,A74,'ملاحظات التسليم'!$K$5:$K$304,"مفتوح*"))</f>
        <v/>
      </c>
      <c r="U74" s="49">
        <f>IF(B74="","",IF(Q74&lt;&gt;"","مسلّم نهائياً",IF(P74&lt;&gt;"","فترة الضمان",IF(G74="","بانتظار استلام الموقع",IF(TODAY()&gt;I74,"متأخر عن التعاقد",IF(J74&lt;K74-0.1,"متأخر عن الخطة","جاري التنفيذ"))))))</f>
        <v/>
      </c>
    </row>
    <row r="75">
      <c r="A75" s="39">
        <f>IF(B75="","","PRJ-"&amp;TEXT(ROW()-4,"000"))</f>
        <v/>
      </c>
      <c r="B75" s="40" t="n"/>
      <c r="C75" s="40" t="n"/>
      <c r="D75" s="40" t="n"/>
      <c r="E75" s="40" t="n"/>
      <c r="F75" s="41" t="n"/>
      <c r="G75" s="42">
        <f>IF(B75="","",IFERROR(INDEX('استلام المواقع'!$D$5:$D$304,MATCH(A75,'استلام المواقع'!$B$5:$B$304,0)),""))</f>
        <v/>
      </c>
      <c r="H75" s="43" t="n"/>
      <c r="I75" s="42">
        <f>IF(OR(G75="",H75=""),"",G75+H75)</f>
        <v/>
      </c>
      <c r="J75" s="44" t="n"/>
      <c r="K75" s="45">
        <f>IF(OR(I75="",H75=0),"",MAX(0,MIN(1,(IF(P75&lt;&gt;"",P75,TODAY())-G75)/H75)))</f>
        <v/>
      </c>
      <c r="L75" s="46">
        <f>IF(B75="","",SUMIFS('المستخلصات'!$N$5:$N$304,'المستخلصات'!$B$5:$B$304,A75))</f>
        <v/>
      </c>
      <c r="M75" s="46">
        <f>IF(B75="","",SUMIFS('سندات القبض'!$K$5:$K$304,'سندات القبض'!$D$5:$D$304,A75))</f>
        <v/>
      </c>
      <c r="N75" s="46">
        <f>IF(B75="","",SUMIFS('سندات الصرف'!$L$5:$L$304,'سندات الصرف'!$D$5:$D$304,A75))</f>
        <v/>
      </c>
      <c r="O75" s="46">
        <f>IF(B75="","",M75-N75)</f>
        <v/>
      </c>
      <c r="P75" s="47" t="n"/>
      <c r="Q75" s="47" t="n"/>
      <c r="R75" s="48">
        <f>IF(B75="","",COUNTIFS('اعتماد المواد'!$B$5:$B$304,A75,'اعتماد المواد'!$M$5:$M$304,"قيد المراجعة"))</f>
        <v/>
      </c>
      <c r="S75" s="48">
        <f>IF(B75="","",COUNTIFS('عدم المطابقة'!$C$5:$C$304,A75,'عدم المطابقة'!$L$5:$L$304,"مفتوح*"))</f>
        <v/>
      </c>
      <c r="T75" s="48">
        <f>IF(B75="","",COUNTIFS('ملاحظات التسليم'!$B$5:$B$304,A75,'ملاحظات التسليم'!$K$5:$K$304,"مفتوح*"))</f>
        <v/>
      </c>
      <c r="U75" s="49">
        <f>IF(B75="","",IF(Q75&lt;&gt;"","مسلّم نهائياً",IF(P75&lt;&gt;"","فترة الضمان",IF(G75="","بانتظار استلام الموقع",IF(TODAY()&gt;I75,"متأخر عن التعاقد",IF(J75&lt;K75-0.1,"متأخر عن الخطة","جاري التنفيذ"))))))</f>
        <v/>
      </c>
    </row>
    <row r="76">
      <c r="A76" s="39">
        <f>IF(B76="","","PRJ-"&amp;TEXT(ROW()-4,"000"))</f>
        <v/>
      </c>
      <c r="B76" s="40" t="n"/>
      <c r="C76" s="40" t="n"/>
      <c r="D76" s="40" t="n"/>
      <c r="E76" s="40" t="n"/>
      <c r="F76" s="41" t="n"/>
      <c r="G76" s="42">
        <f>IF(B76="","",IFERROR(INDEX('استلام المواقع'!$D$5:$D$304,MATCH(A76,'استلام المواقع'!$B$5:$B$304,0)),""))</f>
        <v/>
      </c>
      <c r="H76" s="43" t="n"/>
      <c r="I76" s="42">
        <f>IF(OR(G76="",H76=""),"",G76+H76)</f>
        <v/>
      </c>
      <c r="J76" s="44" t="n"/>
      <c r="K76" s="45">
        <f>IF(OR(I76="",H76=0),"",MAX(0,MIN(1,(IF(P76&lt;&gt;"",P76,TODAY())-G76)/H76)))</f>
        <v/>
      </c>
      <c r="L76" s="46">
        <f>IF(B76="","",SUMIFS('المستخلصات'!$N$5:$N$304,'المستخلصات'!$B$5:$B$304,A76))</f>
        <v/>
      </c>
      <c r="M76" s="46">
        <f>IF(B76="","",SUMIFS('سندات القبض'!$K$5:$K$304,'سندات القبض'!$D$5:$D$304,A76))</f>
        <v/>
      </c>
      <c r="N76" s="46">
        <f>IF(B76="","",SUMIFS('سندات الصرف'!$L$5:$L$304,'سندات الصرف'!$D$5:$D$304,A76))</f>
        <v/>
      </c>
      <c r="O76" s="46">
        <f>IF(B76="","",M76-N76)</f>
        <v/>
      </c>
      <c r="P76" s="47" t="n"/>
      <c r="Q76" s="47" t="n"/>
      <c r="R76" s="48">
        <f>IF(B76="","",COUNTIFS('اعتماد المواد'!$B$5:$B$304,A76,'اعتماد المواد'!$M$5:$M$304,"قيد المراجعة"))</f>
        <v/>
      </c>
      <c r="S76" s="48">
        <f>IF(B76="","",COUNTIFS('عدم المطابقة'!$C$5:$C$304,A76,'عدم المطابقة'!$L$5:$L$304,"مفتوح*"))</f>
        <v/>
      </c>
      <c r="T76" s="48">
        <f>IF(B76="","",COUNTIFS('ملاحظات التسليم'!$B$5:$B$304,A76,'ملاحظات التسليم'!$K$5:$K$304,"مفتوح*"))</f>
        <v/>
      </c>
      <c r="U76" s="49">
        <f>IF(B76="","",IF(Q76&lt;&gt;"","مسلّم نهائياً",IF(P76&lt;&gt;"","فترة الضمان",IF(G76="","بانتظار استلام الموقع",IF(TODAY()&gt;I76,"متأخر عن التعاقد",IF(J76&lt;K76-0.1,"متأخر عن الخطة","جاري التنفيذ"))))))</f>
        <v/>
      </c>
    </row>
    <row r="77">
      <c r="A77" s="39">
        <f>IF(B77="","","PRJ-"&amp;TEXT(ROW()-4,"000"))</f>
        <v/>
      </c>
      <c r="B77" s="40" t="n"/>
      <c r="C77" s="40" t="n"/>
      <c r="D77" s="40" t="n"/>
      <c r="E77" s="40" t="n"/>
      <c r="F77" s="41" t="n"/>
      <c r="G77" s="42">
        <f>IF(B77="","",IFERROR(INDEX('استلام المواقع'!$D$5:$D$304,MATCH(A77,'استلام المواقع'!$B$5:$B$304,0)),""))</f>
        <v/>
      </c>
      <c r="H77" s="43" t="n"/>
      <c r="I77" s="42">
        <f>IF(OR(G77="",H77=""),"",G77+H77)</f>
        <v/>
      </c>
      <c r="J77" s="44" t="n"/>
      <c r="K77" s="45">
        <f>IF(OR(I77="",H77=0),"",MAX(0,MIN(1,(IF(P77&lt;&gt;"",P77,TODAY())-G77)/H77)))</f>
        <v/>
      </c>
      <c r="L77" s="46">
        <f>IF(B77="","",SUMIFS('المستخلصات'!$N$5:$N$304,'المستخلصات'!$B$5:$B$304,A77))</f>
        <v/>
      </c>
      <c r="M77" s="46">
        <f>IF(B77="","",SUMIFS('سندات القبض'!$K$5:$K$304,'سندات القبض'!$D$5:$D$304,A77))</f>
        <v/>
      </c>
      <c r="N77" s="46">
        <f>IF(B77="","",SUMIFS('سندات الصرف'!$L$5:$L$304,'سندات الصرف'!$D$5:$D$304,A77))</f>
        <v/>
      </c>
      <c r="O77" s="46">
        <f>IF(B77="","",M77-N77)</f>
        <v/>
      </c>
      <c r="P77" s="47" t="n"/>
      <c r="Q77" s="47" t="n"/>
      <c r="R77" s="48">
        <f>IF(B77="","",COUNTIFS('اعتماد المواد'!$B$5:$B$304,A77,'اعتماد المواد'!$M$5:$M$304,"قيد المراجعة"))</f>
        <v/>
      </c>
      <c r="S77" s="48">
        <f>IF(B77="","",COUNTIFS('عدم المطابقة'!$C$5:$C$304,A77,'عدم المطابقة'!$L$5:$L$304,"مفتوح*"))</f>
        <v/>
      </c>
      <c r="T77" s="48">
        <f>IF(B77="","",COUNTIFS('ملاحظات التسليم'!$B$5:$B$304,A77,'ملاحظات التسليم'!$K$5:$K$304,"مفتوح*"))</f>
        <v/>
      </c>
      <c r="U77" s="49">
        <f>IF(B77="","",IF(Q77&lt;&gt;"","مسلّم نهائياً",IF(P77&lt;&gt;"","فترة الضمان",IF(G77="","بانتظار استلام الموقع",IF(TODAY()&gt;I77,"متأخر عن التعاقد",IF(J77&lt;K77-0.1,"متأخر عن الخطة","جاري التنفيذ"))))))</f>
        <v/>
      </c>
    </row>
    <row r="78">
      <c r="A78" s="39">
        <f>IF(B78="","","PRJ-"&amp;TEXT(ROW()-4,"000"))</f>
        <v/>
      </c>
      <c r="B78" s="40" t="n"/>
      <c r="C78" s="40" t="n"/>
      <c r="D78" s="40" t="n"/>
      <c r="E78" s="40" t="n"/>
      <c r="F78" s="41" t="n"/>
      <c r="G78" s="42">
        <f>IF(B78="","",IFERROR(INDEX('استلام المواقع'!$D$5:$D$304,MATCH(A78,'استلام المواقع'!$B$5:$B$304,0)),""))</f>
        <v/>
      </c>
      <c r="H78" s="43" t="n"/>
      <c r="I78" s="42">
        <f>IF(OR(G78="",H78=""),"",G78+H78)</f>
        <v/>
      </c>
      <c r="J78" s="44" t="n"/>
      <c r="K78" s="45">
        <f>IF(OR(I78="",H78=0),"",MAX(0,MIN(1,(IF(P78&lt;&gt;"",P78,TODAY())-G78)/H78)))</f>
        <v/>
      </c>
      <c r="L78" s="46">
        <f>IF(B78="","",SUMIFS('المستخلصات'!$N$5:$N$304,'المستخلصات'!$B$5:$B$304,A78))</f>
        <v/>
      </c>
      <c r="M78" s="46">
        <f>IF(B78="","",SUMIFS('سندات القبض'!$K$5:$K$304,'سندات القبض'!$D$5:$D$304,A78))</f>
        <v/>
      </c>
      <c r="N78" s="46">
        <f>IF(B78="","",SUMIFS('سندات الصرف'!$L$5:$L$304,'سندات الصرف'!$D$5:$D$304,A78))</f>
        <v/>
      </c>
      <c r="O78" s="46">
        <f>IF(B78="","",M78-N78)</f>
        <v/>
      </c>
      <c r="P78" s="47" t="n"/>
      <c r="Q78" s="47" t="n"/>
      <c r="R78" s="48">
        <f>IF(B78="","",COUNTIFS('اعتماد المواد'!$B$5:$B$304,A78,'اعتماد المواد'!$M$5:$M$304,"قيد المراجعة"))</f>
        <v/>
      </c>
      <c r="S78" s="48">
        <f>IF(B78="","",COUNTIFS('عدم المطابقة'!$C$5:$C$304,A78,'عدم المطابقة'!$L$5:$L$304,"مفتوح*"))</f>
        <v/>
      </c>
      <c r="T78" s="48">
        <f>IF(B78="","",COUNTIFS('ملاحظات التسليم'!$B$5:$B$304,A78,'ملاحظات التسليم'!$K$5:$K$304,"مفتوح*"))</f>
        <v/>
      </c>
      <c r="U78" s="49">
        <f>IF(B78="","",IF(Q78&lt;&gt;"","مسلّم نهائياً",IF(P78&lt;&gt;"","فترة الضمان",IF(G78="","بانتظار استلام الموقع",IF(TODAY()&gt;I78,"متأخر عن التعاقد",IF(J78&lt;K78-0.1,"متأخر عن الخطة","جاري التنفيذ"))))))</f>
        <v/>
      </c>
    </row>
    <row r="79">
      <c r="A79" s="39">
        <f>IF(B79="","","PRJ-"&amp;TEXT(ROW()-4,"000"))</f>
        <v/>
      </c>
      <c r="B79" s="40" t="n"/>
      <c r="C79" s="40" t="n"/>
      <c r="D79" s="40" t="n"/>
      <c r="E79" s="40" t="n"/>
      <c r="F79" s="41" t="n"/>
      <c r="G79" s="42">
        <f>IF(B79="","",IFERROR(INDEX('استلام المواقع'!$D$5:$D$304,MATCH(A79,'استلام المواقع'!$B$5:$B$304,0)),""))</f>
        <v/>
      </c>
      <c r="H79" s="43" t="n"/>
      <c r="I79" s="42">
        <f>IF(OR(G79="",H79=""),"",G79+H79)</f>
        <v/>
      </c>
      <c r="J79" s="44" t="n"/>
      <c r="K79" s="45">
        <f>IF(OR(I79="",H79=0),"",MAX(0,MIN(1,(IF(P79&lt;&gt;"",P79,TODAY())-G79)/H79)))</f>
        <v/>
      </c>
      <c r="L79" s="46">
        <f>IF(B79="","",SUMIFS('المستخلصات'!$N$5:$N$304,'المستخلصات'!$B$5:$B$304,A79))</f>
        <v/>
      </c>
      <c r="M79" s="46">
        <f>IF(B79="","",SUMIFS('سندات القبض'!$K$5:$K$304,'سندات القبض'!$D$5:$D$304,A79))</f>
        <v/>
      </c>
      <c r="N79" s="46">
        <f>IF(B79="","",SUMIFS('سندات الصرف'!$L$5:$L$304,'سندات الصرف'!$D$5:$D$304,A79))</f>
        <v/>
      </c>
      <c r="O79" s="46">
        <f>IF(B79="","",M79-N79)</f>
        <v/>
      </c>
      <c r="P79" s="47" t="n"/>
      <c r="Q79" s="47" t="n"/>
      <c r="R79" s="48">
        <f>IF(B79="","",COUNTIFS('اعتماد المواد'!$B$5:$B$304,A79,'اعتماد المواد'!$M$5:$M$304,"قيد المراجعة"))</f>
        <v/>
      </c>
      <c r="S79" s="48">
        <f>IF(B79="","",COUNTIFS('عدم المطابقة'!$C$5:$C$304,A79,'عدم المطابقة'!$L$5:$L$304,"مفتوح*"))</f>
        <v/>
      </c>
      <c r="T79" s="48">
        <f>IF(B79="","",COUNTIFS('ملاحظات التسليم'!$B$5:$B$304,A79,'ملاحظات التسليم'!$K$5:$K$304,"مفتوح*"))</f>
        <v/>
      </c>
      <c r="U79" s="49">
        <f>IF(B79="","",IF(Q79&lt;&gt;"","مسلّم نهائياً",IF(P79&lt;&gt;"","فترة الضمان",IF(G79="","بانتظار استلام الموقع",IF(TODAY()&gt;I79,"متأخر عن التعاقد",IF(J79&lt;K79-0.1,"متأخر عن الخطة","جاري التنفيذ"))))))</f>
        <v/>
      </c>
    </row>
    <row r="80">
      <c r="A80" s="39">
        <f>IF(B80="","","PRJ-"&amp;TEXT(ROW()-4,"000"))</f>
        <v/>
      </c>
      <c r="B80" s="40" t="n"/>
      <c r="C80" s="40" t="n"/>
      <c r="D80" s="40" t="n"/>
      <c r="E80" s="40" t="n"/>
      <c r="F80" s="41" t="n"/>
      <c r="G80" s="42">
        <f>IF(B80="","",IFERROR(INDEX('استلام المواقع'!$D$5:$D$304,MATCH(A80,'استلام المواقع'!$B$5:$B$304,0)),""))</f>
        <v/>
      </c>
      <c r="H80" s="43" t="n"/>
      <c r="I80" s="42">
        <f>IF(OR(G80="",H80=""),"",G80+H80)</f>
        <v/>
      </c>
      <c r="J80" s="44" t="n"/>
      <c r="K80" s="45">
        <f>IF(OR(I80="",H80=0),"",MAX(0,MIN(1,(IF(P80&lt;&gt;"",P80,TODAY())-G80)/H80)))</f>
        <v/>
      </c>
      <c r="L80" s="46">
        <f>IF(B80="","",SUMIFS('المستخلصات'!$N$5:$N$304,'المستخلصات'!$B$5:$B$304,A80))</f>
        <v/>
      </c>
      <c r="M80" s="46">
        <f>IF(B80="","",SUMIFS('سندات القبض'!$K$5:$K$304,'سندات القبض'!$D$5:$D$304,A80))</f>
        <v/>
      </c>
      <c r="N80" s="46">
        <f>IF(B80="","",SUMIFS('سندات الصرف'!$L$5:$L$304,'سندات الصرف'!$D$5:$D$304,A80))</f>
        <v/>
      </c>
      <c r="O80" s="46">
        <f>IF(B80="","",M80-N80)</f>
        <v/>
      </c>
      <c r="P80" s="47" t="n"/>
      <c r="Q80" s="47" t="n"/>
      <c r="R80" s="48">
        <f>IF(B80="","",COUNTIFS('اعتماد المواد'!$B$5:$B$304,A80,'اعتماد المواد'!$M$5:$M$304,"قيد المراجعة"))</f>
        <v/>
      </c>
      <c r="S80" s="48">
        <f>IF(B80="","",COUNTIFS('عدم المطابقة'!$C$5:$C$304,A80,'عدم المطابقة'!$L$5:$L$304,"مفتوح*"))</f>
        <v/>
      </c>
      <c r="T80" s="48">
        <f>IF(B80="","",COUNTIFS('ملاحظات التسليم'!$B$5:$B$304,A80,'ملاحظات التسليم'!$K$5:$K$304,"مفتوح*"))</f>
        <v/>
      </c>
      <c r="U80" s="49">
        <f>IF(B80="","",IF(Q80&lt;&gt;"","مسلّم نهائياً",IF(P80&lt;&gt;"","فترة الضمان",IF(G80="","بانتظار استلام الموقع",IF(TODAY()&gt;I80,"متأخر عن التعاقد",IF(J80&lt;K80-0.1,"متأخر عن الخطة","جاري التنفيذ"))))))</f>
        <v/>
      </c>
    </row>
    <row r="81">
      <c r="A81" s="39">
        <f>IF(B81="","","PRJ-"&amp;TEXT(ROW()-4,"000"))</f>
        <v/>
      </c>
      <c r="B81" s="40" t="n"/>
      <c r="C81" s="40" t="n"/>
      <c r="D81" s="40" t="n"/>
      <c r="E81" s="40" t="n"/>
      <c r="F81" s="41" t="n"/>
      <c r="G81" s="42">
        <f>IF(B81="","",IFERROR(INDEX('استلام المواقع'!$D$5:$D$304,MATCH(A81,'استلام المواقع'!$B$5:$B$304,0)),""))</f>
        <v/>
      </c>
      <c r="H81" s="43" t="n"/>
      <c r="I81" s="42">
        <f>IF(OR(G81="",H81=""),"",G81+H81)</f>
        <v/>
      </c>
      <c r="J81" s="44" t="n"/>
      <c r="K81" s="45">
        <f>IF(OR(I81="",H81=0),"",MAX(0,MIN(1,(IF(P81&lt;&gt;"",P81,TODAY())-G81)/H81)))</f>
        <v/>
      </c>
      <c r="L81" s="46">
        <f>IF(B81="","",SUMIFS('المستخلصات'!$N$5:$N$304,'المستخلصات'!$B$5:$B$304,A81))</f>
        <v/>
      </c>
      <c r="M81" s="46">
        <f>IF(B81="","",SUMIFS('سندات القبض'!$K$5:$K$304,'سندات القبض'!$D$5:$D$304,A81))</f>
        <v/>
      </c>
      <c r="N81" s="46">
        <f>IF(B81="","",SUMIFS('سندات الصرف'!$L$5:$L$304,'سندات الصرف'!$D$5:$D$304,A81))</f>
        <v/>
      </c>
      <c r="O81" s="46">
        <f>IF(B81="","",M81-N81)</f>
        <v/>
      </c>
      <c r="P81" s="47" t="n"/>
      <c r="Q81" s="47" t="n"/>
      <c r="R81" s="48">
        <f>IF(B81="","",COUNTIFS('اعتماد المواد'!$B$5:$B$304,A81,'اعتماد المواد'!$M$5:$M$304,"قيد المراجعة"))</f>
        <v/>
      </c>
      <c r="S81" s="48">
        <f>IF(B81="","",COUNTIFS('عدم المطابقة'!$C$5:$C$304,A81,'عدم المطابقة'!$L$5:$L$304,"مفتوح*"))</f>
        <v/>
      </c>
      <c r="T81" s="48">
        <f>IF(B81="","",COUNTIFS('ملاحظات التسليم'!$B$5:$B$304,A81,'ملاحظات التسليم'!$K$5:$K$304,"مفتوح*"))</f>
        <v/>
      </c>
      <c r="U81" s="49">
        <f>IF(B81="","",IF(Q81&lt;&gt;"","مسلّم نهائياً",IF(P81&lt;&gt;"","فترة الضمان",IF(G81="","بانتظار استلام الموقع",IF(TODAY()&gt;I81,"متأخر عن التعاقد",IF(J81&lt;K81-0.1,"متأخر عن الخطة","جاري التنفيذ"))))))</f>
        <v/>
      </c>
    </row>
    <row r="82">
      <c r="A82" s="39">
        <f>IF(B82="","","PRJ-"&amp;TEXT(ROW()-4,"000"))</f>
        <v/>
      </c>
      <c r="B82" s="40" t="n"/>
      <c r="C82" s="40" t="n"/>
      <c r="D82" s="40" t="n"/>
      <c r="E82" s="40" t="n"/>
      <c r="F82" s="41" t="n"/>
      <c r="G82" s="42">
        <f>IF(B82="","",IFERROR(INDEX('استلام المواقع'!$D$5:$D$304,MATCH(A82,'استلام المواقع'!$B$5:$B$304,0)),""))</f>
        <v/>
      </c>
      <c r="H82" s="43" t="n"/>
      <c r="I82" s="42">
        <f>IF(OR(G82="",H82=""),"",G82+H82)</f>
        <v/>
      </c>
      <c r="J82" s="44" t="n"/>
      <c r="K82" s="45">
        <f>IF(OR(I82="",H82=0),"",MAX(0,MIN(1,(IF(P82&lt;&gt;"",P82,TODAY())-G82)/H82)))</f>
        <v/>
      </c>
      <c r="L82" s="46">
        <f>IF(B82="","",SUMIFS('المستخلصات'!$N$5:$N$304,'المستخلصات'!$B$5:$B$304,A82))</f>
        <v/>
      </c>
      <c r="M82" s="46">
        <f>IF(B82="","",SUMIFS('سندات القبض'!$K$5:$K$304,'سندات القبض'!$D$5:$D$304,A82))</f>
        <v/>
      </c>
      <c r="N82" s="46">
        <f>IF(B82="","",SUMIFS('سندات الصرف'!$L$5:$L$304,'سندات الصرف'!$D$5:$D$304,A82))</f>
        <v/>
      </c>
      <c r="O82" s="46">
        <f>IF(B82="","",M82-N82)</f>
        <v/>
      </c>
      <c r="P82" s="47" t="n"/>
      <c r="Q82" s="47" t="n"/>
      <c r="R82" s="48">
        <f>IF(B82="","",COUNTIFS('اعتماد المواد'!$B$5:$B$304,A82,'اعتماد المواد'!$M$5:$M$304,"قيد المراجعة"))</f>
        <v/>
      </c>
      <c r="S82" s="48">
        <f>IF(B82="","",COUNTIFS('عدم المطابقة'!$C$5:$C$304,A82,'عدم المطابقة'!$L$5:$L$304,"مفتوح*"))</f>
        <v/>
      </c>
      <c r="T82" s="48">
        <f>IF(B82="","",COUNTIFS('ملاحظات التسليم'!$B$5:$B$304,A82,'ملاحظات التسليم'!$K$5:$K$304,"مفتوح*"))</f>
        <v/>
      </c>
      <c r="U82" s="49">
        <f>IF(B82="","",IF(Q82&lt;&gt;"","مسلّم نهائياً",IF(P82&lt;&gt;"","فترة الضمان",IF(G82="","بانتظار استلام الموقع",IF(TODAY()&gt;I82,"متأخر عن التعاقد",IF(J82&lt;K82-0.1,"متأخر عن الخطة","جاري التنفيذ"))))))</f>
        <v/>
      </c>
    </row>
    <row r="83">
      <c r="A83" s="39">
        <f>IF(B83="","","PRJ-"&amp;TEXT(ROW()-4,"000"))</f>
        <v/>
      </c>
      <c r="B83" s="40" t="n"/>
      <c r="C83" s="40" t="n"/>
      <c r="D83" s="40" t="n"/>
      <c r="E83" s="40" t="n"/>
      <c r="F83" s="41" t="n"/>
      <c r="G83" s="42">
        <f>IF(B83="","",IFERROR(INDEX('استلام المواقع'!$D$5:$D$304,MATCH(A83,'استلام المواقع'!$B$5:$B$304,0)),""))</f>
        <v/>
      </c>
      <c r="H83" s="43" t="n"/>
      <c r="I83" s="42">
        <f>IF(OR(G83="",H83=""),"",G83+H83)</f>
        <v/>
      </c>
      <c r="J83" s="44" t="n"/>
      <c r="K83" s="45">
        <f>IF(OR(I83="",H83=0),"",MAX(0,MIN(1,(IF(P83&lt;&gt;"",P83,TODAY())-G83)/H83)))</f>
        <v/>
      </c>
      <c r="L83" s="46">
        <f>IF(B83="","",SUMIFS('المستخلصات'!$N$5:$N$304,'المستخلصات'!$B$5:$B$304,A83))</f>
        <v/>
      </c>
      <c r="M83" s="46">
        <f>IF(B83="","",SUMIFS('سندات القبض'!$K$5:$K$304,'سندات القبض'!$D$5:$D$304,A83))</f>
        <v/>
      </c>
      <c r="N83" s="46">
        <f>IF(B83="","",SUMIFS('سندات الصرف'!$L$5:$L$304,'سندات الصرف'!$D$5:$D$304,A83))</f>
        <v/>
      </c>
      <c r="O83" s="46">
        <f>IF(B83="","",M83-N83)</f>
        <v/>
      </c>
      <c r="P83" s="47" t="n"/>
      <c r="Q83" s="47" t="n"/>
      <c r="R83" s="48">
        <f>IF(B83="","",COUNTIFS('اعتماد المواد'!$B$5:$B$304,A83,'اعتماد المواد'!$M$5:$M$304,"قيد المراجعة"))</f>
        <v/>
      </c>
      <c r="S83" s="48">
        <f>IF(B83="","",COUNTIFS('عدم المطابقة'!$C$5:$C$304,A83,'عدم المطابقة'!$L$5:$L$304,"مفتوح*"))</f>
        <v/>
      </c>
      <c r="T83" s="48">
        <f>IF(B83="","",COUNTIFS('ملاحظات التسليم'!$B$5:$B$304,A83,'ملاحظات التسليم'!$K$5:$K$304,"مفتوح*"))</f>
        <v/>
      </c>
      <c r="U83" s="49">
        <f>IF(B83="","",IF(Q83&lt;&gt;"","مسلّم نهائياً",IF(P83&lt;&gt;"","فترة الضمان",IF(G83="","بانتظار استلام الموقع",IF(TODAY()&gt;I83,"متأخر عن التعاقد",IF(J83&lt;K83-0.1,"متأخر عن الخطة","جاري التنفيذ"))))))</f>
        <v/>
      </c>
    </row>
    <row r="84">
      <c r="A84" s="39">
        <f>IF(B84="","","PRJ-"&amp;TEXT(ROW()-4,"000"))</f>
        <v/>
      </c>
      <c r="B84" s="40" t="n"/>
      <c r="C84" s="40" t="n"/>
      <c r="D84" s="40" t="n"/>
      <c r="E84" s="40" t="n"/>
      <c r="F84" s="41" t="n"/>
      <c r="G84" s="42">
        <f>IF(B84="","",IFERROR(INDEX('استلام المواقع'!$D$5:$D$304,MATCH(A84,'استلام المواقع'!$B$5:$B$304,0)),""))</f>
        <v/>
      </c>
      <c r="H84" s="43" t="n"/>
      <c r="I84" s="42">
        <f>IF(OR(G84="",H84=""),"",G84+H84)</f>
        <v/>
      </c>
      <c r="J84" s="44" t="n"/>
      <c r="K84" s="45">
        <f>IF(OR(I84="",H84=0),"",MAX(0,MIN(1,(IF(P84&lt;&gt;"",P84,TODAY())-G84)/H84)))</f>
        <v/>
      </c>
      <c r="L84" s="46">
        <f>IF(B84="","",SUMIFS('المستخلصات'!$N$5:$N$304,'المستخلصات'!$B$5:$B$304,A84))</f>
        <v/>
      </c>
      <c r="M84" s="46">
        <f>IF(B84="","",SUMIFS('سندات القبض'!$K$5:$K$304,'سندات القبض'!$D$5:$D$304,A84))</f>
        <v/>
      </c>
      <c r="N84" s="46">
        <f>IF(B84="","",SUMIFS('سندات الصرف'!$L$5:$L$304,'سندات الصرف'!$D$5:$D$304,A84))</f>
        <v/>
      </c>
      <c r="O84" s="46">
        <f>IF(B84="","",M84-N84)</f>
        <v/>
      </c>
      <c r="P84" s="47" t="n"/>
      <c r="Q84" s="47" t="n"/>
      <c r="R84" s="48">
        <f>IF(B84="","",COUNTIFS('اعتماد المواد'!$B$5:$B$304,A84,'اعتماد المواد'!$M$5:$M$304,"قيد المراجعة"))</f>
        <v/>
      </c>
      <c r="S84" s="48">
        <f>IF(B84="","",COUNTIFS('عدم المطابقة'!$C$5:$C$304,A84,'عدم المطابقة'!$L$5:$L$304,"مفتوح*"))</f>
        <v/>
      </c>
      <c r="T84" s="48">
        <f>IF(B84="","",COUNTIFS('ملاحظات التسليم'!$B$5:$B$304,A84,'ملاحظات التسليم'!$K$5:$K$304,"مفتوح*"))</f>
        <v/>
      </c>
      <c r="U84" s="49">
        <f>IF(B84="","",IF(Q84&lt;&gt;"","مسلّم نهائياً",IF(P84&lt;&gt;"","فترة الضمان",IF(G84="","بانتظار استلام الموقع",IF(TODAY()&gt;I84,"متأخر عن التعاقد",IF(J84&lt;K84-0.1,"متأخر عن الخطة","جاري التنفيذ"))))))</f>
        <v/>
      </c>
    </row>
    <row r="85">
      <c r="A85" s="39">
        <f>IF(B85="","","PRJ-"&amp;TEXT(ROW()-4,"000"))</f>
        <v/>
      </c>
      <c r="B85" s="40" t="n"/>
      <c r="C85" s="40" t="n"/>
      <c r="D85" s="40" t="n"/>
      <c r="E85" s="40" t="n"/>
      <c r="F85" s="41" t="n"/>
      <c r="G85" s="42">
        <f>IF(B85="","",IFERROR(INDEX('استلام المواقع'!$D$5:$D$304,MATCH(A85,'استلام المواقع'!$B$5:$B$304,0)),""))</f>
        <v/>
      </c>
      <c r="H85" s="43" t="n"/>
      <c r="I85" s="42">
        <f>IF(OR(G85="",H85=""),"",G85+H85)</f>
        <v/>
      </c>
      <c r="J85" s="44" t="n"/>
      <c r="K85" s="45">
        <f>IF(OR(I85="",H85=0),"",MAX(0,MIN(1,(IF(P85&lt;&gt;"",P85,TODAY())-G85)/H85)))</f>
        <v/>
      </c>
      <c r="L85" s="46">
        <f>IF(B85="","",SUMIFS('المستخلصات'!$N$5:$N$304,'المستخلصات'!$B$5:$B$304,A85))</f>
        <v/>
      </c>
      <c r="M85" s="46">
        <f>IF(B85="","",SUMIFS('سندات القبض'!$K$5:$K$304,'سندات القبض'!$D$5:$D$304,A85))</f>
        <v/>
      </c>
      <c r="N85" s="46">
        <f>IF(B85="","",SUMIFS('سندات الصرف'!$L$5:$L$304,'سندات الصرف'!$D$5:$D$304,A85))</f>
        <v/>
      </c>
      <c r="O85" s="46">
        <f>IF(B85="","",M85-N85)</f>
        <v/>
      </c>
      <c r="P85" s="47" t="n"/>
      <c r="Q85" s="47" t="n"/>
      <c r="R85" s="48">
        <f>IF(B85="","",COUNTIFS('اعتماد المواد'!$B$5:$B$304,A85,'اعتماد المواد'!$M$5:$M$304,"قيد المراجعة"))</f>
        <v/>
      </c>
      <c r="S85" s="48">
        <f>IF(B85="","",COUNTIFS('عدم المطابقة'!$C$5:$C$304,A85,'عدم المطابقة'!$L$5:$L$304,"مفتوح*"))</f>
        <v/>
      </c>
      <c r="T85" s="48">
        <f>IF(B85="","",COUNTIFS('ملاحظات التسليم'!$B$5:$B$304,A85,'ملاحظات التسليم'!$K$5:$K$304,"مفتوح*"))</f>
        <v/>
      </c>
      <c r="U85" s="49">
        <f>IF(B85="","",IF(Q85&lt;&gt;"","مسلّم نهائياً",IF(P85&lt;&gt;"","فترة الضمان",IF(G85="","بانتظار استلام الموقع",IF(TODAY()&gt;I85,"متأخر عن التعاقد",IF(J85&lt;K85-0.1,"متأخر عن الخطة","جاري التنفيذ"))))))</f>
        <v/>
      </c>
    </row>
    <row r="86">
      <c r="A86" s="39">
        <f>IF(B86="","","PRJ-"&amp;TEXT(ROW()-4,"000"))</f>
        <v/>
      </c>
      <c r="B86" s="40" t="n"/>
      <c r="C86" s="40" t="n"/>
      <c r="D86" s="40" t="n"/>
      <c r="E86" s="40" t="n"/>
      <c r="F86" s="41" t="n"/>
      <c r="G86" s="42">
        <f>IF(B86="","",IFERROR(INDEX('استلام المواقع'!$D$5:$D$304,MATCH(A86,'استلام المواقع'!$B$5:$B$304,0)),""))</f>
        <v/>
      </c>
      <c r="H86" s="43" t="n"/>
      <c r="I86" s="42">
        <f>IF(OR(G86="",H86=""),"",G86+H86)</f>
        <v/>
      </c>
      <c r="J86" s="44" t="n"/>
      <c r="K86" s="45">
        <f>IF(OR(I86="",H86=0),"",MAX(0,MIN(1,(IF(P86&lt;&gt;"",P86,TODAY())-G86)/H86)))</f>
        <v/>
      </c>
      <c r="L86" s="46">
        <f>IF(B86="","",SUMIFS('المستخلصات'!$N$5:$N$304,'المستخلصات'!$B$5:$B$304,A86))</f>
        <v/>
      </c>
      <c r="M86" s="46">
        <f>IF(B86="","",SUMIFS('سندات القبض'!$K$5:$K$304,'سندات القبض'!$D$5:$D$304,A86))</f>
        <v/>
      </c>
      <c r="N86" s="46">
        <f>IF(B86="","",SUMIFS('سندات الصرف'!$L$5:$L$304,'سندات الصرف'!$D$5:$D$304,A86))</f>
        <v/>
      </c>
      <c r="O86" s="46">
        <f>IF(B86="","",M86-N86)</f>
        <v/>
      </c>
      <c r="P86" s="47" t="n"/>
      <c r="Q86" s="47" t="n"/>
      <c r="R86" s="48">
        <f>IF(B86="","",COUNTIFS('اعتماد المواد'!$B$5:$B$304,A86,'اعتماد المواد'!$M$5:$M$304,"قيد المراجعة"))</f>
        <v/>
      </c>
      <c r="S86" s="48">
        <f>IF(B86="","",COUNTIFS('عدم المطابقة'!$C$5:$C$304,A86,'عدم المطابقة'!$L$5:$L$304,"مفتوح*"))</f>
        <v/>
      </c>
      <c r="T86" s="48">
        <f>IF(B86="","",COUNTIFS('ملاحظات التسليم'!$B$5:$B$304,A86,'ملاحظات التسليم'!$K$5:$K$304,"مفتوح*"))</f>
        <v/>
      </c>
      <c r="U86" s="49">
        <f>IF(B86="","",IF(Q86&lt;&gt;"","مسلّم نهائياً",IF(P86&lt;&gt;"","فترة الضمان",IF(G86="","بانتظار استلام الموقع",IF(TODAY()&gt;I86,"متأخر عن التعاقد",IF(J86&lt;K86-0.1,"متأخر عن الخطة","جاري التنفيذ"))))))</f>
        <v/>
      </c>
    </row>
    <row r="87">
      <c r="A87" s="39">
        <f>IF(B87="","","PRJ-"&amp;TEXT(ROW()-4,"000"))</f>
        <v/>
      </c>
      <c r="B87" s="40" t="n"/>
      <c r="C87" s="40" t="n"/>
      <c r="D87" s="40" t="n"/>
      <c r="E87" s="40" t="n"/>
      <c r="F87" s="41" t="n"/>
      <c r="G87" s="42">
        <f>IF(B87="","",IFERROR(INDEX('استلام المواقع'!$D$5:$D$304,MATCH(A87,'استلام المواقع'!$B$5:$B$304,0)),""))</f>
        <v/>
      </c>
      <c r="H87" s="43" t="n"/>
      <c r="I87" s="42">
        <f>IF(OR(G87="",H87=""),"",G87+H87)</f>
        <v/>
      </c>
      <c r="J87" s="44" t="n"/>
      <c r="K87" s="45">
        <f>IF(OR(I87="",H87=0),"",MAX(0,MIN(1,(IF(P87&lt;&gt;"",P87,TODAY())-G87)/H87)))</f>
        <v/>
      </c>
      <c r="L87" s="46">
        <f>IF(B87="","",SUMIFS('المستخلصات'!$N$5:$N$304,'المستخلصات'!$B$5:$B$304,A87))</f>
        <v/>
      </c>
      <c r="M87" s="46">
        <f>IF(B87="","",SUMIFS('سندات القبض'!$K$5:$K$304,'سندات القبض'!$D$5:$D$304,A87))</f>
        <v/>
      </c>
      <c r="N87" s="46">
        <f>IF(B87="","",SUMIFS('سندات الصرف'!$L$5:$L$304,'سندات الصرف'!$D$5:$D$304,A87))</f>
        <v/>
      </c>
      <c r="O87" s="46">
        <f>IF(B87="","",M87-N87)</f>
        <v/>
      </c>
      <c r="P87" s="47" t="n"/>
      <c r="Q87" s="47" t="n"/>
      <c r="R87" s="48">
        <f>IF(B87="","",COUNTIFS('اعتماد المواد'!$B$5:$B$304,A87,'اعتماد المواد'!$M$5:$M$304,"قيد المراجعة"))</f>
        <v/>
      </c>
      <c r="S87" s="48">
        <f>IF(B87="","",COUNTIFS('عدم المطابقة'!$C$5:$C$304,A87,'عدم المطابقة'!$L$5:$L$304,"مفتوح*"))</f>
        <v/>
      </c>
      <c r="T87" s="48">
        <f>IF(B87="","",COUNTIFS('ملاحظات التسليم'!$B$5:$B$304,A87,'ملاحظات التسليم'!$K$5:$K$304,"مفتوح*"))</f>
        <v/>
      </c>
      <c r="U87" s="49">
        <f>IF(B87="","",IF(Q87&lt;&gt;"","مسلّم نهائياً",IF(P87&lt;&gt;"","فترة الضمان",IF(G87="","بانتظار استلام الموقع",IF(TODAY()&gt;I87,"متأخر عن التعاقد",IF(J87&lt;K87-0.1,"متأخر عن الخطة","جاري التنفيذ"))))))</f>
        <v/>
      </c>
    </row>
    <row r="88">
      <c r="A88" s="39">
        <f>IF(B88="","","PRJ-"&amp;TEXT(ROW()-4,"000"))</f>
        <v/>
      </c>
      <c r="B88" s="40" t="n"/>
      <c r="C88" s="40" t="n"/>
      <c r="D88" s="40" t="n"/>
      <c r="E88" s="40" t="n"/>
      <c r="F88" s="41" t="n"/>
      <c r="G88" s="42">
        <f>IF(B88="","",IFERROR(INDEX('استلام المواقع'!$D$5:$D$304,MATCH(A88,'استلام المواقع'!$B$5:$B$304,0)),""))</f>
        <v/>
      </c>
      <c r="H88" s="43" t="n"/>
      <c r="I88" s="42">
        <f>IF(OR(G88="",H88=""),"",G88+H88)</f>
        <v/>
      </c>
      <c r="J88" s="44" t="n"/>
      <c r="K88" s="45">
        <f>IF(OR(I88="",H88=0),"",MAX(0,MIN(1,(IF(P88&lt;&gt;"",P88,TODAY())-G88)/H88)))</f>
        <v/>
      </c>
      <c r="L88" s="46">
        <f>IF(B88="","",SUMIFS('المستخلصات'!$N$5:$N$304,'المستخلصات'!$B$5:$B$304,A88))</f>
        <v/>
      </c>
      <c r="M88" s="46">
        <f>IF(B88="","",SUMIFS('سندات القبض'!$K$5:$K$304,'سندات القبض'!$D$5:$D$304,A88))</f>
        <v/>
      </c>
      <c r="N88" s="46">
        <f>IF(B88="","",SUMIFS('سندات الصرف'!$L$5:$L$304,'سندات الصرف'!$D$5:$D$304,A88))</f>
        <v/>
      </c>
      <c r="O88" s="46">
        <f>IF(B88="","",M88-N88)</f>
        <v/>
      </c>
      <c r="P88" s="47" t="n"/>
      <c r="Q88" s="47" t="n"/>
      <c r="R88" s="48">
        <f>IF(B88="","",COUNTIFS('اعتماد المواد'!$B$5:$B$304,A88,'اعتماد المواد'!$M$5:$M$304,"قيد المراجعة"))</f>
        <v/>
      </c>
      <c r="S88" s="48">
        <f>IF(B88="","",COUNTIFS('عدم المطابقة'!$C$5:$C$304,A88,'عدم المطابقة'!$L$5:$L$304,"مفتوح*"))</f>
        <v/>
      </c>
      <c r="T88" s="48">
        <f>IF(B88="","",COUNTIFS('ملاحظات التسليم'!$B$5:$B$304,A88,'ملاحظات التسليم'!$K$5:$K$304,"مفتوح*"))</f>
        <v/>
      </c>
      <c r="U88" s="49">
        <f>IF(B88="","",IF(Q88&lt;&gt;"","مسلّم نهائياً",IF(P88&lt;&gt;"","فترة الضمان",IF(G88="","بانتظار استلام الموقع",IF(TODAY()&gt;I88,"متأخر عن التعاقد",IF(J88&lt;K88-0.1,"متأخر عن الخطة","جاري التنفيذ"))))))</f>
        <v/>
      </c>
    </row>
    <row r="89">
      <c r="A89" s="39">
        <f>IF(B89="","","PRJ-"&amp;TEXT(ROW()-4,"000"))</f>
        <v/>
      </c>
      <c r="B89" s="40" t="n"/>
      <c r="C89" s="40" t="n"/>
      <c r="D89" s="40" t="n"/>
      <c r="E89" s="40" t="n"/>
      <c r="F89" s="41" t="n"/>
      <c r="G89" s="42">
        <f>IF(B89="","",IFERROR(INDEX('استلام المواقع'!$D$5:$D$304,MATCH(A89,'استلام المواقع'!$B$5:$B$304,0)),""))</f>
        <v/>
      </c>
      <c r="H89" s="43" t="n"/>
      <c r="I89" s="42">
        <f>IF(OR(G89="",H89=""),"",G89+H89)</f>
        <v/>
      </c>
      <c r="J89" s="44" t="n"/>
      <c r="K89" s="45">
        <f>IF(OR(I89="",H89=0),"",MAX(0,MIN(1,(IF(P89&lt;&gt;"",P89,TODAY())-G89)/H89)))</f>
        <v/>
      </c>
      <c r="L89" s="46">
        <f>IF(B89="","",SUMIFS('المستخلصات'!$N$5:$N$304,'المستخلصات'!$B$5:$B$304,A89))</f>
        <v/>
      </c>
      <c r="M89" s="46">
        <f>IF(B89="","",SUMIFS('سندات القبض'!$K$5:$K$304,'سندات القبض'!$D$5:$D$304,A89))</f>
        <v/>
      </c>
      <c r="N89" s="46">
        <f>IF(B89="","",SUMIFS('سندات الصرف'!$L$5:$L$304,'سندات الصرف'!$D$5:$D$304,A89))</f>
        <v/>
      </c>
      <c r="O89" s="46">
        <f>IF(B89="","",M89-N89)</f>
        <v/>
      </c>
      <c r="P89" s="47" t="n"/>
      <c r="Q89" s="47" t="n"/>
      <c r="R89" s="48">
        <f>IF(B89="","",COUNTIFS('اعتماد المواد'!$B$5:$B$304,A89,'اعتماد المواد'!$M$5:$M$304,"قيد المراجعة"))</f>
        <v/>
      </c>
      <c r="S89" s="48">
        <f>IF(B89="","",COUNTIFS('عدم المطابقة'!$C$5:$C$304,A89,'عدم المطابقة'!$L$5:$L$304,"مفتوح*"))</f>
        <v/>
      </c>
      <c r="T89" s="48">
        <f>IF(B89="","",COUNTIFS('ملاحظات التسليم'!$B$5:$B$304,A89,'ملاحظات التسليم'!$K$5:$K$304,"مفتوح*"))</f>
        <v/>
      </c>
      <c r="U89" s="49">
        <f>IF(B89="","",IF(Q89&lt;&gt;"","مسلّم نهائياً",IF(P89&lt;&gt;"","فترة الضمان",IF(G89="","بانتظار استلام الموقع",IF(TODAY()&gt;I89,"متأخر عن التعاقد",IF(J89&lt;K89-0.1,"متأخر عن الخطة","جاري التنفيذ"))))))</f>
        <v/>
      </c>
    </row>
    <row r="90">
      <c r="A90" s="39">
        <f>IF(B90="","","PRJ-"&amp;TEXT(ROW()-4,"000"))</f>
        <v/>
      </c>
      <c r="B90" s="40" t="n"/>
      <c r="C90" s="40" t="n"/>
      <c r="D90" s="40" t="n"/>
      <c r="E90" s="40" t="n"/>
      <c r="F90" s="41" t="n"/>
      <c r="G90" s="42">
        <f>IF(B90="","",IFERROR(INDEX('استلام المواقع'!$D$5:$D$304,MATCH(A90,'استلام المواقع'!$B$5:$B$304,0)),""))</f>
        <v/>
      </c>
      <c r="H90" s="43" t="n"/>
      <c r="I90" s="42">
        <f>IF(OR(G90="",H90=""),"",G90+H90)</f>
        <v/>
      </c>
      <c r="J90" s="44" t="n"/>
      <c r="K90" s="45">
        <f>IF(OR(I90="",H90=0),"",MAX(0,MIN(1,(IF(P90&lt;&gt;"",P90,TODAY())-G90)/H90)))</f>
        <v/>
      </c>
      <c r="L90" s="46">
        <f>IF(B90="","",SUMIFS('المستخلصات'!$N$5:$N$304,'المستخلصات'!$B$5:$B$304,A90))</f>
        <v/>
      </c>
      <c r="M90" s="46">
        <f>IF(B90="","",SUMIFS('سندات القبض'!$K$5:$K$304,'سندات القبض'!$D$5:$D$304,A90))</f>
        <v/>
      </c>
      <c r="N90" s="46">
        <f>IF(B90="","",SUMIFS('سندات الصرف'!$L$5:$L$304,'سندات الصرف'!$D$5:$D$304,A90))</f>
        <v/>
      </c>
      <c r="O90" s="46">
        <f>IF(B90="","",M90-N90)</f>
        <v/>
      </c>
      <c r="P90" s="47" t="n"/>
      <c r="Q90" s="47" t="n"/>
      <c r="R90" s="48">
        <f>IF(B90="","",COUNTIFS('اعتماد المواد'!$B$5:$B$304,A90,'اعتماد المواد'!$M$5:$M$304,"قيد المراجعة"))</f>
        <v/>
      </c>
      <c r="S90" s="48">
        <f>IF(B90="","",COUNTIFS('عدم المطابقة'!$C$5:$C$304,A90,'عدم المطابقة'!$L$5:$L$304,"مفتوح*"))</f>
        <v/>
      </c>
      <c r="T90" s="48">
        <f>IF(B90="","",COUNTIFS('ملاحظات التسليم'!$B$5:$B$304,A90,'ملاحظات التسليم'!$K$5:$K$304,"مفتوح*"))</f>
        <v/>
      </c>
      <c r="U90" s="49">
        <f>IF(B90="","",IF(Q90&lt;&gt;"","مسلّم نهائياً",IF(P90&lt;&gt;"","فترة الضمان",IF(G90="","بانتظار استلام الموقع",IF(TODAY()&gt;I90,"متأخر عن التعاقد",IF(J90&lt;K90-0.1,"متأخر عن الخطة","جاري التنفيذ"))))))</f>
        <v/>
      </c>
    </row>
    <row r="91">
      <c r="A91" s="39">
        <f>IF(B91="","","PRJ-"&amp;TEXT(ROW()-4,"000"))</f>
        <v/>
      </c>
      <c r="B91" s="40" t="n"/>
      <c r="C91" s="40" t="n"/>
      <c r="D91" s="40" t="n"/>
      <c r="E91" s="40" t="n"/>
      <c r="F91" s="41" t="n"/>
      <c r="G91" s="42">
        <f>IF(B91="","",IFERROR(INDEX('استلام المواقع'!$D$5:$D$304,MATCH(A91,'استلام المواقع'!$B$5:$B$304,0)),""))</f>
        <v/>
      </c>
      <c r="H91" s="43" t="n"/>
      <c r="I91" s="42">
        <f>IF(OR(G91="",H91=""),"",G91+H91)</f>
        <v/>
      </c>
      <c r="J91" s="44" t="n"/>
      <c r="K91" s="45">
        <f>IF(OR(I91="",H91=0),"",MAX(0,MIN(1,(IF(P91&lt;&gt;"",P91,TODAY())-G91)/H91)))</f>
        <v/>
      </c>
      <c r="L91" s="46">
        <f>IF(B91="","",SUMIFS('المستخلصات'!$N$5:$N$304,'المستخلصات'!$B$5:$B$304,A91))</f>
        <v/>
      </c>
      <c r="M91" s="46">
        <f>IF(B91="","",SUMIFS('سندات القبض'!$K$5:$K$304,'سندات القبض'!$D$5:$D$304,A91))</f>
        <v/>
      </c>
      <c r="N91" s="46">
        <f>IF(B91="","",SUMIFS('سندات الصرف'!$L$5:$L$304,'سندات الصرف'!$D$5:$D$304,A91))</f>
        <v/>
      </c>
      <c r="O91" s="46">
        <f>IF(B91="","",M91-N91)</f>
        <v/>
      </c>
      <c r="P91" s="47" t="n"/>
      <c r="Q91" s="47" t="n"/>
      <c r="R91" s="48">
        <f>IF(B91="","",COUNTIFS('اعتماد المواد'!$B$5:$B$304,A91,'اعتماد المواد'!$M$5:$M$304,"قيد المراجعة"))</f>
        <v/>
      </c>
      <c r="S91" s="48">
        <f>IF(B91="","",COUNTIFS('عدم المطابقة'!$C$5:$C$304,A91,'عدم المطابقة'!$L$5:$L$304,"مفتوح*"))</f>
        <v/>
      </c>
      <c r="T91" s="48">
        <f>IF(B91="","",COUNTIFS('ملاحظات التسليم'!$B$5:$B$304,A91,'ملاحظات التسليم'!$K$5:$K$304,"مفتوح*"))</f>
        <v/>
      </c>
      <c r="U91" s="49">
        <f>IF(B91="","",IF(Q91&lt;&gt;"","مسلّم نهائياً",IF(P91&lt;&gt;"","فترة الضمان",IF(G91="","بانتظار استلام الموقع",IF(TODAY()&gt;I91,"متأخر عن التعاقد",IF(J91&lt;K91-0.1,"متأخر عن الخطة","جاري التنفيذ"))))))</f>
        <v/>
      </c>
    </row>
    <row r="92">
      <c r="A92" s="39">
        <f>IF(B92="","","PRJ-"&amp;TEXT(ROW()-4,"000"))</f>
        <v/>
      </c>
      <c r="B92" s="40" t="n"/>
      <c r="C92" s="40" t="n"/>
      <c r="D92" s="40" t="n"/>
      <c r="E92" s="40" t="n"/>
      <c r="F92" s="41" t="n"/>
      <c r="G92" s="42">
        <f>IF(B92="","",IFERROR(INDEX('استلام المواقع'!$D$5:$D$304,MATCH(A92,'استلام المواقع'!$B$5:$B$304,0)),""))</f>
        <v/>
      </c>
      <c r="H92" s="43" t="n"/>
      <c r="I92" s="42">
        <f>IF(OR(G92="",H92=""),"",G92+H92)</f>
        <v/>
      </c>
      <c r="J92" s="44" t="n"/>
      <c r="K92" s="45">
        <f>IF(OR(I92="",H92=0),"",MAX(0,MIN(1,(IF(P92&lt;&gt;"",P92,TODAY())-G92)/H92)))</f>
        <v/>
      </c>
      <c r="L92" s="46">
        <f>IF(B92="","",SUMIFS('المستخلصات'!$N$5:$N$304,'المستخلصات'!$B$5:$B$304,A92))</f>
        <v/>
      </c>
      <c r="M92" s="46">
        <f>IF(B92="","",SUMIFS('سندات القبض'!$K$5:$K$304,'سندات القبض'!$D$5:$D$304,A92))</f>
        <v/>
      </c>
      <c r="N92" s="46">
        <f>IF(B92="","",SUMIFS('سندات الصرف'!$L$5:$L$304,'سندات الصرف'!$D$5:$D$304,A92))</f>
        <v/>
      </c>
      <c r="O92" s="46">
        <f>IF(B92="","",M92-N92)</f>
        <v/>
      </c>
      <c r="P92" s="47" t="n"/>
      <c r="Q92" s="47" t="n"/>
      <c r="R92" s="48">
        <f>IF(B92="","",COUNTIFS('اعتماد المواد'!$B$5:$B$304,A92,'اعتماد المواد'!$M$5:$M$304,"قيد المراجعة"))</f>
        <v/>
      </c>
      <c r="S92" s="48">
        <f>IF(B92="","",COUNTIFS('عدم المطابقة'!$C$5:$C$304,A92,'عدم المطابقة'!$L$5:$L$304,"مفتوح*"))</f>
        <v/>
      </c>
      <c r="T92" s="48">
        <f>IF(B92="","",COUNTIFS('ملاحظات التسليم'!$B$5:$B$304,A92,'ملاحظات التسليم'!$K$5:$K$304,"مفتوح*"))</f>
        <v/>
      </c>
      <c r="U92" s="49">
        <f>IF(B92="","",IF(Q92&lt;&gt;"","مسلّم نهائياً",IF(P92&lt;&gt;"","فترة الضمان",IF(G92="","بانتظار استلام الموقع",IF(TODAY()&gt;I92,"متأخر عن التعاقد",IF(J92&lt;K92-0.1,"متأخر عن الخطة","جاري التنفيذ"))))))</f>
        <v/>
      </c>
    </row>
    <row r="93">
      <c r="A93" s="39">
        <f>IF(B93="","","PRJ-"&amp;TEXT(ROW()-4,"000"))</f>
        <v/>
      </c>
      <c r="B93" s="40" t="n"/>
      <c r="C93" s="40" t="n"/>
      <c r="D93" s="40" t="n"/>
      <c r="E93" s="40" t="n"/>
      <c r="F93" s="41" t="n"/>
      <c r="G93" s="42">
        <f>IF(B93="","",IFERROR(INDEX('استلام المواقع'!$D$5:$D$304,MATCH(A93,'استلام المواقع'!$B$5:$B$304,0)),""))</f>
        <v/>
      </c>
      <c r="H93" s="43" t="n"/>
      <c r="I93" s="42">
        <f>IF(OR(G93="",H93=""),"",G93+H93)</f>
        <v/>
      </c>
      <c r="J93" s="44" t="n"/>
      <c r="K93" s="45">
        <f>IF(OR(I93="",H93=0),"",MAX(0,MIN(1,(IF(P93&lt;&gt;"",P93,TODAY())-G93)/H93)))</f>
        <v/>
      </c>
      <c r="L93" s="46">
        <f>IF(B93="","",SUMIFS('المستخلصات'!$N$5:$N$304,'المستخلصات'!$B$5:$B$304,A93))</f>
        <v/>
      </c>
      <c r="M93" s="46">
        <f>IF(B93="","",SUMIFS('سندات القبض'!$K$5:$K$304,'سندات القبض'!$D$5:$D$304,A93))</f>
        <v/>
      </c>
      <c r="N93" s="46">
        <f>IF(B93="","",SUMIFS('سندات الصرف'!$L$5:$L$304,'سندات الصرف'!$D$5:$D$304,A93))</f>
        <v/>
      </c>
      <c r="O93" s="46">
        <f>IF(B93="","",M93-N93)</f>
        <v/>
      </c>
      <c r="P93" s="47" t="n"/>
      <c r="Q93" s="47" t="n"/>
      <c r="R93" s="48">
        <f>IF(B93="","",COUNTIFS('اعتماد المواد'!$B$5:$B$304,A93,'اعتماد المواد'!$M$5:$M$304,"قيد المراجعة"))</f>
        <v/>
      </c>
      <c r="S93" s="48">
        <f>IF(B93="","",COUNTIFS('عدم المطابقة'!$C$5:$C$304,A93,'عدم المطابقة'!$L$5:$L$304,"مفتوح*"))</f>
        <v/>
      </c>
      <c r="T93" s="48">
        <f>IF(B93="","",COUNTIFS('ملاحظات التسليم'!$B$5:$B$304,A93,'ملاحظات التسليم'!$K$5:$K$304,"مفتوح*"))</f>
        <v/>
      </c>
      <c r="U93" s="49">
        <f>IF(B93="","",IF(Q93&lt;&gt;"","مسلّم نهائياً",IF(P93&lt;&gt;"","فترة الضمان",IF(G93="","بانتظار استلام الموقع",IF(TODAY()&gt;I93,"متأخر عن التعاقد",IF(J93&lt;K93-0.1,"متأخر عن الخطة","جاري التنفيذ"))))))</f>
        <v/>
      </c>
    </row>
    <row r="94">
      <c r="A94" s="39">
        <f>IF(B94="","","PRJ-"&amp;TEXT(ROW()-4,"000"))</f>
        <v/>
      </c>
      <c r="B94" s="40" t="n"/>
      <c r="C94" s="40" t="n"/>
      <c r="D94" s="40" t="n"/>
      <c r="E94" s="40" t="n"/>
      <c r="F94" s="41" t="n"/>
      <c r="G94" s="42">
        <f>IF(B94="","",IFERROR(INDEX('استلام المواقع'!$D$5:$D$304,MATCH(A94,'استلام المواقع'!$B$5:$B$304,0)),""))</f>
        <v/>
      </c>
      <c r="H94" s="43" t="n"/>
      <c r="I94" s="42">
        <f>IF(OR(G94="",H94=""),"",G94+H94)</f>
        <v/>
      </c>
      <c r="J94" s="44" t="n"/>
      <c r="K94" s="45">
        <f>IF(OR(I94="",H94=0),"",MAX(0,MIN(1,(IF(P94&lt;&gt;"",P94,TODAY())-G94)/H94)))</f>
        <v/>
      </c>
      <c r="L94" s="46">
        <f>IF(B94="","",SUMIFS('المستخلصات'!$N$5:$N$304,'المستخلصات'!$B$5:$B$304,A94))</f>
        <v/>
      </c>
      <c r="M94" s="46">
        <f>IF(B94="","",SUMIFS('سندات القبض'!$K$5:$K$304,'سندات القبض'!$D$5:$D$304,A94))</f>
        <v/>
      </c>
      <c r="N94" s="46">
        <f>IF(B94="","",SUMIFS('سندات الصرف'!$L$5:$L$304,'سندات الصرف'!$D$5:$D$304,A94))</f>
        <v/>
      </c>
      <c r="O94" s="46">
        <f>IF(B94="","",M94-N94)</f>
        <v/>
      </c>
      <c r="P94" s="47" t="n"/>
      <c r="Q94" s="47" t="n"/>
      <c r="R94" s="48">
        <f>IF(B94="","",COUNTIFS('اعتماد المواد'!$B$5:$B$304,A94,'اعتماد المواد'!$M$5:$M$304,"قيد المراجعة"))</f>
        <v/>
      </c>
      <c r="S94" s="48">
        <f>IF(B94="","",COUNTIFS('عدم المطابقة'!$C$5:$C$304,A94,'عدم المطابقة'!$L$5:$L$304,"مفتوح*"))</f>
        <v/>
      </c>
      <c r="T94" s="48">
        <f>IF(B94="","",COUNTIFS('ملاحظات التسليم'!$B$5:$B$304,A94,'ملاحظات التسليم'!$K$5:$K$304,"مفتوح*"))</f>
        <v/>
      </c>
      <c r="U94" s="49">
        <f>IF(B94="","",IF(Q94&lt;&gt;"","مسلّم نهائياً",IF(P94&lt;&gt;"","فترة الضمان",IF(G94="","بانتظار استلام الموقع",IF(TODAY()&gt;I94,"متأخر عن التعاقد",IF(J94&lt;K94-0.1,"متأخر عن الخطة","جاري التنفيذ"))))))</f>
        <v/>
      </c>
    </row>
    <row r="95">
      <c r="A95" s="39">
        <f>IF(B95="","","PRJ-"&amp;TEXT(ROW()-4,"000"))</f>
        <v/>
      </c>
      <c r="B95" s="40" t="n"/>
      <c r="C95" s="40" t="n"/>
      <c r="D95" s="40" t="n"/>
      <c r="E95" s="40" t="n"/>
      <c r="F95" s="41" t="n"/>
      <c r="G95" s="42">
        <f>IF(B95="","",IFERROR(INDEX('استلام المواقع'!$D$5:$D$304,MATCH(A95,'استلام المواقع'!$B$5:$B$304,0)),""))</f>
        <v/>
      </c>
      <c r="H95" s="43" t="n"/>
      <c r="I95" s="42">
        <f>IF(OR(G95="",H95=""),"",G95+H95)</f>
        <v/>
      </c>
      <c r="J95" s="44" t="n"/>
      <c r="K95" s="45">
        <f>IF(OR(I95="",H95=0),"",MAX(0,MIN(1,(IF(P95&lt;&gt;"",P95,TODAY())-G95)/H95)))</f>
        <v/>
      </c>
      <c r="L95" s="46">
        <f>IF(B95="","",SUMIFS('المستخلصات'!$N$5:$N$304,'المستخلصات'!$B$5:$B$304,A95))</f>
        <v/>
      </c>
      <c r="M95" s="46">
        <f>IF(B95="","",SUMIFS('سندات القبض'!$K$5:$K$304,'سندات القبض'!$D$5:$D$304,A95))</f>
        <v/>
      </c>
      <c r="N95" s="46">
        <f>IF(B95="","",SUMIFS('سندات الصرف'!$L$5:$L$304,'سندات الصرف'!$D$5:$D$304,A95))</f>
        <v/>
      </c>
      <c r="O95" s="46">
        <f>IF(B95="","",M95-N95)</f>
        <v/>
      </c>
      <c r="P95" s="47" t="n"/>
      <c r="Q95" s="47" t="n"/>
      <c r="R95" s="48">
        <f>IF(B95="","",COUNTIFS('اعتماد المواد'!$B$5:$B$304,A95,'اعتماد المواد'!$M$5:$M$304,"قيد المراجعة"))</f>
        <v/>
      </c>
      <c r="S95" s="48">
        <f>IF(B95="","",COUNTIFS('عدم المطابقة'!$C$5:$C$304,A95,'عدم المطابقة'!$L$5:$L$304,"مفتوح*"))</f>
        <v/>
      </c>
      <c r="T95" s="48">
        <f>IF(B95="","",COUNTIFS('ملاحظات التسليم'!$B$5:$B$304,A95,'ملاحظات التسليم'!$K$5:$K$304,"مفتوح*"))</f>
        <v/>
      </c>
      <c r="U95" s="49">
        <f>IF(B95="","",IF(Q95&lt;&gt;"","مسلّم نهائياً",IF(P95&lt;&gt;"","فترة الضمان",IF(G95="","بانتظار استلام الموقع",IF(TODAY()&gt;I95,"متأخر عن التعاقد",IF(J95&lt;K95-0.1,"متأخر عن الخطة","جاري التنفيذ"))))))</f>
        <v/>
      </c>
    </row>
    <row r="96">
      <c r="A96" s="39">
        <f>IF(B96="","","PRJ-"&amp;TEXT(ROW()-4,"000"))</f>
        <v/>
      </c>
      <c r="B96" s="40" t="n"/>
      <c r="C96" s="40" t="n"/>
      <c r="D96" s="40" t="n"/>
      <c r="E96" s="40" t="n"/>
      <c r="F96" s="41" t="n"/>
      <c r="G96" s="42">
        <f>IF(B96="","",IFERROR(INDEX('استلام المواقع'!$D$5:$D$304,MATCH(A96,'استلام المواقع'!$B$5:$B$304,0)),""))</f>
        <v/>
      </c>
      <c r="H96" s="43" t="n"/>
      <c r="I96" s="42">
        <f>IF(OR(G96="",H96=""),"",G96+H96)</f>
        <v/>
      </c>
      <c r="J96" s="44" t="n"/>
      <c r="K96" s="45">
        <f>IF(OR(I96="",H96=0),"",MAX(0,MIN(1,(IF(P96&lt;&gt;"",P96,TODAY())-G96)/H96)))</f>
        <v/>
      </c>
      <c r="L96" s="46">
        <f>IF(B96="","",SUMIFS('المستخلصات'!$N$5:$N$304,'المستخلصات'!$B$5:$B$304,A96))</f>
        <v/>
      </c>
      <c r="M96" s="46">
        <f>IF(B96="","",SUMIFS('سندات القبض'!$K$5:$K$304,'سندات القبض'!$D$5:$D$304,A96))</f>
        <v/>
      </c>
      <c r="N96" s="46">
        <f>IF(B96="","",SUMIFS('سندات الصرف'!$L$5:$L$304,'سندات الصرف'!$D$5:$D$304,A96))</f>
        <v/>
      </c>
      <c r="O96" s="46">
        <f>IF(B96="","",M96-N96)</f>
        <v/>
      </c>
      <c r="P96" s="47" t="n"/>
      <c r="Q96" s="47" t="n"/>
      <c r="R96" s="48">
        <f>IF(B96="","",COUNTIFS('اعتماد المواد'!$B$5:$B$304,A96,'اعتماد المواد'!$M$5:$M$304,"قيد المراجعة"))</f>
        <v/>
      </c>
      <c r="S96" s="48">
        <f>IF(B96="","",COUNTIFS('عدم المطابقة'!$C$5:$C$304,A96,'عدم المطابقة'!$L$5:$L$304,"مفتوح*"))</f>
        <v/>
      </c>
      <c r="T96" s="48">
        <f>IF(B96="","",COUNTIFS('ملاحظات التسليم'!$B$5:$B$304,A96,'ملاحظات التسليم'!$K$5:$K$304,"مفتوح*"))</f>
        <v/>
      </c>
      <c r="U96" s="49">
        <f>IF(B96="","",IF(Q96&lt;&gt;"","مسلّم نهائياً",IF(P96&lt;&gt;"","فترة الضمان",IF(G96="","بانتظار استلام الموقع",IF(TODAY()&gt;I96,"متأخر عن التعاقد",IF(J96&lt;K96-0.1,"متأخر عن الخطة","جاري التنفيذ"))))))</f>
        <v/>
      </c>
    </row>
    <row r="97">
      <c r="A97" s="39">
        <f>IF(B97="","","PRJ-"&amp;TEXT(ROW()-4,"000"))</f>
        <v/>
      </c>
      <c r="B97" s="40" t="n"/>
      <c r="C97" s="40" t="n"/>
      <c r="D97" s="40" t="n"/>
      <c r="E97" s="40" t="n"/>
      <c r="F97" s="41" t="n"/>
      <c r="G97" s="42">
        <f>IF(B97="","",IFERROR(INDEX('استلام المواقع'!$D$5:$D$304,MATCH(A97,'استلام المواقع'!$B$5:$B$304,0)),""))</f>
        <v/>
      </c>
      <c r="H97" s="43" t="n"/>
      <c r="I97" s="42">
        <f>IF(OR(G97="",H97=""),"",G97+H97)</f>
        <v/>
      </c>
      <c r="J97" s="44" t="n"/>
      <c r="K97" s="45">
        <f>IF(OR(I97="",H97=0),"",MAX(0,MIN(1,(IF(P97&lt;&gt;"",P97,TODAY())-G97)/H97)))</f>
        <v/>
      </c>
      <c r="L97" s="46">
        <f>IF(B97="","",SUMIFS('المستخلصات'!$N$5:$N$304,'المستخلصات'!$B$5:$B$304,A97))</f>
        <v/>
      </c>
      <c r="M97" s="46">
        <f>IF(B97="","",SUMIFS('سندات القبض'!$K$5:$K$304,'سندات القبض'!$D$5:$D$304,A97))</f>
        <v/>
      </c>
      <c r="N97" s="46">
        <f>IF(B97="","",SUMIFS('سندات الصرف'!$L$5:$L$304,'سندات الصرف'!$D$5:$D$304,A97))</f>
        <v/>
      </c>
      <c r="O97" s="46">
        <f>IF(B97="","",M97-N97)</f>
        <v/>
      </c>
      <c r="P97" s="47" t="n"/>
      <c r="Q97" s="47" t="n"/>
      <c r="R97" s="48">
        <f>IF(B97="","",COUNTIFS('اعتماد المواد'!$B$5:$B$304,A97,'اعتماد المواد'!$M$5:$M$304,"قيد المراجعة"))</f>
        <v/>
      </c>
      <c r="S97" s="48">
        <f>IF(B97="","",COUNTIFS('عدم المطابقة'!$C$5:$C$304,A97,'عدم المطابقة'!$L$5:$L$304,"مفتوح*"))</f>
        <v/>
      </c>
      <c r="T97" s="48">
        <f>IF(B97="","",COUNTIFS('ملاحظات التسليم'!$B$5:$B$304,A97,'ملاحظات التسليم'!$K$5:$K$304,"مفتوح*"))</f>
        <v/>
      </c>
      <c r="U97" s="49">
        <f>IF(B97="","",IF(Q97&lt;&gt;"","مسلّم نهائياً",IF(P97&lt;&gt;"","فترة الضمان",IF(G97="","بانتظار استلام الموقع",IF(TODAY()&gt;I97,"متأخر عن التعاقد",IF(J97&lt;K97-0.1,"متأخر عن الخطة","جاري التنفيذ"))))))</f>
        <v/>
      </c>
    </row>
    <row r="98">
      <c r="A98" s="39">
        <f>IF(B98="","","PRJ-"&amp;TEXT(ROW()-4,"000"))</f>
        <v/>
      </c>
      <c r="B98" s="40" t="n"/>
      <c r="C98" s="40" t="n"/>
      <c r="D98" s="40" t="n"/>
      <c r="E98" s="40" t="n"/>
      <c r="F98" s="41" t="n"/>
      <c r="G98" s="42">
        <f>IF(B98="","",IFERROR(INDEX('استلام المواقع'!$D$5:$D$304,MATCH(A98,'استلام المواقع'!$B$5:$B$304,0)),""))</f>
        <v/>
      </c>
      <c r="H98" s="43" t="n"/>
      <c r="I98" s="42">
        <f>IF(OR(G98="",H98=""),"",G98+H98)</f>
        <v/>
      </c>
      <c r="J98" s="44" t="n"/>
      <c r="K98" s="45">
        <f>IF(OR(I98="",H98=0),"",MAX(0,MIN(1,(IF(P98&lt;&gt;"",P98,TODAY())-G98)/H98)))</f>
        <v/>
      </c>
      <c r="L98" s="46">
        <f>IF(B98="","",SUMIFS('المستخلصات'!$N$5:$N$304,'المستخلصات'!$B$5:$B$304,A98))</f>
        <v/>
      </c>
      <c r="M98" s="46">
        <f>IF(B98="","",SUMIFS('سندات القبض'!$K$5:$K$304,'سندات القبض'!$D$5:$D$304,A98))</f>
        <v/>
      </c>
      <c r="N98" s="46">
        <f>IF(B98="","",SUMIFS('سندات الصرف'!$L$5:$L$304,'سندات الصرف'!$D$5:$D$304,A98))</f>
        <v/>
      </c>
      <c r="O98" s="46">
        <f>IF(B98="","",M98-N98)</f>
        <v/>
      </c>
      <c r="P98" s="47" t="n"/>
      <c r="Q98" s="47" t="n"/>
      <c r="R98" s="48">
        <f>IF(B98="","",COUNTIFS('اعتماد المواد'!$B$5:$B$304,A98,'اعتماد المواد'!$M$5:$M$304,"قيد المراجعة"))</f>
        <v/>
      </c>
      <c r="S98" s="48">
        <f>IF(B98="","",COUNTIFS('عدم المطابقة'!$C$5:$C$304,A98,'عدم المطابقة'!$L$5:$L$304,"مفتوح*"))</f>
        <v/>
      </c>
      <c r="T98" s="48">
        <f>IF(B98="","",COUNTIFS('ملاحظات التسليم'!$B$5:$B$304,A98,'ملاحظات التسليم'!$K$5:$K$304,"مفتوح*"))</f>
        <v/>
      </c>
      <c r="U98" s="49">
        <f>IF(B98="","",IF(Q98&lt;&gt;"","مسلّم نهائياً",IF(P98&lt;&gt;"","فترة الضمان",IF(G98="","بانتظار استلام الموقع",IF(TODAY()&gt;I98,"متأخر عن التعاقد",IF(J98&lt;K98-0.1,"متأخر عن الخطة","جاري التنفيذ"))))))</f>
        <v/>
      </c>
    </row>
    <row r="99">
      <c r="A99" s="39">
        <f>IF(B99="","","PRJ-"&amp;TEXT(ROW()-4,"000"))</f>
        <v/>
      </c>
      <c r="B99" s="40" t="n"/>
      <c r="C99" s="40" t="n"/>
      <c r="D99" s="40" t="n"/>
      <c r="E99" s="40" t="n"/>
      <c r="F99" s="41" t="n"/>
      <c r="G99" s="42">
        <f>IF(B99="","",IFERROR(INDEX('استلام المواقع'!$D$5:$D$304,MATCH(A99,'استلام المواقع'!$B$5:$B$304,0)),""))</f>
        <v/>
      </c>
      <c r="H99" s="43" t="n"/>
      <c r="I99" s="42">
        <f>IF(OR(G99="",H99=""),"",G99+H99)</f>
        <v/>
      </c>
      <c r="J99" s="44" t="n"/>
      <c r="K99" s="45">
        <f>IF(OR(I99="",H99=0),"",MAX(0,MIN(1,(IF(P99&lt;&gt;"",P99,TODAY())-G99)/H99)))</f>
        <v/>
      </c>
      <c r="L99" s="46">
        <f>IF(B99="","",SUMIFS('المستخلصات'!$N$5:$N$304,'المستخلصات'!$B$5:$B$304,A99))</f>
        <v/>
      </c>
      <c r="M99" s="46">
        <f>IF(B99="","",SUMIFS('سندات القبض'!$K$5:$K$304,'سندات القبض'!$D$5:$D$304,A99))</f>
        <v/>
      </c>
      <c r="N99" s="46">
        <f>IF(B99="","",SUMIFS('سندات الصرف'!$L$5:$L$304,'سندات الصرف'!$D$5:$D$304,A99))</f>
        <v/>
      </c>
      <c r="O99" s="46">
        <f>IF(B99="","",M99-N99)</f>
        <v/>
      </c>
      <c r="P99" s="47" t="n"/>
      <c r="Q99" s="47" t="n"/>
      <c r="R99" s="48">
        <f>IF(B99="","",COUNTIFS('اعتماد المواد'!$B$5:$B$304,A99,'اعتماد المواد'!$M$5:$M$304,"قيد المراجعة"))</f>
        <v/>
      </c>
      <c r="S99" s="48">
        <f>IF(B99="","",COUNTIFS('عدم المطابقة'!$C$5:$C$304,A99,'عدم المطابقة'!$L$5:$L$304,"مفتوح*"))</f>
        <v/>
      </c>
      <c r="T99" s="48">
        <f>IF(B99="","",COUNTIFS('ملاحظات التسليم'!$B$5:$B$304,A99,'ملاحظات التسليم'!$K$5:$K$304,"مفتوح*"))</f>
        <v/>
      </c>
      <c r="U99" s="49">
        <f>IF(B99="","",IF(Q99&lt;&gt;"","مسلّم نهائياً",IF(P99&lt;&gt;"","فترة الضمان",IF(G99="","بانتظار استلام الموقع",IF(TODAY()&gt;I99,"متأخر عن التعاقد",IF(J99&lt;K99-0.1,"متأخر عن الخطة","جاري التنفيذ"))))))</f>
        <v/>
      </c>
    </row>
    <row r="100">
      <c r="A100" s="39">
        <f>IF(B100="","","PRJ-"&amp;TEXT(ROW()-4,"000"))</f>
        <v/>
      </c>
      <c r="B100" s="40" t="n"/>
      <c r="C100" s="40" t="n"/>
      <c r="D100" s="40" t="n"/>
      <c r="E100" s="40" t="n"/>
      <c r="F100" s="41" t="n"/>
      <c r="G100" s="42">
        <f>IF(B100="","",IFERROR(INDEX('استلام المواقع'!$D$5:$D$304,MATCH(A100,'استلام المواقع'!$B$5:$B$304,0)),""))</f>
        <v/>
      </c>
      <c r="H100" s="43" t="n"/>
      <c r="I100" s="42">
        <f>IF(OR(G100="",H100=""),"",G100+H100)</f>
        <v/>
      </c>
      <c r="J100" s="44" t="n"/>
      <c r="K100" s="45">
        <f>IF(OR(I100="",H100=0),"",MAX(0,MIN(1,(IF(P100&lt;&gt;"",P100,TODAY())-G100)/H100)))</f>
        <v/>
      </c>
      <c r="L100" s="46">
        <f>IF(B100="","",SUMIFS('المستخلصات'!$N$5:$N$304,'المستخلصات'!$B$5:$B$304,A100))</f>
        <v/>
      </c>
      <c r="M100" s="46">
        <f>IF(B100="","",SUMIFS('سندات القبض'!$K$5:$K$304,'سندات القبض'!$D$5:$D$304,A100))</f>
        <v/>
      </c>
      <c r="N100" s="46">
        <f>IF(B100="","",SUMIFS('سندات الصرف'!$L$5:$L$304,'سندات الصرف'!$D$5:$D$304,A100))</f>
        <v/>
      </c>
      <c r="O100" s="46">
        <f>IF(B100="","",M100-N100)</f>
        <v/>
      </c>
      <c r="P100" s="47" t="n"/>
      <c r="Q100" s="47" t="n"/>
      <c r="R100" s="48">
        <f>IF(B100="","",COUNTIFS('اعتماد المواد'!$B$5:$B$304,A100,'اعتماد المواد'!$M$5:$M$304,"قيد المراجعة"))</f>
        <v/>
      </c>
      <c r="S100" s="48">
        <f>IF(B100="","",COUNTIFS('عدم المطابقة'!$C$5:$C$304,A100,'عدم المطابقة'!$L$5:$L$304,"مفتوح*"))</f>
        <v/>
      </c>
      <c r="T100" s="48">
        <f>IF(B100="","",COUNTIFS('ملاحظات التسليم'!$B$5:$B$304,A100,'ملاحظات التسليم'!$K$5:$K$304,"مفتوح*"))</f>
        <v/>
      </c>
      <c r="U100" s="49">
        <f>IF(B100="","",IF(Q100&lt;&gt;"","مسلّم نهائياً",IF(P100&lt;&gt;"","فترة الضمان",IF(G100="","بانتظار استلام الموقع",IF(TODAY()&gt;I100,"متأخر عن التعاقد",IF(J100&lt;K100-0.1,"متأخر عن الخطة","جاري التنفيذ"))))))</f>
        <v/>
      </c>
    </row>
    <row r="101">
      <c r="A101" s="39">
        <f>IF(B101="","","PRJ-"&amp;TEXT(ROW()-4,"000"))</f>
        <v/>
      </c>
      <c r="B101" s="40" t="n"/>
      <c r="C101" s="40" t="n"/>
      <c r="D101" s="40" t="n"/>
      <c r="E101" s="40" t="n"/>
      <c r="F101" s="41" t="n"/>
      <c r="G101" s="42">
        <f>IF(B101="","",IFERROR(INDEX('استلام المواقع'!$D$5:$D$304,MATCH(A101,'استلام المواقع'!$B$5:$B$304,0)),""))</f>
        <v/>
      </c>
      <c r="H101" s="43" t="n"/>
      <c r="I101" s="42">
        <f>IF(OR(G101="",H101=""),"",G101+H101)</f>
        <v/>
      </c>
      <c r="J101" s="44" t="n"/>
      <c r="K101" s="45">
        <f>IF(OR(I101="",H101=0),"",MAX(0,MIN(1,(IF(P101&lt;&gt;"",P101,TODAY())-G101)/H101)))</f>
        <v/>
      </c>
      <c r="L101" s="46">
        <f>IF(B101="","",SUMIFS('المستخلصات'!$N$5:$N$304,'المستخلصات'!$B$5:$B$304,A101))</f>
        <v/>
      </c>
      <c r="M101" s="46">
        <f>IF(B101="","",SUMIFS('سندات القبض'!$K$5:$K$304,'سندات القبض'!$D$5:$D$304,A101))</f>
        <v/>
      </c>
      <c r="N101" s="46">
        <f>IF(B101="","",SUMIFS('سندات الصرف'!$L$5:$L$304,'سندات الصرف'!$D$5:$D$304,A101))</f>
        <v/>
      </c>
      <c r="O101" s="46">
        <f>IF(B101="","",M101-N101)</f>
        <v/>
      </c>
      <c r="P101" s="47" t="n"/>
      <c r="Q101" s="47" t="n"/>
      <c r="R101" s="48">
        <f>IF(B101="","",COUNTIFS('اعتماد المواد'!$B$5:$B$304,A101,'اعتماد المواد'!$M$5:$M$304,"قيد المراجعة"))</f>
        <v/>
      </c>
      <c r="S101" s="48">
        <f>IF(B101="","",COUNTIFS('عدم المطابقة'!$C$5:$C$304,A101,'عدم المطابقة'!$L$5:$L$304,"مفتوح*"))</f>
        <v/>
      </c>
      <c r="T101" s="48">
        <f>IF(B101="","",COUNTIFS('ملاحظات التسليم'!$B$5:$B$304,A101,'ملاحظات التسليم'!$K$5:$K$304,"مفتوح*"))</f>
        <v/>
      </c>
      <c r="U101" s="49">
        <f>IF(B101="","",IF(Q101&lt;&gt;"","مسلّم نهائياً",IF(P101&lt;&gt;"","فترة الضمان",IF(G101="","بانتظار استلام الموقع",IF(TODAY()&gt;I101,"متأخر عن التعاقد",IF(J101&lt;K101-0.1,"متأخر عن الخطة","جاري التنفيذ"))))))</f>
        <v/>
      </c>
    </row>
    <row r="102">
      <c r="A102" s="39">
        <f>IF(B102="","","PRJ-"&amp;TEXT(ROW()-4,"000"))</f>
        <v/>
      </c>
      <c r="B102" s="40" t="n"/>
      <c r="C102" s="40" t="n"/>
      <c r="D102" s="40" t="n"/>
      <c r="E102" s="40" t="n"/>
      <c r="F102" s="41" t="n"/>
      <c r="G102" s="42">
        <f>IF(B102="","",IFERROR(INDEX('استلام المواقع'!$D$5:$D$304,MATCH(A102,'استلام المواقع'!$B$5:$B$304,0)),""))</f>
        <v/>
      </c>
      <c r="H102" s="43" t="n"/>
      <c r="I102" s="42">
        <f>IF(OR(G102="",H102=""),"",G102+H102)</f>
        <v/>
      </c>
      <c r="J102" s="44" t="n"/>
      <c r="K102" s="45">
        <f>IF(OR(I102="",H102=0),"",MAX(0,MIN(1,(IF(P102&lt;&gt;"",P102,TODAY())-G102)/H102)))</f>
        <v/>
      </c>
      <c r="L102" s="46">
        <f>IF(B102="","",SUMIFS('المستخلصات'!$N$5:$N$304,'المستخلصات'!$B$5:$B$304,A102))</f>
        <v/>
      </c>
      <c r="M102" s="46">
        <f>IF(B102="","",SUMIFS('سندات القبض'!$K$5:$K$304,'سندات القبض'!$D$5:$D$304,A102))</f>
        <v/>
      </c>
      <c r="N102" s="46">
        <f>IF(B102="","",SUMIFS('سندات الصرف'!$L$5:$L$304,'سندات الصرف'!$D$5:$D$304,A102))</f>
        <v/>
      </c>
      <c r="O102" s="46">
        <f>IF(B102="","",M102-N102)</f>
        <v/>
      </c>
      <c r="P102" s="47" t="n"/>
      <c r="Q102" s="47" t="n"/>
      <c r="R102" s="48">
        <f>IF(B102="","",COUNTIFS('اعتماد المواد'!$B$5:$B$304,A102,'اعتماد المواد'!$M$5:$M$304,"قيد المراجعة"))</f>
        <v/>
      </c>
      <c r="S102" s="48">
        <f>IF(B102="","",COUNTIFS('عدم المطابقة'!$C$5:$C$304,A102,'عدم المطابقة'!$L$5:$L$304,"مفتوح*"))</f>
        <v/>
      </c>
      <c r="T102" s="48">
        <f>IF(B102="","",COUNTIFS('ملاحظات التسليم'!$B$5:$B$304,A102,'ملاحظات التسليم'!$K$5:$K$304,"مفتوح*"))</f>
        <v/>
      </c>
      <c r="U102" s="49">
        <f>IF(B102="","",IF(Q102&lt;&gt;"","مسلّم نهائياً",IF(P102&lt;&gt;"","فترة الضمان",IF(G102="","بانتظار استلام الموقع",IF(TODAY()&gt;I102,"متأخر عن التعاقد",IF(J102&lt;K102-0.1,"متأخر عن الخطة","جاري التنفيذ"))))))</f>
        <v/>
      </c>
    </row>
    <row r="103">
      <c r="A103" s="39">
        <f>IF(B103="","","PRJ-"&amp;TEXT(ROW()-4,"000"))</f>
        <v/>
      </c>
      <c r="B103" s="40" t="n"/>
      <c r="C103" s="40" t="n"/>
      <c r="D103" s="40" t="n"/>
      <c r="E103" s="40" t="n"/>
      <c r="F103" s="41" t="n"/>
      <c r="G103" s="42">
        <f>IF(B103="","",IFERROR(INDEX('استلام المواقع'!$D$5:$D$304,MATCH(A103,'استلام المواقع'!$B$5:$B$304,0)),""))</f>
        <v/>
      </c>
      <c r="H103" s="43" t="n"/>
      <c r="I103" s="42">
        <f>IF(OR(G103="",H103=""),"",G103+H103)</f>
        <v/>
      </c>
      <c r="J103" s="44" t="n"/>
      <c r="K103" s="45">
        <f>IF(OR(I103="",H103=0),"",MAX(0,MIN(1,(IF(P103&lt;&gt;"",P103,TODAY())-G103)/H103)))</f>
        <v/>
      </c>
      <c r="L103" s="46">
        <f>IF(B103="","",SUMIFS('المستخلصات'!$N$5:$N$304,'المستخلصات'!$B$5:$B$304,A103))</f>
        <v/>
      </c>
      <c r="M103" s="46">
        <f>IF(B103="","",SUMIFS('سندات القبض'!$K$5:$K$304,'سندات القبض'!$D$5:$D$304,A103))</f>
        <v/>
      </c>
      <c r="N103" s="46">
        <f>IF(B103="","",SUMIFS('سندات الصرف'!$L$5:$L$304,'سندات الصرف'!$D$5:$D$304,A103))</f>
        <v/>
      </c>
      <c r="O103" s="46">
        <f>IF(B103="","",M103-N103)</f>
        <v/>
      </c>
      <c r="P103" s="47" t="n"/>
      <c r="Q103" s="47" t="n"/>
      <c r="R103" s="48">
        <f>IF(B103="","",COUNTIFS('اعتماد المواد'!$B$5:$B$304,A103,'اعتماد المواد'!$M$5:$M$304,"قيد المراجعة"))</f>
        <v/>
      </c>
      <c r="S103" s="48">
        <f>IF(B103="","",COUNTIFS('عدم المطابقة'!$C$5:$C$304,A103,'عدم المطابقة'!$L$5:$L$304,"مفتوح*"))</f>
        <v/>
      </c>
      <c r="T103" s="48">
        <f>IF(B103="","",COUNTIFS('ملاحظات التسليم'!$B$5:$B$304,A103,'ملاحظات التسليم'!$K$5:$K$304,"مفتوح*"))</f>
        <v/>
      </c>
      <c r="U103" s="49">
        <f>IF(B103="","",IF(Q103&lt;&gt;"","مسلّم نهائياً",IF(P103&lt;&gt;"","فترة الضمان",IF(G103="","بانتظار استلام الموقع",IF(TODAY()&gt;I103,"متأخر عن التعاقد",IF(J103&lt;K103-0.1,"متأخر عن الخطة","جاري التنفيذ"))))))</f>
        <v/>
      </c>
    </row>
    <row r="104">
      <c r="A104" s="39">
        <f>IF(B104="","","PRJ-"&amp;TEXT(ROW()-4,"000"))</f>
        <v/>
      </c>
      <c r="B104" s="40" t="n"/>
      <c r="C104" s="40" t="n"/>
      <c r="D104" s="40" t="n"/>
      <c r="E104" s="40" t="n"/>
      <c r="F104" s="41" t="n"/>
      <c r="G104" s="42">
        <f>IF(B104="","",IFERROR(INDEX('استلام المواقع'!$D$5:$D$304,MATCH(A104,'استلام المواقع'!$B$5:$B$304,0)),""))</f>
        <v/>
      </c>
      <c r="H104" s="43" t="n"/>
      <c r="I104" s="42">
        <f>IF(OR(G104="",H104=""),"",G104+H104)</f>
        <v/>
      </c>
      <c r="J104" s="44" t="n"/>
      <c r="K104" s="45">
        <f>IF(OR(I104="",H104=0),"",MAX(0,MIN(1,(IF(P104&lt;&gt;"",P104,TODAY())-G104)/H104)))</f>
        <v/>
      </c>
      <c r="L104" s="46">
        <f>IF(B104="","",SUMIFS('المستخلصات'!$N$5:$N$304,'المستخلصات'!$B$5:$B$304,A104))</f>
        <v/>
      </c>
      <c r="M104" s="46">
        <f>IF(B104="","",SUMIFS('سندات القبض'!$K$5:$K$304,'سندات القبض'!$D$5:$D$304,A104))</f>
        <v/>
      </c>
      <c r="N104" s="46">
        <f>IF(B104="","",SUMIFS('سندات الصرف'!$L$5:$L$304,'سندات الصرف'!$D$5:$D$304,A104))</f>
        <v/>
      </c>
      <c r="O104" s="46">
        <f>IF(B104="","",M104-N104)</f>
        <v/>
      </c>
      <c r="P104" s="47" t="n"/>
      <c r="Q104" s="47" t="n"/>
      <c r="R104" s="48">
        <f>IF(B104="","",COUNTIFS('اعتماد المواد'!$B$5:$B$304,A104,'اعتماد المواد'!$M$5:$M$304,"قيد المراجعة"))</f>
        <v/>
      </c>
      <c r="S104" s="48">
        <f>IF(B104="","",COUNTIFS('عدم المطابقة'!$C$5:$C$304,A104,'عدم المطابقة'!$L$5:$L$304,"مفتوح*"))</f>
        <v/>
      </c>
      <c r="T104" s="48">
        <f>IF(B104="","",COUNTIFS('ملاحظات التسليم'!$B$5:$B$304,A104,'ملاحظات التسليم'!$K$5:$K$304,"مفتوح*"))</f>
        <v/>
      </c>
      <c r="U104" s="49">
        <f>IF(B104="","",IF(Q104&lt;&gt;"","مسلّم نهائياً",IF(P104&lt;&gt;"","فترة الضمان",IF(G104="","بانتظار استلام الموقع",IF(TODAY()&gt;I104,"متأخر عن التعاقد",IF(J104&lt;K104-0.1,"متأخر عن الخطة","جاري التنفيذ"))))))</f>
        <v/>
      </c>
    </row>
    <row r="105">
      <c r="A105" s="39">
        <f>IF(B105="","","PRJ-"&amp;TEXT(ROW()-4,"000"))</f>
        <v/>
      </c>
      <c r="B105" s="40" t="n"/>
      <c r="C105" s="40" t="n"/>
      <c r="D105" s="40" t="n"/>
      <c r="E105" s="40" t="n"/>
      <c r="F105" s="41" t="n"/>
      <c r="G105" s="42">
        <f>IF(B105="","",IFERROR(INDEX('استلام المواقع'!$D$5:$D$304,MATCH(A105,'استلام المواقع'!$B$5:$B$304,0)),""))</f>
        <v/>
      </c>
      <c r="H105" s="43" t="n"/>
      <c r="I105" s="42">
        <f>IF(OR(G105="",H105=""),"",G105+H105)</f>
        <v/>
      </c>
      <c r="J105" s="44" t="n"/>
      <c r="K105" s="45">
        <f>IF(OR(I105="",H105=0),"",MAX(0,MIN(1,(IF(P105&lt;&gt;"",P105,TODAY())-G105)/H105)))</f>
        <v/>
      </c>
      <c r="L105" s="46">
        <f>IF(B105="","",SUMIFS('المستخلصات'!$N$5:$N$304,'المستخلصات'!$B$5:$B$304,A105))</f>
        <v/>
      </c>
      <c r="M105" s="46">
        <f>IF(B105="","",SUMIFS('سندات القبض'!$K$5:$K$304,'سندات القبض'!$D$5:$D$304,A105))</f>
        <v/>
      </c>
      <c r="N105" s="46">
        <f>IF(B105="","",SUMIFS('سندات الصرف'!$L$5:$L$304,'سندات الصرف'!$D$5:$D$304,A105))</f>
        <v/>
      </c>
      <c r="O105" s="46">
        <f>IF(B105="","",M105-N105)</f>
        <v/>
      </c>
      <c r="P105" s="47" t="n"/>
      <c r="Q105" s="47" t="n"/>
      <c r="R105" s="48">
        <f>IF(B105="","",COUNTIFS('اعتماد المواد'!$B$5:$B$304,A105,'اعتماد المواد'!$M$5:$M$304,"قيد المراجعة"))</f>
        <v/>
      </c>
      <c r="S105" s="48">
        <f>IF(B105="","",COUNTIFS('عدم المطابقة'!$C$5:$C$304,A105,'عدم المطابقة'!$L$5:$L$304,"مفتوح*"))</f>
        <v/>
      </c>
      <c r="T105" s="48">
        <f>IF(B105="","",COUNTIFS('ملاحظات التسليم'!$B$5:$B$304,A105,'ملاحظات التسليم'!$K$5:$K$304,"مفتوح*"))</f>
        <v/>
      </c>
      <c r="U105" s="49">
        <f>IF(B105="","",IF(Q105&lt;&gt;"","مسلّم نهائياً",IF(P105&lt;&gt;"","فترة الضمان",IF(G105="","بانتظار استلام الموقع",IF(TODAY()&gt;I105,"متأخر عن التعاقد",IF(J105&lt;K105-0.1,"متأخر عن الخطة","جاري التنفيذ"))))))</f>
        <v/>
      </c>
    </row>
    <row r="106">
      <c r="A106" s="39">
        <f>IF(B106="","","PRJ-"&amp;TEXT(ROW()-4,"000"))</f>
        <v/>
      </c>
      <c r="B106" s="40" t="n"/>
      <c r="C106" s="40" t="n"/>
      <c r="D106" s="40" t="n"/>
      <c r="E106" s="40" t="n"/>
      <c r="F106" s="41" t="n"/>
      <c r="G106" s="42">
        <f>IF(B106="","",IFERROR(INDEX('استلام المواقع'!$D$5:$D$304,MATCH(A106,'استلام المواقع'!$B$5:$B$304,0)),""))</f>
        <v/>
      </c>
      <c r="H106" s="43" t="n"/>
      <c r="I106" s="42">
        <f>IF(OR(G106="",H106=""),"",G106+H106)</f>
        <v/>
      </c>
      <c r="J106" s="44" t="n"/>
      <c r="K106" s="45">
        <f>IF(OR(I106="",H106=0),"",MAX(0,MIN(1,(IF(P106&lt;&gt;"",P106,TODAY())-G106)/H106)))</f>
        <v/>
      </c>
      <c r="L106" s="46">
        <f>IF(B106="","",SUMIFS('المستخلصات'!$N$5:$N$304,'المستخلصات'!$B$5:$B$304,A106))</f>
        <v/>
      </c>
      <c r="M106" s="46">
        <f>IF(B106="","",SUMIFS('سندات القبض'!$K$5:$K$304,'سندات القبض'!$D$5:$D$304,A106))</f>
        <v/>
      </c>
      <c r="N106" s="46">
        <f>IF(B106="","",SUMIFS('سندات الصرف'!$L$5:$L$304,'سندات الصرف'!$D$5:$D$304,A106))</f>
        <v/>
      </c>
      <c r="O106" s="46">
        <f>IF(B106="","",M106-N106)</f>
        <v/>
      </c>
      <c r="P106" s="47" t="n"/>
      <c r="Q106" s="47" t="n"/>
      <c r="R106" s="48">
        <f>IF(B106="","",COUNTIFS('اعتماد المواد'!$B$5:$B$304,A106,'اعتماد المواد'!$M$5:$M$304,"قيد المراجعة"))</f>
        <v/>
      </c>
      <c r="S106" s="48">
        <f>IF(B106="","",COUNTIFS('عدم المطابقة'!$C$5:$C$304,A106,'عدم المطابقة'!$L$5:$L$304,"مفتوح*"))</f>
        <v/>
      </c>
      <c r="T106" s="48">
        <f>IF(B106="","",COUNTIFS('ملاحظات التسليم'!$B$5:$B$304,A106,'ملاحظات التسليم'!$K$5:$K$304,"مفتوح*"))</f>
        <v/>
      </c>
      <c r="U106" s="49">
        <f>IF(B106="","",IF(Q106&lt;&gt;"","مسلّم نهائياً",IF(P106&lt;&gt;"","فترة الضمان",IF(G106="","بانتظار استلام الموقع",IF(TODAY()&gt;I106,"متأخر عن التعاقد",IF(J106&lt;K106-0.1,"متأخر عن الخطة","جاري التنفيذ"))))))</f>
        <v/>
      </c>
    </row>
    <row r="107">
      <c r="A107" s="39">
        <f>IF(B107="","","PRJ-"&amp;TEXT(ROW()-4,"000"))</f>
        <v/>
      </c>
      <c r="B107" s="40" t="n"/>
      <c r="C107" s="40" t="n"/>
      <c r="D107" s="40" t="n"/>
      <c r="E107" s="40" t="n"/>
      <c r="F107" s="41" t="n"/>
      <c r="G107" s="42">
        <f>IF(B107="","",IFERROR(INDEX('استلام المواقع'!$D$5:$D$304,MATCH(A107,'استلام المواقع'!$B$5:$B$304,0)),""))</f>
        <v/>
      </c>
      <c r="H107" s="43" t="n"/>
      <c r="I107" s="42">
        <f>IF(OR(G107="",H107=""),"",G107+H107)</f>
        <v/>
      </c>
      <c r="J107" s="44" t="n"/>
      <c r="K107" s="45">
        <f>IF(OR(I107="",H107=0),"",MAX(0,MIN(1,(IF(P107&lt;&gt;"",P107,TODAY())-G107)/H107)))</f>
        <v/>
      </c>
      <c r="L107" s="46">
        <f>IF(B107="","",SUMIFS('المستخلصات'!$N$5:$N$304,'المستخلصات'!$B$5:$B$304,A107))</f>
        <v/>
      </c>
      <c r="M107" s="46">
        <f>IF(B107="","",SUMIFS('سندات القبض'!$K$5:$K$304,'سندات القبض'!$D$5:$D$304,A107))</f>
        <v/>
      </c>
      <c r="N107" s="46">
        <f>IF(B107="","",SUMIFS('سندات الصرف'!$L$5:$L$304,'سندات الصرف'!$D$5:$D$304,A107))</f>
        <v/>
      </c>
      <c r="O107" s="46">
        <f>IF(B107="","",M107-N107)</f>
        <v/>
      </c>
      <c r="P107" s="47" t="n"/>
      <c r="Q107" s="47" t="n"/>
      <c r="R107" s="48">
        <f>IF(B107="","",COUNTIFS('اعتماد المواد'!$B$5:$B$304,A107,'اعتماد المواد'!$M$5:$M$304,"قيد المراجعة"))</f>
        <v/>
      </c>
      <c r="S107" s="48">
        <f>IF(B107="","",COUNTIFS('عدم المطابقة'!$C$5:$C$304,A107,'عدم المطابقة'!$L$5:$L$304,"مفتوح*"))</f>
        <v/>
      </c>
      <c r="T107" s="48">
        <f>IF(B107="","",COUNTIFS('ملاحظات التسليم'!$B$5:$B$304,A107,'ملاحظات التسليم'!$K$5:$K$304,"مفتوح*"))</f>
        <v/>
      </c>
      <c r="U107" s="49">
        <f>IF(B107="","",IF(Q107&lt;&gt;"","مسلّم نهائياً",IF(P107&lt;&gt;"","فترة الضمان",IF(G107="","بانتظار استلام الموقع",IF(TODAY()&gt;I107,"متأخر عن التعاقد",IF(J107&lt;K107-0.1,"متأخر عن الخطة","جاري التنفيذ"))))))</f>
        <v/>
      </c>
    </row>
    <row r="108">
      <c r="A108" s="39">
        <f>IF(B108="","","PRJ-"&amp;TEXT(ROW()-4,"000"))</f>
        <v/>
      </c>
      <c r="B108" s="40" t="n"/>
      <c r="C108" s="40" t="n"/>
      <c r="D108" s="40" t="n"/>
      <c r="E108" s="40" t="n"/>
      <c r="F108" s="41" t="n"/>
      <c r="G108" s="42">
        <f>IF(B108="","",IFERROR(INDEX('استلام المواقع'!$D$5:$D$304,MATCH(A108,'استلام المواقع'!$B$5:$B$304,0)),""))</f>
        <v/>
      </c>
      <c r="H108" s="43" t="n"/>
      <c r="I108" s="42">
        <f>IF(OR(G108="",H108=""),"",G108+H108)</f>
        <v/>
      </c>
      <c r="J108" s="44" t="n"/>
      <c r="K108" s="45">
        <f>IF(OR(I108="",H108=0),"",MAX(0,MIN(1,(IF(P108&lt;&gt;"",P108,TODAY())-G108)/H108)))</f>
        <v/>
      </c>
      <c r="L108" s="46">
        <f>IF(B108="","",SUMIFS('المستخلصات'!$N$5:$N$304,'المستخلصات'!$B$5:$B$304,A108))</f>
        <v/>
      </c>
      <c r="M108" s="46">
        <f>IF(B108="","",SUMIFS('سندات القبض'!$K$5:$K$304,'سندات القبض'!$D$5:$D$304,A108))</f>
        <v/>
      </c>
      <c r="N108" s="46">
        <f>IF(B108="","",SUMIFS('سندات الصرف'!$L$5:$L$304,'سندات الصرف'!$D$5:$D$304,A108))</f>
        <v/>
      </c>
      <c r="O108" s="46">
        <f>IF(B108="","",M108-N108)</f>
        <v/>
      </c>
      <c r="P108" s="47" t="n"/>
      <c r="Q108" s="47" t="n"/>
      <c r="R108" s="48">
        <f>IF(B108="","",COUNTIFS('اعتماد المواد'!$B$5:$B$304,A108,'اعتماد المواد'!$M$5:$M$304,"قيد المراجعة"))</f>
        <v/>
      </c>
      <c r="S108" s="48">
        <f>IF(B108="","",COUNTIFS('عدم المطابقة'!$C$5:$C$304,A108,'عدم المطابقة'!$L$5:$L$304,"مفتوح*"))</f>
        <v/>
      </c>
      <c r="T108" s="48">
        <f>IF(B108="","",COUNTIFS('ملاحظات التسليم'!$B$5:$B$304,A108,'ملاحظات التسليم'!$K$5:$K$304,"مفتوح*"))</f>
        <v/>
      </c>
      <c r="U108" s="49">
        <f>IF(B108="","",IF(Q108&lt;&gt;"","مسلّم نهائياً",IF(P108&lt;&gt;"","فترة الضمان",IF(G108="","بانتظار استلام الموقع",IF(TODAY()&gt;I108,"متأخر عن التعاقد",IF(J108&lt;K108-0.1,"متأخر عن الخطة","جاري التنفيذ"))))))</f>
        <v/>
      </c>
    </row>
    <row r="109">
      <c r="A109" s="39">
        <f>IF(B109="","","PRJ-"&amp;TEXT(ROW()-4,"000"))</f>
        <v/>
      </c>
      <c r="B109" s="40" t="n"/>
      <c r="C109" s="40" t="n"/>
      <c r="D109" s="40" t="n"/>
      <c r="E109" s="40" t="n"/>
      <c r="F109" s="41" t="n"/>
      <c r="G109" s="42">
        <f>IF(B109="","",IFERROR(INDEX('استلام المواقع'!$D$5:$D$304,MATCH(A109,'استلام المواقع'!$B$5:$B$304,0)),""))</f>
        <v/>
      </c>
      <c r="H109" s="43" t="n"/>
      <c r="I109" s="42">
        <f>IF(OR(G109="",H109=""),"",G109+H109)</f>
        <v/>
      </c>
      <c r="J109" s="44" t="n"/>
      <c r="K109" s="45">
        <f>IF(OR(I109="",H109=0),"",MAX(0,MIN(1,(IF(P109&lt;&gt;"",P109,TODAY())-G109)/H109)))</f>
        <v/>
      </c>
      <c r="L109" s="46">
        <f>IF(B109="","",SUMIFS('المستخلصات'!$N$5:$N$304,'المستخلصات'!$B$5:$B$304,A109))</f>
        <v/>
      </c>
      <c r="M109" s="46">
        <f>IF(B109="","",SUMIFS('سندات القبض'!$K$5:$K$304,'سندات القبض'!$D$5:$D$304,A109))</f>
        <v/>
      </c>
      <c r="N109" s="46">
        <f>IF(B109="","",SUMIFS('سندات الصرف'!$L$5:$L$304,'سندات الصرف'!$D$5:$D$304,A109))</f>
        <v/>
      </c>
      <c r="O109" s="46">
        <f>IF(B109="","",M109-N109)</f>
        <v/>
      </c>
      <c r="P109" s="47" t="n"/>
      <c r="Q109" s="47" t="n"/>
      <c r="R109" s="48">
        <f>IF(B109="","",COUNTIFS('اعتماد المواد'!$B$5:$B$304,A109,'اعتماد المواد'!$M$5:$M$304,"قيد المراجعة"))</f>
        <v/>
      </c>
      <c r="S109" s="48">
        <f>IF(B109="","",COUNTIFS('عدم المطابقة'!$C$5:$C$304,A109,'عدم المطابقة'!$L$5:$L$304,"مفتوح*"))</f>
        <v/>
      </c>
      <c r="T109" s="48">
        <f>IF(B109="","",COUNTIFS('ملاحظات التسليم'!$B$5:$B$304,A109,'ملاحظات التسليم'!$K$5:$K$304,"مفتوح*"))</f>
        <v/>
      </c>
      <c r="U109" s="49">
        <f>IF(B109="","",IF(Q109&lt;&gt;"","مسلّم نهائياً",IF(P109&lt;&gt;"","فترة الضمان",IF(G109="","بانتظار استلام الموقع",IF(TODAY()&gt;I109,"متأخر عن التعاقد",IF(J109&lt;K109-0.1,"متأخر عن الخطة","جاري التنفيذ"))))))</f>
        <v/>
      </c>
    </row>
    <row r="110">
      <c r="A110" s="39">
        <f>IF(B110="","","PRJ-"&amp;TEXT(ROW()-4,"000"))</f>
        <v/>
      </c>
      <c r="B110" s="40" t="n"/>
      <c r="C110" s="40" t="n"/>
      <c r="D110" s="40" t="n"/>
      <c r="E110" s="40" t="n"/>
      <c r="F110" s="41" t="n"/>
      <c r="G110" s="42">
        <f>IF(B110="","",IFERROR(INDEX('استلام المواقع'!$D$5:$D$304,MATCH(A110,'استلام المواقع'!$B$5:$B$304,0)),""))</f>
        <v/>
      </c>
      <c r="H110" s="43" t="n"/>
      <c r="I110" s="42">
        <f>IF(OR(G110="",H110=""),"",G110+H110)</f>
        <v/>
      </c>
      <c r="J110" s="44" t="n"/>
      <c r="K110" s="45">
        <f>IF(OR(I110="",H110=0),"",MAX(0,MIN(1,(IF(P110&lt;&gt;"",P110,TODAY())-G110)/H110)))</f>
        <v/>
      </c>
      <c r="L110" s="46">
        <f>IF(B110="","",SUMIFS('المستخلصات'!$N$5:$N$304,'المستخلصات'!$B$5:$B$304,A110))</f>
        <v/>
      </c>
      <c r="M110" s="46">
        <f>IF(B110="","",SUMIFS('سندات القبض'!$K$5:$K$304,'سندات القبض'!$D$5:$D$304,A110))</f>
        <v/>
      </c>
      <c r="N110" s="46">
        <f>IF(B110="","",SUMIFS('سندات الصرف'!$L$5:$L$304,'سندات الصرف'!$D$5:$D$304,A110))</f>
        <v/>
      </c>
      <c r="O110" s="46">
        <f>IF(B110="","",M110-N110)</f>
        <v/>
      </c>
      <c r="P110" s="47" t="n"/>
      <c r="Q110" s="47" t="n"/>
      <c r="R110" s="48">
        <f>IF(B110="","",COUNTIFS('اعتماد المواد'!$B$5:$B$304,A110,'اعتماد المواد'!$M$5:$M$304,"قيد المراجعة"))</f>
        <v/>
      </c>
      <c r="S110" s="48">
        <f>IF(B110="","",COUNTIFS('عدم المطابقة'!$C$5:$C$304,A110,'عدم المطابقة'!$L$5:$L$304,"مفتوح*"))</f>
        <v/>
      </c>
      <c r="T110" s="48">
        <f>IF(B110="","",COUNTIFS('ملاحظات التسليم'!$B$5:$B$304,A110,'ملاحظات التسليم'!$K$5:$K$304,"مفتوح*"))</f>
        <v/>
      </c>
      <c r="U110" s="49">
        <f>IF(B110="","",IF(Q110&lt;&gt;"","مسلّم نهائياً",IF(P110&lt;&gt;"","فترة الضمان",IF(G110="","بانتظار استلام الموقع",IF(TODAY()&gt;I110,"متأخر عن التعاقد",IF(J110&lt;K110-0.1,"متأخر عن الخطة","جاري التنفيذ"))))))</f>
        <v/>
      </c>
    </row>
    <row r="111">
      <c r="A111" s="39">
        <f>IF(B111="","","PRJ-"&amp;TEXT(ROW()-4,"000"))</f>
        <v/>
      </c>
      <c r="B111" s="40" t="n"/>
      <c r="C111" s="40" t="n"/>
      <c r="D111" s="40" t="n"/>
      <c r="E111" s="40" t="n"/>
      <c r="F111" s="41" t="n"/>
      <c r="G111" s="42">
        <f>IF(B111="","",IFERROR(INDEX('استلام المواقع'!$D$5:$D$304,MATCH(A111,'استلام المواقع'!$B$5:$B$304,0)),""))</f>
        <v/>
      </c>
      <c r="H111" s="43" t="n"/>
      <c r="I111" s="42">
        <f>IF(OR(G111="",H111=""),"",G111+H111)</f>
        <v/>
      </c>
      <c r="J111" s="44" t="n"/>
      <c r="K111" s="45">
        <f>IF(OR(I111="",H111=0),"",MAX(0,MIN(1,(IF(P111&lt;&gt;"",P111,TODAY())-G111)/H111)))</f>
        <v/>
      </c>
      <c r="L111" s="46">
        <f>IF(B111="","",SUMIFS('المستخلصات'!$N$5:$N$304,'المستخلصات'!$B$5:$B$304,A111))</f>
        <v/>
      </c>
      <c r="M111" s="46">
        <f>IF(B111="","",SUMIFS('سندات القبض'!$K$5:$K$304,'سندات القبض'!$D$5:$D$304,A111))</f>
        <v/>
      </c>
      <c r="N111" s="46">
        <f>IF(B111="","",SUMIFS('سندات الصرف'!$L$5:$L$304,'سندات الصرف'!$D$5:$D$304,A111))</f>
        <v/>
      </c>
      <c r="O111" s="46">
        <f>IF(B111="","",M111-N111)</f>
        <v/>
      </c>
      <c r="P111" s="47" t="n"/>
      <c r="Q111" s="47" t="n"/>
      <c r="R111" s="48">
        <f>IF(B111="","",COUNTIFS('اعتماد المواد'!$B$5:$B$304,A111,'اعتماد المواد'!$M$5:$M$304,"قيد المراجعة"))</f>
        <v/>
      </c>
      <c r="S111" s="48">
        <f>IF(B111="","",COUNTIFS('عدم المطابقة'!$C$5:$C$304,A111,'عدم المطابقة'!$L$5:$L$304,"مفتوح*"))</f>
        <v/>
      </c>
      <c r="T111" s="48">
        <f>IF(B111="","",COUNTIFS('ملاحظات التسليم'!$B$5:$B$304,A111,'ملاحظات التسليم'!$K$5:$K$304,"مفتوح*"))</f>
        <v/>
      </c>
      <c r="U111" s="49">
        <f>IF(B111="","",IF(Q111&lt;&gt;"","مسلّم نهائياً",IF(P111&lt;&gt;"","فترة الضمان",IF(G111="","بانتظار استلام الموقع",IF(TODAY()&gt;I111,"متأخر عن التعاقد",IF(J111&lt;K111-0.1,"متأخر عن الخطة","جاري التنفيذ"))))))</f>
        <v/>
      </c>
    </row>
    <row r="112">
      <c r="A112" s="39">
        <f>IF(B112="","","PRJ-"&amp;TEXT(ROW()-4,"000"))</f>
        <v/>
      </c>
      <c r="B112" s="40" t="n"/>
      <c r="C112" s="40" t="n"/>
      <c r="D112" s="40" t="n"/>
      <c r="E112" s="40" t="n"/>
      <c r="F112" s="41" t="n"/>
      <c r="G112" s="42">
        <f>IF(B112="","",IFERROR(INDEX('استلام المواقع'!$D$5:$D$304,MATCH(A112,'استلام المواقع'!$B$5:$B$304,0)),""))</f>
        <v/>
      </c>
      <c r="H112" s="43" t="n"/>
      <c r="I112" s="42">
        <f>IF(OR(G112="",H112=""),"",G112+H112)</f>
        <v/>
      </c>
      <c r="J112" s="44" t="n"/>
      <c r="K112" s="45">
        <f>IF(OR(I112="",H112=0),"",MAX(0,MIN(1,(IF(P112&lt;&gt;"",P112,TODAY())-G112)/H112)))</f>
        <v/>
      </c>
      <c r="L112" s="46">
        <f>IF(B112="","",SUMIFS('المستخلصات'!$N$5:$N$304,'المستخلصات'!$B$5:$B$304,A112))</f>
        <v/>
      </c>
      <c r="M112" s="46">
        <f>IF(B112="","",SUMIFS('سندات القبض'!$K$5:$K$304,'سندات القبض'!$D$5:$D$304,A112))</f>
        <v/>
      </c>
      <c r="N112" s="46">
        <f>IF(B112="","",SUMIFS('سندات الصرف'!$L$5:$L$304,'سندات الصرف'!$D$5:$D$304,A112))</f>
        <v/>
      </c>
      <c r="O112" s="46">
        <f>IF(B112="","",M112-N112)</f>
        <v/>
      </c>
      <c r="P112" s="47" t="n"/>
      <c r="Q112" s="47" t="n"/>
      <c r="R112" s="48">
        <f>IF(B112="","",COUNTIFS('اعتماد المواد'!$B$5:$B$304,A112,'اعتماد المواد'!$M$5:$M$304,"قيد المراجعة"))</f>
        <v/>
      </c>
      <c r="S112" s="48">
        <f>IF(B112="","",COUNTIFS('عدم المطابقة'!$C$5:$C$304,A112,'عدم المطابقة'!$L$5:$L$304,"مفتوح*"))</f>
        <v/>
      </c>
      <c r="T112" s="48">
        <f>IF(B112="","",COUNTIFS('ملاحظات التسليم'!$B$5:$B$304,A112,'ملاحظات التسليم'!$K$5:$K$304,"مفتوح*"))</f>
        <v/>
      </c>
      <c r="U112" s="49">
        <f>IF(B112="","",IF(Q112&lt;&gt;"","مسلّم نهائياً",IF(P112&lt;&gt;"","فترة الضمان",IF(G112="","بانتظار استلام الموقع",IF(TODAY()&gt;I112,"متأخر عن التعاقد",IF(J112&lt;K112-0.1,"متأخر عن الخطة","جاري التنفيذ"))))))</f>
        <v/>
      </c>
    </row>
    <row r="113">
      <c r="A113" s="39">
        <f>IF(B113="","","PRJ-"&amp;TEXT(ROW()-4,"000"))</f>
        <v/>
      </c>
      <c r="B113" s="40" t="n"/>
      <c r="C113" s="40" t="n"/>
      <c r="D113" s="40" t="n"/>
      <c r="E113" s="40" t="n"/>
      <c r="F113" s="41" t="n"/>
      <c r="G113" s="42">
        <f>IF(B113="","",IFERROR(INDEX('استلام المواقع'!$D$5:$D$304,MATCH(A113,'استلام المواقع'!$B$5:$B$304,0)),""))</f>
        <v/>
      </c>
      <c r="H113" s="43" t="n"/>
      <c r="I113" s="42">
        <f>IF(OR(G113="",H113=""),"",G113+H113)</f>
        <v/>
      </c>
      <c r="J113" s="44" t="n"/>
      <c r="K113" s="45">
        <f>IF(OR(I113="",H113=0),"",MAX(0,MIN(1,(IF(P113&lt;&gt;"",P113,TODAY())-G113)/H113)))</f>
        <v/>
      </c>
      <c r="L113" s="46">
        <f>IF(B113="","",SUMIFS('المستخلصات'!$N$5:$N$304,'المستخلصات'!$B$5:$B$304,A113))</f>
        <v/>
      </c>
      <c r="M113" s="46">
        <f>IF(B113="","",SUMIFS('سندات القبض'!$K$5:$K$304,'سندات القبض'!$D$5:$D$304,A113))</f>
        <v/>
      </c>
      <c r="N113" s="46">
        <f>IF(B113="","",SUMIFS('سندات الصرف'!$L$5:$L$304,'سندات الصرف'!$D$5:$D$304,A113))</f>
        <v/>
      </c>
      <c r="O113" s="46">
        <f>IF(B113="","",M113-N113)</f>
        <v/>
      </c>
      <c r="P113" s="47" t="n"/>
      <c r="Q113" s="47" t="n"/>
      <c r="R113" s="48">
        <f>IF(B113="","",COUNTIFS('اعتماد المواد'!$B$5:$B$304,A113,'اعتماد المواد'!$M$5:$M$304,"قيد المراجعة"))</f>
        <v/>
      </c>
      <c r="S113" s="48">
        <f>IF(B113="","",COUNTIFS('عدم المطابقة'!$C$5:$C$304,A113,'عدم المطابقة'!$L$5:$L$304,"مفتوح*"))</f>
        <v/>
      </c>
      <c r="T113" s="48">
        <f>IF(B113="","",COUNTIFS('ملاحظات التسليم'!$B$5:$B$304,A113,'ملاحظات التسليم'!$K$5:$K$304,"مفتوح*"))</f>
        <v/>
      </c>
      <c r="U113" s="49">
        <f>IF(B113="","",IF(Q113&lt;&gt;"","مسلّم نهائياً",IF(P113&lt;&gt;"","فترة الضمان",IF(G113="","بانتظار استلام الموقع",IF(TODAY()&gt;I113,"متأخر عن التعاقد",IF(J113&lt;K113-0.1,"متأخر عن الخطة","جاري التنفيذ"))))))</f>
        <v/>
      </c>
    </row>
    <row r="114">
      <c r="A114" s="39">
        <f>IF(B114="","","PRJ-"&amp;TEXT(ROW()-4,"000"))</f>
        <v/>
      </c>
      <c r="B114" s="40" t="n"/>
      <c r="C114" s="40" t="n"/>
      <c r="D114" s="40" t="n"/>
      <c r="E114" s="40" t="n"/>
      <c r="F114" s="41" t="n"/>
      <c r="G114" s="42">
        <f>IF(B114="","",IFERROR(INDEX('استلام المواقع'!$D$5:$D$304,MATCH(A114,'استلام المواقع'!$B$5:$B$304,0)),""))</f>
        <v/>
      </c>
      <c r="H114" s="43" t="n"/>
      <c r="I114" s="42">
        <f>IF(OR(G114="",H114=""),"",G114+H114)</f>
        <v/>
      </c>
      <c r="J114" s="44" t="n"/>
      <c r="K114" s="45">
        <f>IF(OR(I114="",H114=0),"",MAX(0,MIN(1,(IF(P114&lt;&gt;"",P114,TODAY())-G114)/H114)))</f>
        <v/>
      </c>
      <c r="L114" s="46">
        <f>IF(B114="","",SUMIFS('المستخلصات'!$N$5:$N$304,'المستخلصات'!$B$5:$B$304,A114))</f>
        <v/>
      </c>
      <c r="M114" s="46">
        <f>IF(B114="","",SUMIFS('سندات القبض'!$K$5:$K$304,'سندات القبض'!$D$5:$D$304,A114))</f>
        <v/>
      </c>
      <c r="N114" s="46">
        <f>IF(B114="","",SUMIFS('سندات الصرف'!$L$5:$L$304,'سندات الصرف'!$D$5:$D$304,A114))</f>
        <v/>
      </c>
      <c r="O114" s="46">
        <f>IF(B114="","",M114-N114)</f>
        <v/>
      </c>
      <c r="P114" s="47" t="n"/>
      <c r="Q114" s="47" t="n"/>
      <c r="R114" s="48">
        <f>IF(B114="","",COUNTIFS('اعتماد المواد'!$B$5:$B$304,A114,'اعتماد المواد'!$M$5:$M$304,"قيد المراجعة"))</f>
        <v/>
      </c>
      <c r="S114" s="48">
        <f>IF(B114="","",COUNTIFS('عدم المطابقة'!$C$5:$C$304,A114,'عدم المطابقة'!$L$5:$L$304,"مفتوح*"))</f>
        <v/>
      </c>
      <c r="T114" s="48">
        <f>IF(B114="","",COUNTIFS('ملاحظات التسليم'!$B$5:$B$304,A114,'ملاحظات التسليم'!$K$5:$K$304,"مفتوح*"))</f>
        <v/>
      </c>
      <c r="U114" s="49">
        <f>IF(B114="","",IF(Q114&lt;&gt;"","مسلّم نهائياً",IF(P114&lt;&gt;"","فترة الضمان",IF(G114="","بانتظار استلام الموقع",IF(TODAY()&gt;I114,"متأخر عن التعاقد",IF(J114&lt;K114-0.1,"متأخر عن الخطة","جاري التنفيذ"))))))</f>
        <v/>
      </c>
    </row>
    <row r="115">
      <c r="A115" s="39">
        <f>IF(B115="","","PRJ-"&amp;TEXT(ROW()-4,"000"))</f>
        <v/>
      </c>
      <c r="B115" s="40" t="n"/>
      <c r="C115" s="40" t="n"/>
      <c r="D115" s="40" t="n"/>
      <c r="E115" s="40" t="n"/>
      <c r="F115" s="41" t="n"/>
      <c r="G115" s="42">
        <f>IF(B115="","",IFERROR(INDEX('استلام المواقع'!$D$5:$D$304,MATCH(A115,'استلام المواقع'!$B$5:$B$304,0)),""))</f>
        <v/>
      </c>
      <c r="H115" s="43" t="n"/>
      <c r="I115" s="42">
        <f>IF(OR(G115="",H115=""),"",G115+H115)</f>
        <v/>
      </c>
      <c r="J115" s="44" t="n"/>
      <c r="K115" s="45">
        <f>IF(OR(I115="",H115=0),"",MAX(0,MIN(1,(IF(P115&lt;&gt;"",P115,TODAY())-G115)/H115)))</f>
        <v/>
      </c>
      <c r="L115" s="46">
        <f>IF(B115="","",SUMIFS('المستخلصات'!$N$5:$N$304,'المستخلصات'!$B$5:$B$304,A115))</f>
        <v/>
      </c>
      <c r="M115" s="46">
        <f>IF(B115="","",SUMIFS('سندات القبض'!$K$5:$K$304,'سندات القبض'!$D$5:$D$304,A115))</f>
        <v/>
      </c>
      <c r="N115" s="46">
        <f>IF(B115="","",SUMIFS('سندات الصرف'!$L$5:$L$304,'سندات الصرف'!$D$5:$D$304,A115))</f>
        <v/>
      </c>
      <c r="O115" s="46">
        <f>IF(B115="","",M115-N115)</f>
        <v/>
      </c>
      <c r="P115" s="47" t="n"/>
      <c r="Q115" s="47" t="n"/>
      <c r="R115" s="48">
        <f>IF(B115="","",COUNTIFS('اعتماد المواد'!$B$5:$B$304,A115,'اعتماد المواد'!$M$5:$M$304,"قيد المراجعة"))</f>
        <v/>
      </c>
      <c r="S115" s="48">
        <f>IF(B115="","",COUNTIFS('عدم المطابقة'!$C$5:$C$304,A115,'عدم المطابقة'!$L$5:$L$304,"مفتوح*"))</f>
        <v/>
      </c>
      <c r="T115" s="48">
        <f>IF(B115="","",COUNTIFS('ملاحظات التسليم'!$B$5:$B$304,A115,'ملاحظات التسليم'!$K$5:$K$304,"مفتوح*"))</f>
        <v/>
      </c>
      <c r="U115" s="49">
        <f>IF(B115="","",IF(Q115&lt;&gt;"","مسلّم نهائياً",IF(P115&lt;&gt;"","فترة الضمان",IF(G115="","بانتظار استلام الموقع",IF(TODAY()&gt;I115,"متأخر عن التعاقد",IF(J115&lt;K115-0.1,"متأخر عن الخطة","جاري التنفيذ"))))))</f>
        <v/>
      </c>
    </row>
    <row r="116">
      <c r="A116" s="39">
        <f>IF(B116="","","PRJ-"&amp;TEXT(ROW()-4,"000"))</f>
        <v/>
      </c>
      <c r="B116" s="40" t="n"/>
      <c r="C116" s="40" t="n"/>
      <c r="D116" s="40" t="n"/>
      <c r="E116" s="40" t="n"/>
      <c r="F116" s="41" t="n"/>
      <c r="G116" s="42">
        <f>IF(B116="","",IFERROR(INDEX('استلام المواقع'!$D$5:$D$304,MATCH(A116,'استلام المواقع'!$B$5:$B$304,0)),""))</f>
        <v/>
      </c>
      <c r="H116" s="43" t="n"/>
      <c r="I116" s="42">
        <f>IF(OR(G116="",H116=""),"",G116+H116)</f>
        <v/>
      </c>
      <c r="J116" s="44" t="n"/>
      <c r="K116" s="45">
        <f>IF(OR(I116="",H116=0),"",MAX(0,MIN(1,(IF(P116&lt;&gt;"",P116,TODAY())-G116)/H116)))</f>
        <v/>
      </c>
      <c r="L116" s="46">
        <f>IF(B116="","",SUMIFS('المستخلصات'!$N$5:$N$304,'المستخلصات'!$B$5:$B$304,A116))</f>
        <v/>
      </c>
      <c r="M116" s="46">
        <f>IF(B116="","",SUMIFS('سندات القبض'!$K$5:$K$304,'سندات القبض'!$D$5:$D$304,A116))</f>
        <v/>
      </c>
      <c r="N116" s="46">
        <f>IF(B116="","",SUMIFS('سندات الصرف'!$L$5:$L$304,'سندات الصرف'!$D$5:$D$304,A116))</f>
        <v/>
      </c>
      <c r="O116" s="46">
        <f>IF(B116="","",M116-N116)</f>
        <v/>
      </c>
      <c r="P116" s="47" t="n"/>
      <c r="Q116" s="47" t="n"/>
      <c r="R116" s="48">
        <f>IF(B116="","",COUNTIFS('اعتماد المواد'!$B$5:$B$304,A116,'اعتماد المواد'!$M$5:$M$304,"قيد المراجعة"))</f>
        <v/>
      </c>
      <c r="S116" s="48">
        <f>IF(B116="","",COUNTIFS('عدم المطابقة'!$C$5:$C$304,A116,'عدم المطابقة'!$L$5:$L$304,"مفتوح*"))</f>
        <v/>
      </c>
      <c r="T116" s="48">
        <f>IF(B116="","",COUNTIFS('ملاحظات التسليم'!$B$5:$B$304,A116,'ملاحظات التسليم'!$K$5:$K$304,"مفتوح*"))</f>
        <v/>
      </c>
      <c r="U116" s="49">
        <f>IF(B116="","",IF(Q116&lt;&gt;"","مسلّم نهائياً",IF(P116&lt;&gt;"","فترة الضمان",IF(G116="","بانتظار استلام الموقع",IF(TODAY()&gt;I116,"متأخر عن التعاقد",IF(J116&lt;K116-0.1,"متأخر عن الخطة","جاري التنفيذ"))))))</f>
        <v/>
      </c>
    </row>
    <row r="117">
      <c r="A117" s="39">
        <f>IF(B117="","","PRJ-"&amp;TEXT(ROW()-4,"000"))</f>
        <v/>
      </c>
      <c r="B117" s="40" t="n"/>
      <c r="C117" s="40" t="n"/>
      <c r="D117" s="40" t="n"/>
      <c r="E117" s="40" t="n"/>
      <c r="F117" s="41" t="n"/>
      <c r="G117" s="42">
        <f>IF(B117="","",IFERROR(INDEX('استلام المواقع'!$D$5:$D$304,MATCH(A117,'استلام المواقع'!$B$5:$B$304,0)),""))</f>
        <v/>
      </c>
      <c r="H117" s="43" t="n"/>
      <c r="I117" s="42">
        <f>IF(OR(G117="",H117=""),"",G117+H117)</f>
        <v/>
      </c>
      <c r="J117" s="44" t="n"/>
      <c r="K117" s="45">
        <f>IF(OR(I117="",H117=0),"",MAX(0,MIN(1,(IF(P117&lt;&gt;"",P117,TODAY())-G117)/H117)))</f>
        <v/>
      </c>
      <c r="L117" s="46">
        <f>IF(B117="","",SUMIFS('المستخلصات'!$N$5:$N$304,'المستخلصات'!$B$5:$B$304,A117))</f>
        <v/>
      </c>
      <c r="M117" s="46">
        <f>IF(B117="","",SUMIFS('سندات القبض'!$K$5:$K$304,'سندات القبض'!$D$5:$D$304,A117))</f>
        <v/>
      </c>
      <c r="N117" s="46">
        <f>IF(B117="","",SUMIFS('سندات الصرف'!$L$5:$L$304,'سندات الصرف'!$D$5:$D$304,A117))</f>
        <v/>
      </c>
      <c r="O117" s="46">
        <f>IF(B117="","",M117-N117)</f>
        <v/>
      </c>
      <c r="P117" s="47" t="n"/>
      <c r="Q117" s="47" t="n"/>
      <c r="R117" s="48">
        <f>IF(B117="","",COUNTIFS('اعتماد المواد'!$B$5:$B$304,A117,'اعتماد المواد'!$M$5:$M$304,"قيد المراجعة"))</f>
        <v/>
      </c>
      <c r="S117" s="48">
        <f>IF(B117="","",COUNTIFS('عدم المطابقة'!$C$5:$C$304,A117,'عدم المطابقة'!$L$5:$L$304,"مفتوح*"))</f>
        <v/>
      </c>
      <c r="T117" s="48">
        <f>IF(B117="","",COUNTIFS('ملاحظات التسليم'!$B$5:$B$304,A117,'ملاحظات التسليم'!$K$5:$K$304,"مفتوح*"))</f>
        <v/>
      </c>
      <c r="U117" s="49">
        <f>IF(B117="","",IF(Q117&lt;&gt;"","مسلّم نهائياً",IF(P117&lt;&gt;"","فترة الضمان",IF(G117="","بانتظار استلام الموقع",IF(TODAY()&gt;I117,"متأخر عن التعاقد",IF(J117&lt;K117-0.1,"متأخر عن الخطة","جاري التنفيذ"))))))</f>
        <v/>
      </c>
    </row>
    <row r="118">
      <c r="A118" s="39">
        <f>IF(B118="","","PRJ-"&amp;TEXT(ROW()-4,"000"))</f>
        <v/>
      </c>
      <c r="B118" s="40" t="n"/>
      <c r="C118" s="40" t="n"/>
      <c r="D118" s="40" t="n"/>
      <c r="E118" s="40" t="n"/>
      <c r="F118" s="41" t="n"/>
      <c r="G118" s="42">
        <f>IF(B118="","",IFERROR(INDEX('استلام المواقع'!$D$5:$D$304,MATCH(A118,'استلام المواقع'!$B$5:$B$304,0)),""))</f>
        <v/>
      </c>
      <c r="H118" s="43" t="n"/>
      <c r="I118" s="42">
        <f>IF(OR(G118="",H118=""),"",G118+H118)</f>
        <v/>
      </c>
      <c r="J118" s="44" t="n"/>
      <c r="K118" s="45">
        <f>IF(OR(I118="",H118=0),"",MAX(0,MIN(1,(IF(P118&lt;&gt;"",P118,TODAY())-G118)/H118)))</f>
        <v/>
      </c>
      <c r="L118" s="46">
        <f>IF(B118="","",SUMIFS('المستخلصات'!$N$5:$N$304,'المستخلصات'!$B$5:$B$304,A118))</f>
        <v/>
      </c>
      <c r="M118" s="46">
        <f>IF(B118="","",SUMIFS('سندات القبض'!$K$5:$K$304,'سندات القبض'!$D$5:$D$304,A118))</f>
        <v/>
      </c>
      <c r="N118" s="46">
        <f>IF(B118="","",SUMIFS('سندات الصرف'!$L$5:$L$304,'سندات الصرف'!$D$5:$D$304,A118))</f>
        <v/>
      </c>
      <c r="O118" s="46">
        <f>IF(B118="","",M118-N118)</f>
        <v/>
      </c>
      <c r="P118" s="47" t="n"/>
      <c r="Q118" s="47" t="n"/>
      <c r="R118" s="48">
        <f>IF(B118="","",COUNTIFS('اعتماد المواد'!$B$5:$B$304,A118,'اعتماد المواد'!$M$5:$M$304,"قيد المراجعة"))</f>
        <v/>
      </c>
      <c r="S118" s="48">
        <f>IF(B118="","",COUNTIFS('عدم المطابقة'!$C$5:$C$304,A118,'عدم المطابقة'!$L$5:$L$304,"مفتوح*"))</f>
        <v/>
      </c>
      <c r="T118" s="48">
        <f>IF(B118="","",COUNTIFS('ملاحظات التسليم'!$B$5:$B$304,A118,'ملاحظات التسليم'!$K$5:$K$304,"مفتوح*"))</f>
        <v/>
      </c>
      <c r="U118" s="49">
        <f>IF(B118="","",IF(Q118&lt;&gt;"","مسلّم نهائياً",IF(P118&lt;&gt;"","فترة الضمان",IF(G118="","بانتظار استلام الموقع",IF(TODAY()&gt;I118,"متأخر عن التعاقد",IF(J118&lt;K118-0.1,"متأخر عن الخطة","جاري التنفيذ"))))))</f>
        <v/>
      </c>
    </row>
    <row r="119">
      <c r="A119" s="39">
        <f>IF(B119="","","PRJ-"&amp;TEXT(ROW()-4,"000"))</f>
        <v/>
      </c>
      <c r="B119" s="40" t="n"/>
      <c r="C119" s="40" t="n"/>
      <c r="D119" s="40" t="n"/>
      <c r="E119" s="40" t="n"/>
      <c r="F119" s="41" t="n"/>
      <c r="G119" s="42">
        <f>IF(B119="","",IFERROR(INDEX('استلام المواقع'!$D$5:$D$304,MATCH(A119,'استلام المواقع'!$B$5:$B$304,0)),""))</f>
        <v/>
      </c>
      <c r="H119" s="43" t="n"/>
      <c r="I119" s="42">
        <f>IF(OR(G119="",H119=""),"",G119+H119)</f>
        <v/>
      </c>
      <c r="J119" s="44" t="n"/>
      <c r="K119" s="45">
        <f>IF(OR(I119="",H119=0),"",MAX(0,MIN(1,(IF(P119&lt;&gt;"",P119,TODAY())-G119)/H119)))</f>
        <v/>
      </c>
      <c r="L119" s="46">
        <f>IF(B119="","",SUMIFS('المستخلصات'!$N$5:$N$304,'المستخلصات'!$B$5:$B$304,A119))</f>
        <v/>
      </c>
      <c r="M119" s="46">
        <f>IF(B119="","",SUMIFS('سندات القبض'!$K$5:$K$304,'سندات القبض'!$D$5:$D$304,A119))</f>
        <v/>
      </c>
      <c r="N119" s="46">
        <f>IF(B119="","",SUMIFS('سندات الصرف'!$L$5:$L$304,'سندات الصرف'!$D$5:$D$304,A119))</f>
        <v/>
      </c>
      <c r="O119" s="46">
        <f>IF(B119="","",M119-N119)</f>
        <v/>
      </c>
      <c r="P119" s="47" t="n"/>
      <c r="Q119" s="47" t="n"/>
      <c r="R119" s="48">
        <f>IF(B119="","",COUNTIFS('اعتماد المواد'!$B$5:$B$304,A119,'اعتماد المواد'!$M$5:$M$304,"قيد المراجعة"))</f>
        <v/>
      </c>
      <c r="S119" s="48">
        <f>IF(B119="","",COUNTIFS('عدم المطابقة'!$C$5:$C$304,A119,'عدم المطابقة'!$L$5:$L$304,"مفتوح*"))</f>
        <v/>
      </c>
      <c r="T119" s="48">
        <f>IF(B119="","",COUNTIFS('ملاحظات التسليم'!$B$5:$B$304,A119,'ملاحظات التسليم'!$K$5:$K$304,"مفتوح*"))</f>
        <v/>
      </c>
      <c r="U119" s="49">
        <f>IF(B119="","",IF(Q119&lt;&gt;"","مسلّم نهائياً",IF(P119&lt;&gt;"","فترة الضمان",IF(G119="","بانتظار استلام الموقع",IF(TODAY()&gt;I119,"متأخر عن التعاقد",IF(J119&lt;K119-0.1,"متأخر عن الخطة","جاري التنفيذ"))))))</f>
        <v/>
      </c>
    </row>
    <row r="120">
      <c r="A120" s="39">
        <f>IF(B120="","","PRJ-"&amp;TEXT(ROW()-4,"000"))</f>
        <v/>
      </c>
      <c r="B120" s="40" t="n"/>
      <c r="C120" s="40" t="n"/>
      <c r="D120" s="40" t="n"/>
      <c r="E120" s="40" t="n"/>
      <c r="F120" s="41" t="n"/>
      <c r="G120" s="42">
        <f>IF(B120="","",IFERROR(INDEX('استلام المواقع'!$D$5:$D$304,MATCH(A120,'استلام المواقع'!$B$5:$B$304,0)),""))</f>
        <v/>
      </c>
      <c r="H120" s="43" t="n"/>
      <c r="I120" s="42">
        <f>IF(OR(G120="",H120=""),"",G120+H120)</f>
        <v/>
      </c>
      <c r="J120" s="44" t="n"/>
      <c r="K120" s="45">
        <f>IF(OR(I120="",H120=0),"",MAX(0,MIN(1,(IF(P120&lt;&gt;"",P120,TODAY())-G120)/H120)))</f>
        <v/>
      </c>
      <c r="L120" s="46">
        <f>IF(B120="","",SUMIFS('المستخلصات'!$N$5:$N$304,'المستخلصات'!$B$5:$B$304,A120))</f>
        <v/>
      </c>
      <c r="M120" s="46">
        <f>IF(B120="","",SUMIFS('سندات القبض'!$K$5:$K$304,'سندات القبض'!$D$5:$D$304,A120))</f>
        <v/>
      </c>
      <c r="N120" s="46">
        <f>IF(B120="","",SUMIFS('سندات الصرف'!$L$5:$L$304,'سندات الصرف'!$D$5:$D$304,A120))</f>
        <v/>
      </c>
      <c r="O120" s="46">
        <f>IF(B120="","",M120-N120)</f>
        <v/>
      </c>
      <c r="P120" s="47" t="n"/>
      <c r="Q120" s="47" t="n"/>
      <c r="R120" s="48">
        <f>IF(B120="","",COUNTIFS('اعتماد المواد'!$B$5:$B$304,A120,'اعتماد المواد'!$M$5:$M$304,"قيد المراجعة"))</f>
        <v/>
      </c>
      <c r="S120" s="48">
        <f>IF(B120="","",COUNTIFS('عدم المطابقة'!$C$5:$C$304,A120,'عدم المطابقة'!$L$5:$L$304,"مفتوح*"))</f>
        <v/>
      </c>
      <c r="T120" s="48">
        <f>IF(B120="","",COUNTIFS('ملاحظات التسليم'!$B$5:$B$304,A120,'ملاحظات التسليم'!$K$5:$K$304,"مفتوح*"))</f>
        <v/>
      </c>
      <c r="U120" s="49">
        <f>IF(B120="","",IF(Q120&lt;&gt;"","مسلّم نهائياً",IF(P120&lt;&gt;"","فترة الضمان",IF(G120="","بانتظار استلام الموقع",IF(TODAY()&gt;I120,"متأخر عن التعاقد",IF(J120&lt;K120-0.1,"متأخر عن الخطة","جاري التنفيذ"))))))</f>
        <v/>
      </c>
    </row>
    <row r="121">
      <c r="A121" s="39">
        <f>IF(B121="","","PRJ-"&amp;TEXT(ROW()-4,"000"))</f>
        <v/>
      </c>
      <c r="B121" s="40" t="n"/>
      <c r="C121" s="40" t="n"/>
      <c r="D121" s="40" t="n"/>
      <c r="E121" s="40" t="n"/>
      <c r="F121" s="41" t="n"/>
      <c r="G121" s="42">
        <f>IF(B121="","",IFERROR(INDEX('استلام المواقع'!$D$5:$D$304,MATCH(A121,'استلام المواقع'!$B$5:$B$304,0)),""))</f>
        <v/>
      </c>
      <c r="H121" s="43" t="n"/>
      <c r="I121" s="42">
        <f>IF(OR(G121="",H121=""),"",G121+H121)</f>
        <v/>
      </c>
      <c r="J121" s="44" t="n"/>
      <c r="K121" s="45">
        <f>IF(OR(I121="",H121=0),"",MAX(0,MIN(1,(IF(P121&lt;&gt;"",P121,TODAY())-G121)/H121)))</f>
        <v/>
      </c>
      <c r="L121" s="46">
        <f>IF(B121="","",SUMIFS('المستخلصات'!$N$5:$N$304,'المستخلصات'!$B$5:$B$304,A121))</f>
        <v/>
      </c>
      <c r="M121" s="46">
        <f>IF(B121="","",SUMIFS('سندات القبض'!$K$5:$K$304,'سندات القبض'!$D$5:$D$304,A121))</f>
        <v/>
      </c>
      <c r="N121" s="46">
        <f>IF(B121="","",SUMIFS('سندات الصرف'!$L$5:$L$304,'سندات الصرف'!$D$5:$D$304,A121))</f>
        <v/>
      </c>
      <c r="O121" s="46">
        <f>IF(B121="","",M121-N121)</f>
        <v/>
      </c>
      <c r="P121" s="47" t="n"/>
      <c r="Q121" s="47" t="n"/>
      <c r="R121" s="48">
        <f>IF(B121="","",COUNTIFS('اعتماد المواد'!$B$5:$B$304,A121,'اعتماد المواد'!$M$5:$M$304,"قيد المراجعة"))</f>
        <v/>
      </c>
      <c r="S121" s="48">
        <f>IF(B121="","",COUNTIFS('عدم المطابقة'!$C$5:$C$304,A121,'عدم المطابقة'!$L$5:$L$304,"مفتوح*"))</f>
        <v/>
      </c>
      <c r="T121" s="48">
        <f>IF(B121="","",COUNTIFS('ملاحظات التسليم'!$B$5:$B$304,A121,'ملاحظات التسليم'!$K$5:$K$304,"مفتوح*"))</f>
        <v/>
      </c>
      <c r="U121" s="49">
        <f>IF(B121="","",IF(Q121&lt;&gt;"","مسلّم نهائياً",IF(P121&lt;&gt;"","فترة الضمان",IF(G121="","بانتظار استلام الموقع",IF(TODAY()&gt;I121,"متأخر عن التعاقد",IF(J121&lt;K121-0.1,"متأخر عن الخطة","جاري التنفيذ"))))))</f>
        <v/>
      </c>
    </row>
    <row r="122">
      <c r="A122" s="39">
        <f>IF(B122="","","PRJ-"&amp;TEXT(ROW()-4,"000"))</f>
        <v/>
      </c>
      <c r="B122" s="40" t="n"/>
      <c r="C122" s="40" t="n"/>
      <c r="D122" s="40" t="n"/>
      <c r="E122" s="40" t="n"/>
      <c r="F122" s="41" t="n"/>
      <c r="G122" s="42">
        <f>IF(B122="","",IFERROR(INDEX('استلام المواقع'!$D$5:$D$304,MATCH(A122,'استلام المواقع'!$B$5:$B$304,0)),""))</f>
        <v/>
      </c>
      <c r="H122" s="43" t="n"/>
      <c r="I122" s="42">
        <f>IF(OR(G122="",H122=""),"",G122+H122)</f>
        <v/>
      </c>
      <c r="J122" s="44" t="n"/>
      <c r="K122" s="45">
        <f>IF(OR(I122="",H122=0),"",MAX(0,MIN(1,(IF(P122&lt;&gt;"",P122,TODAY())-G122)/H122)))</f>
        <v/>
      </c>
      <c r="L122" s="46">
        <f>IF(B122="","",SUMIFS('المستخلصات'!$N$5:$N$304,'المستخلصات'!$B$5:$B$304,A122))</f>
        <v/>
      </c>
      <c r="M122" s="46">
        <f>IF(B122="","",SUMIFS('سندات القبض'!$K$5:$K$304,'سندات القبض'!$D$5:$D$304,A122))</f>
        <v/>
      </c>
      <c r="N122" s="46">
        <f>IF(B122="","",SUMIFS('سندات الصرف'!$L$5:$L$304,'سندات الصرف'!$D$5:$D$304,A122))</f>
        <v/>
      </c>
      <c r="O122" s="46">
        <f>IF(B122="","",M122-N122)</f>
        <v/>
      </c>
      <c r="P122" s="47" t="n"/>
      <c r="Q122" s="47" t="n"/>
      <c r="R122" s="48">
        <f>IF(B122="","",COUNTIFS('اعتماد المواد'!$B$5:$B$304,A122,'اعتماد المواد'!$M$5:$M$304,"قيد المراجعة"))</f>
        <v/>
      </c>
      <c r="S122" s="48">
        <f>IF(B122="","",COUNTIFS('عدم المطابقة'!$C$5:$C$304,A122,'عدم المطابقة'!$L$5:$L$304,"مفتوح*"))</f>
        <v/>
      </c>
      <c r="T122" s="48">
        <f>IF(B122="","",COUNTIFS('ملاحظات التسليم'!$B$5:$B$304,A122,'ملاحظات التسليم'!$K$5:$K$304,"مفتوح*"))</f>
        <v/>
      </c>
      <c r="U122" s="49">
        <f>IF(B122="","",IF(Q122&lt;&gt;"","مسلّم نهائياً",IF(P122&lt;&gt;"","فترة الضمان",IF(G122="","بانتظار استلام الموقع",IF(TODAY()&gt;I122,"متأخر عن التعاقد",IF(J122&lt;K122-0.1,"متأخر عن الخطة","جاري التنفيذ"))))))</f>
        <v/>
      </c>
    </row>
    <row r="123">
      <c r="A123" s="39">
        <f>IF(B123="","","PRJ-"&amp;TEXT(ROW()-4,"000"))</f>
        <v/>
      </c>
      <c r="B123" s="40" t="n"/>
      <c r="C123" s="40" t="n"/>
      <c r="D123" s="40" t="n"/>
      <c r="E123" s="40" t="n"/>
      <c r="F123" s="41" t="n"/>
      <c r="G123" s="42">
        <f>IF(B123="","",IFERROR(INDEX('استلام المواقع'!$D$5:$D$304,MATCH(A123,'استلام المواقع'!$B$5:$B$304,0)),""))</f>
        <v/>
      </c>
      <c r="H123" s="43" t="n"/>
      <c r="I123" s="42">
        <f>IF(OR(G123="",H123=""),"",G123+H123)</f>
        <v/>
      </c>
      <c r="J123" s="44" t="n"/>
      <c r="K123" s="45">
        <f>IF(OR(I123="",H123=0),"",MAX(0,MIN(1,(IF(P123&lt;&gt;"",P123,TODAY())-G123)/H123)))</f>
        <v/>
      </c>
      <c r="L123" s="46">
        <f>IF(B123="","",SUMIFS('المستخلصات'!$N$5:$N$304,'المستخلصات'!$B$5:$B$304,A123))</f>
        <v/>
      </c>
      <c r="M123" s="46">
        <f>IF(B123="","",SUMIFS('سندات القبض'!$K$5:$K$304,'سندات القبض'!$D$5:$D$304,A123))</f>
        <v/>
      </c>
      <c r="N123" s="46">
        <f>IF(B123="","",SUMIFS('سندات الصرف'!$L$5:$L$304,'سندات الصرف'!$D$5:$D$304,A123))</f>
        <v/>
      </c>
      <c r="O123" s="46">
        <f>IF(B123="","",M123-N123)</f>
        <v/>
      </c>
      <c r="P123" s="47" t="n"/>
      <c r="Q123" s="47" t="n"/>
      <c r="R123" s="48">
        <f>IF(B123="","",COUNTIFS('اعتماد المواد'!$B$5:$B$304,A123,'اعتماد المواد'!$M$5:$M$304,"قيد المراجعة"))</f>
        <v/>
      </c>
      <c r="S123" s="48">
        <f>IF(B123="","",COUNTIFS('عدم المطابقة'!$C$5:$C$304,A123,'عدم المطابقة'!$L$5:$L$304,"مفتوح*"))</f>
        <v/>
      </c>
      <c r="T123" s="48">
        <f>IF(B123="","",COUNTIFS('ملاحظات التسليم'!$B$5:$B$304,A123,'ملاحظات التسليم'!$K$5:$K$304,"مفتوح*"))</f>
        <v/>
      </c>
      <c r="U123" s="49">
        <f>IF(B123="","",IF(Q123&lt;&gt;"","مسلّم نهائياً",IF(P123&lt;&gt;"","فترة الضمان",IF(G123="","بانتظار استلام الموقع",IF(TODAY()&gt;I123,"متأخر عن التعاقد",IF(J123&lt;K123-0.1,"متأخر عن الخطة","جاري التنفيذ"))))))</f>
        <v/>
      </c>
    </row>
    <row r="124">
      <c r="A124" s="39">
        <f>IF(B124="","","PRJ-"&amp;TEXT(ROW()-4,"000"))</f>
        <v/>
      </c>
      <c r="B124" s="40" t="n"/>
      <c r="C124" s="40" t="n"/>
      <c r="D124" s="40" t="n"/>
      <c r="E124" s="40" t="n"/>
      <c r="F124" s="41" t="n"/>
      <c r="G124" s="42">
        <f>IF(B124="","",IFERROR(INDEX('استلام المواقع'!$D$5:$D$304,MATCH(A124,'استلام المواقع'!$B$5:$B$304,0)),""))</f>
        <v/>
      </c>
      <c r="H124" s="43" t="n"/>
      <c r="I124" s="42">
        <f>IF(OR(G124="",H124=""),"",G124+H124)</f>
        <v/>
      </c>
      <c r="J124" s="44" t="n"/>
      <c r="K124" s="45">
        <f>IF(OR(I124="",H124=0),"",MAX(0,MIN(1,(IF(P124&lt;&gt;"",P124,TODAY())-G124)/H124)))</f>
        <v/>
      </c>
      <c r="L124" s="46">
        <f>IF(B124="","",SUMIFS('المستخلصات'!$N$5:$N$304,'المستخلصات'!$B$5:$B$304,A124))</f>
        <v/>
      </c>
      <c r="M124" s="46">
        <f>IF(B124="","",SUMIFS('سندات القبض'!$K$5:$K$304,'سندات القبض'!$D$5:$D$304,A124))</f>
        <v/>
      </c>
      <c r="N124" s="46">
        <f>IF(B124="","",SUMIFS('سندات الصرف'!$L$5:$L$304,'سندات الصرف'!$D$5:$D$304,A124))</f>
        <v/>
      </c>
      <c r="O124" s="46">
        <f>IF(B124="","",M124-N124)</f>
        <v/>
      </c>
      <c r="P124" s="47" t="n"/>
      <c r="Q124" s="47" t="n"/>
      <c r="R124" s="48">
        <f>IF(B124="","",COUNTIFS('اعتماد المواد'!$B$5:$B$304,A124,'اعتماد المواد'!$M$5:$M$304,"قيد المراجعة"))</f>
        <v/>
      </c>
      <c r="S124" s="48">
        <f>IF(B124="","",COUNTIFS('عدم المطابقة'!$C$5:$C$304,A124,'عدم المطابقة'!$L$5:$L$304,"مفتوح*"))</f>
        <v/>
      </c>
      <c r="T124" s="48">
        <f>IF(B124="","",COUNTIFS('ملاحظات التسليم'!$B$5:$B$304,A124,'ملاحظات التسليم'!$K$5:$K$304,"مفتوح*"))</f>
        <v/>
      </c>
      <c r="U124" s="49">
        <f>IF(B124="","",IF(Q124&lt;&gt;"","مسلّم نهائياً",IF(P124&lt;&gt;"","فترة الضمان",IF(G124="","بانتظار استلام الموقع",IF(TODAY()&gt;I124,"متأخر عن التعاقد",IF(J124&lt;K124-0.1,"متأخر عن الخطة","جاري التنفيذ"))))))</f>
        <v/>
      </c>
    </row>
    <row r="125">
      <c r="A125" s="39">
        <f>IF(B125="","","PRJ-"&amp;TEXT(ROW()-4,"000"))</f>
        <v/>
      </c>
      <c r="B125" s="40" t="n"/>
      <c r="C125" s="40" t="n"/>
      <c r="D125" s="40" t="n"/>
      <c r="E125" s="40" t="n"/>
      <c r="F125" s="41" t="n"/>
      <c r="G125" s="42">
        <f>IF(B125="","",IFERROR(INDEX('استلام المواقع'!$D$5:$D$304,MATCH(A125,'استلام المواقع'!$B$5:$B$304,0)),""))</f>
        <v/>
      </c>
      <c r="H125" s="43" t="n"/>
      <c r="I125" s="42">
        <f>IF(OR(G125="",H125=""),"",G125+H125)</f>
        <v/>
      </c>
      <c r="J125" s="44" t="n"/>
      <c r="K125" s="45">
        <f>IF(OR(I125="",H125=0),"",MAX(0,MIN(1,(IF(P125&lt;&gt;"",P125,TODAY())-G125)/H125)))</f>
        <v/>
      </c>
      <c r="L125" s="46">
        <f>IF(B125="","",SUMIFS('المستخلصات'!$N$5:$N$304,'المستخلصات'!$B$5:$B$304,A125))</f>
        <v/>
      </c>
      <c r="M125" s="46">
        <f>IF(B125="","",SUMIFS('سندات القبض'!$K$5:$K$304,'سندات القبض'!$D$5:$D$304,A125))</f>
        <v/>
      </c>
      <c r="N125" s="46">
        <f>IF(B125="","",SUMIFS('سندات الصرف'!$L$5:$L$304,'سندات الصرف'!$D$5:$D$304,A125))</f>
        <v/>
      </c>
      <c r="O125" s="46">
        <f>IF(B125="","",M125-N125)</f>
        <v/>
      </c>
      <c r="P125" s="47" t="n"/>
      <c r="Q125" s="47" t="n"/>
      <c r="R125" s="48">
        <f>IF(B125="","",COUNTIFS('اعتماد المواد'!$B$5:$B$304,A125,'اعتماد المواد'!$M$5:$M$304,"قيد المراجعة"))</f>
        <v/>
      </c>
      <c r="S125" s="48">
        <f>IF(B125="","",COUNTIFS('عدم المطابقة'!$C$5:$C$304,A125,'عدم المطابقة'!$L$5:$L$304,"مفتوح*"))</f>
        <v/>
      </c>
      <c r="T125" s="48">
        <f>IF(B125="","",COUNTIFS('ملاحظات التسليم'!$B$5:$B$304,A125,'ملاحظات التسليم'!$K$5:$K$304,"مفتوح*"))</f>
        <v/>
      </c>
      <c r="U125" s="49">
        <f>IF(B125="","",IF(Q125&lt;&gt;"","مسلّم نهائياً",IF(P125&lt;&gt;"","فترة الضمان",IF(G125="","بانتظار استلام الموقع",IF(TODAY()&gt;I125,"متأخر عن التعاقد",IF(J125&lt;K125-0.1,"متأخر عن الخطة","جاري التنفيذ"))))))</f>
        <v/>
      </c>
    </row>
    <row r="126">
      <c r="A126" s="39">
        <f>IF(B126="","","PRJ-"&amp;TEXT(ROW()-4,"000"))</f>
        <v/>
      </c>
      <c r="B126" s="40" t="n"/>
      <c r="C126" s="40" t="n"/>
      <c r="D126" s="40" t="n"/>
      <c r="E126" s="40" t="n"/>
      <c r="F126" s="41" t="n"/>
      <c r="G126" s="42">
        <f>IF(B126="","",IFERROR(INDEX('استلام المواقع'!$D$5:$D$304,MATCH(A126,'استلام المواقع'!$B$5:$B$304,0)),""))</f>
        <v/>
      </c>
      <c r="H126" s="43" t="n"/>
      <c r="I126" s="42">
        <f>IF(OR(G126="",H126=""),"",G126+H126)</f>
        <v/>
      </c>
      <c r="J126" s="44" t="n"/>
      <c r="K126" s="45">
        <f>IF(OR(I126="",H126=0),"",MAX(0,MIN(1,(IF(P126&lt;&gt;"",P126,TODAY())-G126)/H126)))</f>
        <v/>
      </c>
      <c r="L126" s="46">
        <f>IF(B126="","",SUMIFS('المستخلصات'!$N$5:$N$304,'المستخلصات'!$B$5:$B$304,A126))</f>
        <v/>
      </c>
      <c r="M126" s="46">
        <f>IF(B126="","",SUMIFS('سندات القبض'!$K$5:$K$304,'سندات القبض'!$D$5:$D$304,A126))</f>
        <v/>
      </c>
      <c r="N126" s="46">
        <f>IF(B126="","",SUMIFS('سندات الصرف'!$L$5:$L$304,'سندات الصرف'!$D$5:$D$304,A126))</f>
        <v/>
      </c>
      <c r="O126" s="46">
        <f>IF(B126="","",M126-N126)</f>
        <v/>
      </c>
      <c r="P126" s="47" t="n"/>
      <c r="Q126" s="47" t="n"/>
      <c r="R126" s="48">
        <f>IF(B126="","",COUNTIFS('اعتماد المواد'!$B$5:$B$304,A126,'اعتماد المواد'!$M$5:$M$304,"قيد المراجعة"))</f>
        <v/>
      </c>
      <c r="S126" s="48">
        <f>IF(B126="","",COUNTIFS('عدم المطابقة'!$C$5:$C$304,A126,'عدم المطابقة'!$L$5:$L$304,"مفتوح*"))</f>
        <v/>
      </c>
      <c r="T126" s="48">
        <f>IF(B126="","",COUNTIFS('ملاحظات التسليم'!$B$5:$B$304,A126,'ملاحظات التسليم'!$K$5:$K$304,"مفتوح*"))</f>
        <v/>
      </c>
      <c r="U126" s="49">
        <f>IF(B126="","",IF(Q126&lt;&gt;"","مسلّم نهائياً",IF(P126&lt;&gt;"","فترة الضمان",IF(G126="","بانتظار استلام الموقع",IF(TODAY()&gt;I126,"متأخر عن التعاقد",IF(J126&lt;K126-0.1,"متأخر عن الخطة","جاري التنفيذ"))))))</f>
        <v/>
      </c>
    </row>
    <row r="127">
      <c r="A127" s="39">
        <f>IF(B127="","","PRJ-"&amp;TEXT(ROW()-4,"000"))</f>
        <v/>
      </c>
      <c r="B127" s="40" t="n"/>
      <c r="C127" s="40" t="n"/>
      <c r="D127" s="40" t="n"/>
      <c r="E127" s="40" t="n"/>
      <c r="F127" s="41" t="n"/>
      <c r="G127" s="42">
        <f>IF(B127="","",IFERROR(INDEX('استلام المواقع'!$D$5:$D$304,MATCH(A127,'استلام المواقع'!$B$5:$B$304,0)),""))</f>
        <v/>
      </c>
      <c r="H127" s="43" t="n"/>
      <c r="I127" s="42">
        <f>IF(OR(G127="",H127=""),"",G127+H127)</f>
        <v/>
      </c>
      <c r="J127" s="44" t="n"/>
      <c r="K127" s="45">
        <f>IF(OR(I127="",H127=0),"",MAX(0,MIN(1,(IF(P127&lt;&gt;"",P127,TODAY())-G127)/H127)))</f>
        <v/>
      </c>
      <c r="L127" s="46">
        <f>IF(B127="","",SUMIFS('المستخلصات'!$N$5:$N$304,'المستخلصات'!$B$5:$B$304,A127))</f>
        <v/>
      </c>
      <c r="M127" s="46">
        <f>IF(B127="","",SUMIFS('سندات القبض'!$K$5:$K$304,'سندات القبض'!$D$5:$D$304,A127))</f>
        <v/>
      </c>
      <c r="N127" s="46">
        <f>IF(B127="","",SUMIFS('سندات الصرف'!$L$5:$L$304,'سندات الصرف'!$D$5:$D$304,A127))</f>
        <v/>
      </c>
      <c r="O127" s="46">
        <f>IF(B127="","",M127-N127)</f>
        <v/>
      </c>
      <c r="P127" s="47" t="n"/>
      <c r="Q127" s="47" t="n"/>
      <c r="R127" s="48">
        <f>IF(B127="","",COUNTIFS('اعتماد المواد'!$B$5:$B$304,A127,'اعتماد المواد'!$M$5:$M$304,"قيد المراجعة"))</f>
        <v/>
      </c>
      <c r="S127" s="48">
        <f>IF(B127="","",COUNTIFS('عدم المطابقة'!$C$5:$C$304,A127,'عدم المطابقة'!$L$5:$L$304,"مفتوح*"))</f>
        <v/>
      </c>
      <c r="T127" s="48">
        <f>IF(B127="","",COUNTIFS('ملاحظات التسليم'!$B$5:$B$304,A127,'ملاحظات التسليم'!$K$5:$K$304,"مفتوح*"))</f>
        <v/>
      </c>
      <c r="U127" s="49">
        <f>IF(B127="","",IF(Q127&lt;&gt;"","مسلّم نهائياً",IF(P127&lt;&gt;"","فترة الضمان",IF(G127="","بانتظار استلام الموقع",IF(TODAY()&gt;I127,"متأخر عن التعاقد",IF(J127&lt;K127-0.1,"متأخر عن الخطة","جاري التنفيذ"))))))</f>
        <v/>
      </c>
    </row>
    <row r="128">
      <c r="A128" s="39">
        <f>IF(B128="","","PRJ-"&amp;TEXT(ROW()-4,"000"))</f>
        <v/>
      </c>
      <c r="B128" s="40" t="n"/>
      <c r="C128" s="40" t="n"/>
      <c r="D128" s="40" t="n"/>
      <c r="E128" s="40" t="n"/>
      <c r="F128" s="41" t="n"/>
      <c r="G128" s="42">
        <f>IF(B128="","",IFERROR(INDEX('استلام المواقع'!$D$5:$D$304,MATCH(A128,'استلام المواقع'!$B$5:$B$304,0)),""))</f>
        <v/>
      </c>
      <c r="H128" s="43" t="n"/>
      <c r="I128" s="42">
        <f>IF(OR(G128="",H128=""),"",G128+H128)</f>
        <v/>
      </c>
      <c r="J128" s="44" t="n"/>
      <c r="K128" s="45">
        <f>IF(OR(I128="",H128=0),"",MAX(0,MIN(1,(IF(P128&lt;&gt;"",P128,TODAY())-G128)/H128)))</f>
        <v/>
      </c>
      <c r="L128" s="46">
        <f>IF(B128="","",SUMIFS('المستخلصات'!$N$5:$N$304,'المستخلصات'!$B$5:$B$304,A128))</f>
        <v/>
      </c>
      <c r="M128" s="46">
        <f>IF(B128="","",SUMIFS('سندات القبض'!$K$5:$K$304,'سندات القبض'!$D$5:$D$304,A128))</f>
        <v/>
      </c>
      <c r="N128" s="46">
        <f>IF(B128="","",SUMIFS('سندات الصرف'!$L$5:$L$304,'سندات الصرف'!$D$5:$D$304,A128))</f>
        <v/>
      </c>
      <c r="O128" s="46">
        <f>IF(B128="","",M128-N128)</f>
        <v/>
      </c>
      <c r="P128" s="47" t="n"/>
      <c r="Q128" s="47" t="n"/>
      <c r="R128" s="48">
        <f>IF(B128="","",COUNTIFS('اعتماد المواد'!$B$5:$B$304,A128,'اعتماد المواد'!$M$5:$M$304,"قيد المراجعة"))</f>
        <v/>
      </c>
      <c r="S128" s="48">
        <f>IF(B128="","",COUNTIFS('عدم المطابقة'!$C$5:$C$304,A128,'عدم المطابقة'!$L$5:$L$304,"مفتوح*"))</f>
        <v/>
      </c>
      <c r="T128" s="48">
        <f>IF(B128="","",COUNTIFS('ملاحظات التسليم'!$B$5:$B$304,A128,'ملاحظات التسليم'!$K$5:$K$304,"مفتوح*"))</f>
        <v/>
      </c>
      <c r="U128" s="49">
        <f>IF(B128="","",IF(Q128&lt;&gt;"","مسلّم نهائياً",IF(P128&lt;&gt;"","فترة الضمان",IF(G128="","بانتظار استلام الموقع",IF(TODAY()&gt;I128,"متأخر عن التعاقد",IF(J128&lt;K128-0.1,"متأخر عن الخطة","جاري التنفيذ"))))))</f>
        <v/>
      </c>
    </row>
    <row r="129">
      <c r="A129" s="39">
        <f>IF(B129="","","PRJ-"&amp;TEXT(ROW()-4,"000"))</f>
        <v/>
      </c>
      <c r="B129" s="40" t="n"/>
      <c r="C129" s="40" t="n"/>
      <c r="D129" s="40" t="n"/>
      <c r="E129" s="40" t="n"/>
      <c r="F129" s="41" t="n"/>
      <c r="G129" s="42">
        <f>IF(B129="","",IFERROR(INDEX('استلام المواقع'!$D$5:$D$304,MATCH(A129,'استلام المواقع'!$B$5:$B$304,0)),""))</f>
        <v/>
      </c>
      <c r="H129" s="43" t="n"/>
      <c r="I129" s="42">
        <f>IF(OR(G129="",H129=""),"",G129+H129)</f>
        <v/>
      </c>
      <c r="J129" s="44" t="n"/>
      <c r="K129" s="45">
        <f>IF(OR(I129="",H129=0),"",MAX(0,MIN(1,(IF(P129&lt;&gt;"",P129,TODAY())-G129)/H129)))</f>
        <v/>
      </c>
      <c r="L129" s="46">
        <f>IF(B129="","",SUMIFS('المستخلصات'!$N$5:$N$304,'المستخلصات'!$B$5:$B$304,A129))</f>
        <v/>
      </c>
      <c r="M129" s="46">
        <f>IF(B129="","",SUMIFS('سندات القبض'!$K$5:$K$304,'سندات القبض'!$D$5:$D$304,A129))</f>
        <v/>
      </c>
      <c r="N129" s="46">
        <f>IF(B129="","",SUMIFS('سندات الصرف'!$L$5:$L$304,'سندات الصرف'!$D$5:$D$304,A129))</f>
        <v/>
      </c>
      <c r="O129" s="46">
        <f>IF(B129="","",M129-N129)</f>
        <v/>
      </c>
      <c r="P129" s="47" t="n"/>
      <c r="Q129" s="47" t="n"/>
      <c r="R129" s="48">
        <f>IF(B129="","",COUNTIFS('اعتماد المواد'!$B$5:$B$304,A129,'اعتماد المواد'!$M$5:$M$304,"قيد المراجعة"))</f>
        <v/>
      </c>
      <c r="S129" s="48">
        <f>IF(B129="","",COUNTIFS('عدم المطابقة'!$C$5:$C$304,A129,'عدم المطابقة'!$L$5:$L$304,"مفتوح*"))</f>
        <v/>
      </c>
      <c r="T129" s="48">
        <f>IF(B129="","",COUNTIFS('ملاحظات التسليم'!$B$5:$B$304,A129,'ملاحظات التسليم'!$K$5:$K$304,"مفتوح*"))</f>
        <v/>
      </c>
      <c r="U129" s="49">
        <f>IF(B129="","",IF(Q129&lt;&gt;"","مسلّم نهائياً",IF(P129&lt;&gt;"","فترة الضمان",IF(G129="","بانتظار استلام الموقع",IF(TODAY()&gt;I129,"متأخر عن التعاقد",IF(J129&lt;K129-0.1,"متأخر عن الخطة","جاري التنفيذ"))))))</f>
        <v/>
      </c>
    </row>
    <row r="130">
      <c r="A130" s="39">
        <f>IF(B130="","","PRJ-"&amp;TEXT(ROW()-4,"000"))</f>
        <v/>
      </c>
      <c r="B130" s="40" t="n"/>
      <c r="C130" s="40" t="n"/>
      <c r="D130" s="40" t="n"/>
      <c r="E130" s="40" t="n"/>
      <c r="F130" s="41" t="n"/>
      <c r="G130" s="42">
        <f>IF(B130="","",IFERROR(INDEX('استلام المواقع'!$D$5:$D$304,MATCH(A130,'استلام المواقع'!$B$5:$B$304,0)),""))</f>
        <v/>
      </c>
      <c r="H130" s="43" t="n"/>
      <c r="I130" s="42">
        <f>IF(OR(G130="",H130=""),"",G130+H130)</f>
        <v/>
      </c>
      <c r="J130" s="44" t="n"/>
      <c r="K130" s="45">
        <f>IF(OR(I130="",H130=0),"",MAX(0,MIN(1,(IF(P130&lt;&gt;"",P130,TODAY())-G130)/H130)))</f>
        <v/>
      </c>
      <c r="L130" s="46">
        <f>IF(B130="","",SUMIFS('المستخلصات'!$N$5:$N$304,'المستخلصات'!$B$5:$B$304,A130))</f>
        <v/>
      </c>
      <c r="M130" s="46">
        <f>IF(B130="","",SUMIFS('سندات القبض'!$K$5:$K$304,'سندات القبض'!$D$5:$D$304,A130))</f>
        <v/>
      </c>
      <c r="N130" s="46">
        <f>IF(B130="","",SUMIFS('سندات الصرف'!$L$5:$L$304,'سندات الصرف'!$D$5:$D$304,A130))</f>
        <v/>
      </c>
      <c r="O130" s="46">
        <f>IF(B130="","",M130-N130)</f>
        <v/>
      </c>
      <c r="P130" s="47" t="n"/>
      <c r="Q130" s="47" t="n"/>
      <c r="R130" s="48">
        <f>IF(B130="","",COUNTIFS('اعتماد المواد'!$B$5:$B$304,A130,'اعتماد المواد'!$M$5:$M$304,"قيد المراجعة"))</f>
        <v/>
      </c>
      <c r="S130" s="48">
        <f>IF(B130="","",COUNTIFS('عدم المطابقة'!$C$5:$C$304,A130,'عدم المطابقة'!$L$5:$L$304,"مفتوح*"))</f>
        <v/>
      </c>
      <c r="T130" s="48">
        <f>IF(B130="","",COUNTIFS('ملاحظات التسليم'!$B$5:$B$304,A130,'ملاحظات التسليم'!$K$5:$K$304,"مفتوح*"))</f>
        <v/>
      </c>
      <c r="U130" s="49">
        <f>IF(B130="","",IF(Q130&lt;&gt;"","مسلّم نهائياً",IF(P130&lt;&gt;"","فترة الضمان",IF(G130="","بانتظار استلام الموقع",IF(TODAY()&gt;I130,"متأخر عن التعاقد",IF(J130&lt;K130-0.1,"متأخر عن الخطة","جاري التنفيذ"))))))</f>
        <v/>
      </c>
    </row>
    <row r="131">
      <c r="A131" s="39">
        <f>IF(B131="","","PRJ-"&amp;TEXT(ROW()-4,"000"))</f>
        <v/>
      </c>
      <c r="B131" s="40" t="n"/>
      <c r="C131" s="40" t="n"/>
      <c r="D131" s="40" t="n"/>
      <c r="E131" s="40" t="n"/>
      <c r="F131" s="41" t="n"/>
      <c r="G131" s="42">
        <f>IF(B131="","",IFERROR(INDEX('استلام المواقع'!$D$5:$D$304,MATCH(A131,'استلام المواقع'!$B$5:$B$304,0)),""))</f>
        <v/>
      </c>
      <c r="H131" s="43" t="n"/>
      <c r="I131" s="42">
        <f>IF(OR(G131="",H131=""),"",G131+H131)</f>
        <v/>
      </c>
      <c r="J131" s="44" t="n"/>
      <c r="K131" s="45">
        <f>IF(OR(I131="",H131=0),"",MAX(0,MIN(1,(IF(P131&lt;&gt;"",P131,TODAY())-G131)/H131)))</f>
        <v/>
      </c>
      <c r="L131" s="46">
        <f>IF(B131="","",SUMIFS('المستخلصات'!$N$5:$N$304,'المستخلصات'!$B$5:$B$304,A131))</f>
        <v/>
      </c>
      <c r="M131" s="46">
        <f>IF(B131="","",SUMIFS('سندات القبض'!$K$5:$K$304,'سندات القبض'!$D$5:$D$304,A131))</f>
        <v/>
      </c>
      <c r="N131" s="46">
        <f>IF(B131="","",SUMIFS('سندات الصرف'!$L$5:$L$304,'سندات الصرف'!$D$5:$D$304,A131))</f>
        <v/>
      </c>
      <c r="O131" s="46">
        <f>IF(B131="","",M131-N131)</f>
        <v/>
      </c>
      <c r="P131" s="47" t="n"/>
      <c r="Q131" s="47" t="n"/>
      <c r="R131" s="48">
        <f>IF(B131="","",COUNTIFS('اعتماد المواد'!$B$5:$B$304,A131,'اعتماد المواد'!$M$5:$M$304,"قيد المراجعة"))</f>
        <v/>
      </c>
      <c r="S131" s="48">
        <f>IF(B131="","",COUNTIFS('عدم المطابقة'!$C$5:$C$304,A131,'عدم المطابقة'!$L$5:$L$304,"مفتوح*"))</f>
        <v/>
      </c>
      <c r="T131" s="48">
        <f>IF(B131="","",COUNTIFS('ملاحظات التسليم'!$B$5:$B$304,A131,'ملاحظات التسليم'!$K$5:$K$304,"مفتوح*"))</f>
        <v/>
      </c>
      <c r="U131" s="49">
        <f>IF(B131="","",IF(Q131&lt;&gt;"","مسلّم نهائياً",IF(P131&lt;&gt;"","فترة الضمان",IF(G131="","بانتظار استلام الموقع",IF(TODAY()&gt;I131,"متأخر عن التعاقد",IF(J131&lt;K131-0.1,"متأخر عن الخطة","جاري التنفيذ"))))))</f>
        <v/>
      </c>
    </row>
    <row r="132">
      <c r="A132" s="39">
        <f>IF(B132="","","PRJ-"&amp;TEXT(ROW()-4,"000"))</f>
        <v/>
      </c>
      <c r="B132" s="40" t="n"/>
      <c r="C132" s="40" t="n"/>
      <c r="D132" s="40" t="n"/>
      <c r="E132" s="40" t="n"/>
      <c r="F132" s="41" t="n"/>
      <c r="G132" s="42">
        <f>IF(B132="","",IFERROR(INDEX('استلام المواقع'!$D$5:$D$304,MATCH(A132,'استلام المواقع'!$B$5:$B$304,0)),""))</f>
        <v/>
      </c>
      <c r="H132" s="43" t="n"/>
      <c r="I132" s="42">
        <f>IF(OR(G132="",H132=""),"",G132+H132)</f>
        <v/>
      </c>
      <c r="J132" s="44" t="n"/>
      <c r="K132" s="45">
        <f>IF(OR(I132="",H132=0),"",MAX(0,MIN(1,(IF(P132&lt;&gt;"",P132,TODAY())-G132)/H132)))</f>
        <v/>
      </c>
      <c r="L132" s="46">
        <f>IF(B132="","",SUMIFS('المستخلصات'!$N$5:$N$304,'المستخلصات'!$B$5:$B$304,A132))</f>
        <v/>
      </c>
      <c r="M132" s="46">
        <f>IF(B132="","",SUMIFS('سندات القبض'!$K$5:$K$304,'سندات القبض'!$D$5:$D$304,A132))</f>
        <v/>
      </c>
      <c r="N132" s="46">
        <f>IF(B132="","",SUMIFS('سندات الصرف'!$L$5:$L$304,'سندات الصرف'!$D$5:$D$304,A132))</f>
        <v/>
      </c>
      <c r="O132" s="46">
        <f>IF(B132="","",M132-N132)</f>
        <v/>
      </c>
      <c r="P132" s="47" t="n"/>
      <c r="Q132" s="47" t="n"/>
      <c r="R132" s="48">
        <f>IF(B132="","",COUNTIFS('اعتماد المواد'!$B$5:$B$304,A132,'اعتماد المواد'!$M$5:$M$304,"قيد المراجعة"))</f>
        <v/>
      </c>
      <c r="S132" s="48">
        <f>IF(B132="","",COUNTIFS('عدم المطابقة'!$C$5:$C$304,A132,'عدم المطابقة'!$L$5:$L$304,"مفتوح*"))</f>
        <v/>
      </c>
      <c r="T132" s="48">
        <f>IF(B132="","",COUNTIFS('ملاحظات التسليم'!$B$5:$B$304,A132,'ملاحظات التسليم'!$K$5:$K$304,"مفتوح*"))</f>
        <v/>
      </c>
      <c r="U132" s="49">
        <f>IF(B132="","",IF(Q132&lt;&gt;"","مسلّم نهائياً",IF(P132&lt;&gt;"","فترة الضمان",IF(G132="","بانتظار استلام الموقع",IF(TODAY()&gt;I132,"متأخر عن التعاقد",IF(J132&lt;K132-0.1,"متأخر عن الخطة","جاري التنفيذ"))))))</f>
        <v/>
      </c>
    </row>
    <row r="133">
      <c r="A133" s="39">
        <f>IF(B133="","","PRJ-"&amp;TEXT(ROW()-4,"000"))</f>
        <v/>
      </c>
      <c r="B133" s="40" t="n"/>
      <c r="C133" s="40" t="n"/>
      <c r="D133" s="40" t="n"/>
      <c r="E133" s="40" t="n"/>
      <c r="F133" s="41" t="n"/>
      <c r="G133" s="42">
        <f>IF(B133="","",IFERROR(INDEX('استلام المواقع'!$D$5:$D$304,MATCH(A133,'استلام المواقع'!$B$5:$B$304,0)),""))</f>
        <v/>
      </c>
      <c r="H133" s="43" t="n"/>
      <c r="I133" s="42">
        <f>IF(OR(G133="",H133=""),"",G133+H133)</f>
        <v/>
      </c>
      <c r="J133" s="44" t="n"/>
      <c r="K133" s="45">
        <f>IF(OR(I133="",H133=0),"",MAX(0,MIN(1,(IF(P133&lt;&gt;"",P133,TODAY())-G133)/H133)))</f>
        <v/>
      </c>
      <c r="L133" s="46">
        <f>IF(B133="","",SUMIFS('المستخلصات'!$N$5:$N$304,'المستخلصات'!$B$5:$B$304,A133))</f>
        <v/>
      </c>
      <c r="M133" s="46">
        <f>IF(B133="","",SUMIFS('سندات القبض'!$K$5:$K$304,'سندات القبض'!$D$5:$D$304,A133))</f>
        <v/>
      </c>
      <c r="N133" s="46">
        <f>IF(B133="","",SUMIFS('سندات الصرف'!$L$5:$L$304,'سندات الصرف'!$D$5:$D$304,A133))</f>
        <v/>
      </c>
      <c r="O133" s="46">
        <f>IF(B133="","",M133-N133)</f>
        <v/>
      </c>
      <c r="P133" s="47" t="n"/>
      <c r="Q133" s="47" t="n"/>
      <c r="R133" s="48">
        <f>IF(B133="","",COUNTIFS('اعتماد المواد'!$B$5:$B$304,A133,'اعتماد المواد'!$M$5:$M$304,"قيد المراجعة"))</f>
        <v/>
      </c>
      <c r="S133" s="48">
        <f>IF(B133="","",COUNTIFS('عدم المطابقة'!$C$5:$C$304,A133,'عدم المطابقة'!$L$5:$L$304,"مفتوح*"))</f>
        <v/>
      </c>
      <c r="T133" s="48">
        <f>IF(B133="","",COUNTIFS('ملاحظات التسليم'!$B$5:$B$304,A133,'ملاحظات التسليم'!$K$5:$K$304,"مفتوح*"))</f>
        <v/>
      </c>
      <c r="U133" s="49">
        <f>IF(B133="","",IF(Q133&lt;&gt;"","مسلّم نهائياً",IF(P133&lt;&gt;"","فترة الضمان",IF(G133="","بانتظار استلام الموقع",IF(TODAY()&gt;I133,"متأخر عن التعاقد",IF(J133&lt;K133-0.1,"متأخر عن الخطة","جاري التنفيذ"))))))</f>
        <v/>
      </c>
    </row>
    <row r="134">
      <c r="A134" s="39">
        <f>IF(B134="","","PRJ-"&amp;TEXT(ROW()-4,"000"))</f>
        <v/>
      </c>
      <c r="B134" s="40" t="n"/>
      <c r="C134" s="40" t="n"/>
      <c r="D134" s="40" t="n"/>
      <c r="E134" s="40" t="n"/>
      <c r="F134" s="41" t="n"/>
      <c r="G134" s="42">
        <f>IF(B134="","",IFERROR(INDEX('استلام المواقع'!$D$5:$D$304,MATCH(A134,'استلام المواقع'!$B$5:$B$304,0)),""))</f>
        <v/>
      </c>
      <c r="H134" s="43" t="n"/>
      <c r="I134" s="42">
        <f>IF(OR(G134="",H134=""),"",G134+H134)</f>
        <v/>
      </c>
      <c r="J134" s="44" t="n"/>
      <c r="K134" s="45">
        <f>IF(OR(I134="",H134=0),"",MAX(0,MIN(1,(IF(P134&lt;&gt;"",P134,TODAY())-G134)/H134)))</f>
        <v/>
      </c>
      <c r="L134" s="46">
        <f>IF(B134="","",SUMIFS('المستخلصات'!$N$5:$N$304,'المستخلصات'!$B$5:$B$304,A134))</f>
        <v/>
      </c>
      <c r="M134" s="46">
        <f>IF(B134="","",SUMIFS('سندات القبض'!$K$5:$K$304,'سندات القبض'!$D$5:$D$304,A134))</f>
        <v/>
      </c>
      <c r="N134" s="46">
        <f>IF(B134="","",SUMIFS('سندات الصرف'!$L$5:$L$304,'سندات الصرف'!$D$5:$D$304,A134))</f>
        <v/>
      </c>
      <c r="O134" s="46">
        <f>IF(B134="","",M134-N134)</f>
        <v/>
      </c>
      <c r="P134" s="47" t="n"/>
      <c r="Q134" s="47" t="n"/>
      <c r="R134" s="48">
        <f>IF(B134="","",COUNTIFS('اعتماد المواد'!$B$5:$B$304,A134,'اعتماد المواد'!$M$5:$M$304,"قيد المراجعة"))</f>
        <v/>
      </c>
      <c r="S134" s="48">
        <f>IF(B134="","",COUNTIFS('عدم المطابقة'!$C$5:$C$304,A134,'عدم المطابقة'!$L$5:$L$304,"مفتوح*"))</f>
        <v/>
      </c>
      <c r="T134" s="48">
        <f>IF(B134="","",COUNTIFS('ملاحظات التسليم'!$B$5:$B$304,A134,'ملاحظات التسليم'!$K$5:$K$304,"مفتوح*"))</f>
        <v/>
      </c>
      <c r="U134" s="49">
        <f>IF(B134="","",IF(Q134&lt;&gt;"","مسلّم نهائياً",IF(P134&lt;&gt;"","فترة الضمان",IF(G134="","بانتظار استلام الموقع",IF(TODAY()&gt;I134,"متأخر عن التعاقد",IF(J134&lt;K134-0.1,"متأخر عن الخطة","جاري التنفيذ"))))))</f>
        <v/>
      </c>
    </row>
    <row r="135">
      <c r="A135" s="39">
        <f>IF(B135="","","PRJ-"&amp;TEXT(ROW()-4,"000"))</f>
        <v/>
      </c>
      <c r="B135" s="40" t="n"/>
      <c r="C135" s="40" t="n"/>
      <c r="D135" s="40" t="n"/>
      <c r="E135" s="40" t="n"/>
      <c r="F135" s="41" t="n"/>
      <c r="G135" s="42">
        <f>IF(B135="","",IFERROR(INDEX('استلام المواقع'!$D$5:$D$304,MATCH(A135,'استلام المواقع'!$B$5:$B$304,0)),""))</f>
        <v/>
      </c>
      <c r="H135" s="43" t="n"/>
      <c r="I135" s="42">
        <f>IF(OR(G135="",H135=""),"",G135+H135)</f>
        <v/>
      </c>
      <c r="J135" s="44" t="n"/>
      <c r="K135" s="45">
        <f>IF(OR(I135="",H135=0),"",MAX(0,MIN(1,(IF(P135&lt;&gt;"",P135,TODAY())-G135)/H135)))</f>
        <v/>
      </c>
      <c r="L135" s="46">
        <f>IF(B135="","",SUMIFS('المستخلصات'!$N$5:$N$304,'المستخلصات'!$B$5:$B$304,A135))</f>
        <v/>
      </c>
      <c r="M135" s="46">
        <f>IF(B135="","",SUMIFS('سندات القبض'!$K$5:$K$304,'سندات القبض'!$D$5:$D$304,A135))</f>
        <v/>
      </c>
      <c r="N135" s="46">
        <f>IF(B135="","",SUMIFS('سندات الصرف'!$L$5:$L$304,'سندات الصرف'!$D$5:$D$304,A135))</f>
        <v/>
      </c>
      <c r="O135" s="46">
        <f>IF(B135="","",M135-N135)</f>
        <v/>
      </c>
      <c r="P135" s="47" t="n"/>
      <c r="Q135" s="47" t="n"/>
      <c r="R135" s="48">
        <f>IF(B135="","",COUNTIFS('اعتماد المواد'!$B$5:$B$304,A135,'اعتماد المواد'!$M$5:$M$304,"قيد المراجعة"))</f>
        <v/>
      </c>
      <c r="S135" s="48">
        <f>IF(B135="","",COUNTIFS('عدم المطابقة'!$C$5:$C$304,A135,'عدم المطابقة'!$L$5:$L$304,"مفتوح*"))</f>
        <v/>
      </c>
      <c r="T135" s="48">
        <f>IF(B135="","",COUNTIFS('ملاحظات التسليم'!$B$5:$B$304,A135,'ملاحظات التسليم'!$K$5:$K$304,"مفتوح*"))</f>
        <v/>
      </c>
      <c r="U135" s="49">
        <f>IF(B135="","",IF(Q135&lt;&gt;"","مسلّم نهائياً",IF(P135&lt;&gt;"","فترة الضمان",IF(G135="","بانتظار استلام الموقع",IF(TODAY()&gt;I135,"متأخر عن التعاقد",IF(J135&lt;K135-0.1,"متأخر عن الخطة","جاري التنفيذ"))))))</f>
        <v/>
      </c>
    </row>
    <row r="136">
      <c r="A136" s="39">
        <f>IF(B136="","","PRJ-"&amp;TEXT(ROW()-4,"000"))</f>
        <v/>
      </c>
      <c r="B136" s="40" t="n"/>
      <c r="C136" s="40" t="n"/>
      <c r="D136" s="40" t="n"/>
      <c r="E136" s="40" t="n"/>
      <c r="F136" s="41" t="n"/>
      <c r="G136" s="42">
        <f>IF(B136="","",IFERROR(INDEX('استلام المواقع'!$D$5:$D$304,MATCH(A136,'استلام المواقع'!$B$5:$B$304,0)),""))</f>
        <v/>
      </c>
      <c r="H136" s="43" t="n"/>
      <c r="I136" s="42">
        <f>IF(OR(G136="",H136=""),"",G136+H136)</f>
        <v/>
      </c>
      <c r="J136" s="44" t="n"/>
      <c r="K136" s="45">
        <f>IF(OR(I136="",H136=0),"",MAX(0,MIN(1,(IF(P136&lt;&gt;"",P136,TODAY())-G136)/H136)))</f>
        <v/>
      </c>
      <c r="L136" s="46">
        <f>IF(B136="","",SUMIFS('المستخلصات'!$N$5:$N$304,'المستخلصات'!$B$5:$B$304,A136))</f>
        <v/>
      </c>
      <c r="M136" s="46">
        <f>IF(B136="","",SUMIFS('سندات القبض'!$K$5:$K$304,'سندات القبض'!$D$5:$D$304,A136))</f>
        <v/>
      </c>
      <c r="N136" s="46">
        <f>IF(B136="","",SUMIFS('سندات الصرف'!$L$5:$L$304,'سندات الصرف'!$D$5:$D$304,A136))</f>
        <v/>
      </c>
      <c r="O136" s="46">
        <f>IF(B136="","",M136-N136)</f>
        <v/>
      </c>
      <c r="P136" s="47" t="n"/>
      <c r="Q136" s="47" t="n"/>
      <c r="R136" s="48">
        <f>IF(B136="","",COUNTIFS('اعتماد المواد'!$B$5:$B$304,A136,'اعتماد المواد'!$M$5:$M$304,"قيد المراجعة"))</f>
        <v/>
      </c>
      <c r="S136" s="48">
        <f>IF(B136="","",COUNTIFS('عدم المطابقة'!$C$5:$C$304,A136,'عدم المطابقة'!$L$5:$L$304,"مفتوح*"))</f>
        <v/>
      </c>
      <c r="T136" s="48">
        <f>IF(B136="","",COUNTIFS('ملاحظات التسليم'!$B$5:$B$304,A136,'ملاحظات التسليم'!$K$5:$K$304,"مفتوح*"))</f>
        <v/>
      </c>
      <c r="U136" s="49">
        <f>IF(B136="","",IF(Q136&lt;&gt;"","مسلّم نهائياً",IF(P136&lt;&gt;"","فترة الضمان",IF(G136="","بانتظار استلام الموقع",IF(TODAY()&gt;I136,"متأخر عن التعاقد",IF(J136&lt;K136-0.1,"متأخر عن الخطة","جاري التنفيذ"))))))</f>
        <v/>
      </c>
    </row>
    <row r="137">
      <c r="A137" s="39">
        <f>IF(B137="","","PRJ-"&amp;TEXT(ROW()-4,"000"))</f>
        <v/>
      </c>
      <c r="B137" s="40" t="n"/>
      <c r="C137" s="40" t="n"/>
      <c r="D137" s="40" t="n"/>
      <c r="E137" s="40" t="n"/>
      <c r="F137" s="41" t="n"/>
      <c r="G137" s="42">
        <f>IF(B137="","",IFERROR(INDEX('استلام المواقع'!$D$5:$D$304,MATCH(A137,'استلام المواقع'!$B$5:$B$304,0)),""))</f>
        <v/>
      </c>
      <c r="H137" s="43" t="n"/>
      <c r="I137" s="42">
        <f>IF(OR(G137="",H137=""),"",G137+H137)</f>
        <v/>
      </c>
      <c r="J137" s="44" t="n"/>
      <c r="K137" s="45">
        <f>IF(OR(I137="",H137=0),"",MAX(0,MIN(1,(IF(P137&lt;&gt;"",P137,TODAY())-G137)/H137)))</f>
        <v/>
      </c>
      <c r="L137" s="46">
        <f>IF(B137="","",SUMIFS('المستخلصات'!$N$5:$N$304,'المستخلصات'!$B$5:$B$304,A137))</f>
        <v/>
      </c>
      <c r="M137" s="46">
        <f>IF(B137="","",SUMIFS('سندات القبض'!$K$5:$K$304,'سندات القبض'!$D$5:$D$304,A137))</f>
        <v/>
      </c>
      <c r="N137" s="46">
        <f>IF(B137="","",SUMIFS('سندات الصرف'!$L$5:$L$304,'سندات الصرف'!$D$5:$D$304,A137))</f>
        <v/>
      </c>
      <c r="O137" s="46">
        <f>IF(B137="","",M137-N137)</f>
        <v/>
      </c>
      <c r="P137" s="47" t="n"/>
      <c r="Q137" s="47" t="n"/>
      <c r="R137" s="48">
        <f>IF(B137="","",COUNTIFS('اعتماد المواد'!$B$5:$B$304,A137,'اعتماد المواد'!$M$5:$M$304,"قيد المراجعة"))</f>
        <v/>
      </c>
      <c r="S137" s="48">
        <f>IF(B137="","",COUNTIFS('عدم المطابقة'!$C$5:$C$304,A137,'عدم المطابقة'!$L$5:$L$304,"مفتوح*"))</f>
        <v/>
      </c>
      <c r="T137" s="48">
        <f>IF(B137="","",COUNTIFS('ملاحظات التسليم'!$B$5:$B$304,A137,'ملاحظات التسليم'!$K$5:$K$304,"مفتوح*"))</f>
        <v/>
      </c>
      <c r="U137" s="49">
        <f>IF(B137="","",IF(Q137&lt;&gt;"","مسلّم نهائياً",IF(P137&lt;&gt;"","فترة الضمان",IF(G137="","بانتظار استلام الموقع",IF(TODAY()&gt;I137,"متأخر عن التعاقد",IF(J137&lt;K137-0.1,"متأخر عن الخطة","جاري التنفيذ"))))))</f>
        <v/>
      </c>
    </row>
    <row r="138">
      <c r="A138" s="39">
        <f>IF(B138="","","PRJ-"&amp;TEXT(ROW()-4,"000"))</f>
        <v/>
      </c>
      <c r="B138" s="40" t="n"/>
      <c r="C138" s="40" t="n"/>
      <c r="D138" s="40" t="n"/>
      <c r="E138" s="40" t="n"/>
      <c r="F138" s="41" t="n"/>
      <c r="G138" s="42">
        <f>IF(B138="","",IFERROR(INDEX('استلام المواقع'!$D$5:$D$304,MATCH(A138,'استلام المواقع'!$B$5:$B$304,0)),""))</f>
        <v/>
      </c>
      <c r="H138" s="43" t="n"/>
      <c r="I138" s="42">
        <f>IF(OR(G138="",H138=""),"",G138+H138)</f>
        <v/>
      </c>
      <c r="J138" s="44" t="n"/>
      <c r="K138" s="45">
        <f>IF(OR(I138="",H138=0),"",MAX(0,MIN(1,(IF(P138&lt;&gt;"",P138,TODAY())-G138)/H138)))</f>
        <v/>
      </c>
      <c r="L138" s="46">
        <f>IF(B138="","",SUMIFS('المستخلصات'!$N$5:$N$304,'المستخلصات'!$B$5:$B$304,A138))</f>
        <v/>
      </c>
      <c r="M138" s="46">
        <f>IF(B138="","",SUMIFS('سندات القبض'!$K$5:$K$304,'سندات القبض'!$D$5:$D$304,A138))</f>
        <v/>
      </c>
      <c r="N138" s="46">
        <f>IF(B138="","",SUMIFS('سندات الصرف'!$L$5:$L$304,'سندات الصرف'!$D$5:$D$304,A138))</f>
        <v/>
      </c>
      <c r="O138" s="46">
        <f>IF(B138="","",M138-N138)</f>
        <v/>
      </c>
      <c r="P138" s="47" t="n"/>
      <c r="Q138" s="47" t="n"/>
      <c r="R138" s="48">
        <f>IF(B138="","",COUNTIFS('اعتماد المواد'!$B$5:$B$304,A138,'اعتماد المواد'!$M$5:$M$304,"قيد المراجعة"))</f>
        <v/>
      </c>
      <c r="S138" s="48">
        <f>IF(B138="","",COUNTIFS('عدم المطابقة'!$C$5:$C$304,A138,'عدم المطابقة'!$L$5:$L$304,"مفتوح*"))</f>
        <v/>
      </c>
      <c r="T138" s="48">
        <f>IF(B138="","",COUNTIFS('ملاحظات التسليم'!$B$5:$B$304,A138,'ملاحظات التسليم'!$K$5:$K$304,"مفتوح*"))</f>
        <v/>
      </c>
      <c r="U138" s="49">
        <f>IF(B138="","",IF(Q138&lt;&gt;"","مسلّم نهائياً",IF(P138&lt;&gt;"","فترة الضمان",IF(G138="","بانتظار استلام الموقع",IF(TODAY()&gt;I138,"متأخر عن التعاقد",IF(J138&lt;K138-0.1,"متأخر عن الخطة","جاري التنفيذ"))))))</f>
        <v/>
      </c>
    </row>
    <row r="139">
      <c r="A139" s="39">
        <f>IF(B139="","","PRJ-"&amp;TEXT(ROW()-4,"000"))</f>
        <v/>
      </c>
      <c r="B139" s="40" t="n"/>
      <c r="C139" s="40" t="n"/>
      <c r="D139" s="40" t="n"/>
      <c r="E139" s="40" t="n"/>
      <c r="F139" s="41" t="n"/>
      <c r="G139" s="42">
        <f>IF(B139="","",IFERROR(INDEX('استلام المواقع'!$D$5:$D$304,MATCH(A139,'استلام المواقع'!$B$5:$B$304,0)),""))</f>
        <v/>
      </c>
      <c r="H139" s="43" t="n"/>
      <c r="I139" s="42">
        <f>IF(OR(G139="",H139=""),"",G139+H139)</f>
        <v/>
      </c>
      <c r="J139" s="44" t="n"/>
      <c r="K139" s="45">
        <f>IF(OR(I139="",H139=0),"",MAX(0,MIN(1,(IF(P139&lt;&gt;"",P139,TODAY())-G139)/H139)))</f>
        <v/>
      </c>
      <c r="L139" s="46">
        <f>IF(B139="","",SUMIFS('المستخلصات'!$N$5:$N$304,'المستخلصات'!$B$5:$B$304,A139))</f>
        <v/>
      </c>
      <c r="M139" s="46">
        <f>IF(B139="","",SUMIFS('سندات القبض'!$K$5:$K$304,'سندات القبض'!$D$5:$D$304,A139))</f>
        <v/>
      </c>
      <c r="N139" s="46">
        <f>IF(B139="","",SUMIFS('سندات الصرف'!$L$5:$L$304,'سندات الصرف'!$D$5:$D$304,A139))</f>
        <v/>
      </c>
      <c r="O139" s="46">
        <f>IF(B139="","",M139-N139)</f>
        <v/>
      </c>
      <c r="P139" s="47" t="n"/>
      <c r="Q139" s="47" t="n"/>
      <c r="R139" s="48">
        <f>IF(B139="","",COUNTIFS('اعتماد المواد'!$B$5:$B$304,A139,'اعتماد المواد'!$M$5:$M$304,"قيد المراجعة"))</f>
        <v/>
      </c>
      <c r="S139" s="48">
        <f>IF(B139="","",COUNTIFS('عدم المطابقة'!$C$5:$C$304,A139,'عدم المطابقة'!$L$5:$L$304,"مفتوح*"))</f>
        <v/>
      </c>
      <c r="T139" s="48">
        <f>IF(B139="","",COUNTIFS('ملاحظات التسليم'!$B$5:$B$304,A139,'ملاحظات التسليم'!$K$5:$K$304,"مفتوح*"))</f>
        <v/>
      </c>
      <c r="U139" s="49">
        <f>IF(B139="","",IF(Q139&lt;&gt;"","مسلّم نهائياً",IF(P139&lt;&gt;"","فترة الضمان",IF(G139="","بانتظار استلام الموقع",IF(TODAY()&gt;I139,"متأخر عن التعاقد",IF(J139&lt;K139-0.1,"متأخر عن الخطة","جاري التنفيذ"))))))</f>
        <v/>
      </c>
    </row>
    <row r="140">
      <c r="A140" s="39">
        <f>IF(B140="","","PRJ-"&amp;TEXT(ROW()-4,"000"))</f>
        <v/>
      </c>
      <c r="B140" s="40" t="n"/>
      <c r="C140" s="40" t="n"/>
      <c r="D140" s="40" t="n"/>
      <c r="E140" s="40" t="n"/>
      <c r="F140" s="41" t="n"/>
      <c r="G140" s="42">
        <f>IF(B140="","",IFERROR(INDEX('استلام المواقع'!$D$5:$D$304,MATCH(A140,'استلام المواقع'!$B$5:$B$304,0)),""))</f>
        <v/>
      </c>
      <c r="H140" s="43" t="n"/>
      <c r="I140" s="42">
        <f>IF(OR(G140="",H140=""),"",G140+H140)</f>
        <v/>
      </c>
      <c r="J140" s="44" t="n"/>
      <c r="K140" s="45">
        <f>IF(OR(I140="",H140=0),"",MAX(0,MIN(1,(IF(P140&lt;&gt;"",P140,TODAY())-G140)/H140)))</f>
        <v/>
      </c>
      <c r="L140" s="46">
        <f>IF(B140="","",SUMIFS('المستخلصات'!$N$5:$N$304,'المستخلصات'!$B$5:$B$304,A140))</f>
        <v/>
      </c>
      <c r="M140" s="46">
        <f>IF(B140="","",SUMIFS('سندات القبض'!$K$5:$K$304,'سندات القبض'!$D$5:$D$304,A140))</f>
        <v/>
      </c>
      <c r="N140" s="46">
        <f>IF(B140="","",SUMIFS('سندات الصرف'!$L$5:$L$304,'سندات الصرف'!$D$5:$D$304,A140))</f>
        <v/>
      </c>
      <c r="O140" s="46">
        <f>IF(B140="","",M140-N140)</f>
        <v/>
      </c>
      <c r="P140" s="47" t="n"/>
      <c r="Q140" s="47" t="n"/>
      <c r="R140" s="48">
        <f>IF(B140="","",COUNTIFS('اعتماد المواد'!$B$5:$B$304,A140,'اعتماد المواد'!$M$5:$M$304,"قيد المراجعة"))</f>
        <v/>
      </c>
      <c r="S140" s="48">
        <f>IF(B140="","",COUNTIFS('عدم المطابقة'!$C$5:$C$304,A140,'عدم المطابقة'!$L$5:$L$304,"مفتوح*"))</f>
        <v/>
      </c>
      <c r="T140" s="48">
        <f>IF(B140="","",COUNTIFS('ملاحظات التسليم'!$B$5:$B$304,A140,'ملاحظات التسليم'!$K$5:$K$304,"مفتوح*"))</f>
        <v/>
      </c>
      <c r="U140" s="49">
        <f>IF(B140="","",IF(Q140&lt;&gt;"","مسلّم نهائياً",IF(P140&lt;&gt;"","فترة الضمان",IF(G140="","بانتظار استلام الموقع",IF(TODAY()&gt;I140,"متأخر عن التعاقد",IF(J140&lt;K140-0.1,"متأخر عن الخطة","جاري التنفيذ"))))))</f>
        <v/>
      </c>
    </row>
    <row r="141">
      <c r="A141" s="39">
        <f>IF(B141="","","PRJ-"&amp;TEXT(ROW()-4,"000"))</f>
        <v/>
      </c>
      <c r="B141" s="40" t="n"/>
      <c r="C141" s="40" t="n"/>
      <c r="D141" s="40" t="n"/>
      <c r="E141" s="40" t="n"/>
      <c r="F141" s="41" t="n"/>
      <c r="G141" s="42">
        <f>IF(B141="","",IFERROR(INDEX('استلام المواقع'!$D$5:$D$304,MATCH(A141,'استلام المواقع'!$B$5:$B$304,0)),""))</f>
        <v/>
      </c>
      <c r="H141" s="43" t="n"/>
      <c r="I141" s="42">
        <f>IF(OR(G141="",H141=""),"",G141+H141)</f>
        <v/>
      </c>
      <c r="J141" s="44" t="n"/>
      <c r="K141" s="45">
        <f>IF(OR(I141="",H141=0),"",MAX(0,MIN(1,(IF(P141&lt;&gt;"",P141,TODAY())-G141)/H141)))</f>
        <v/>
      </c>
      <c r="L141" s="46">
        <f>IF(B141="","",SUMIFS('المستخلصات'!$N$5:$N$304,'المستخلصات'!$B$5:$B$304,A141))</f>
        <v/>
      </c>
      <c r="M141" s="46">
        <f>IF(B141="","",SUMIFS('سندات القبض'!$K$5:$K$304,'سندات القبض'!$D$5:$D$304,A141))</f>
        <v/>
      </c>
      <c r="N141" s="46">
        <f>IF(B141="","",SUMIFS('سندات الصرف'!$L$5:$L$304,'سندات الصرف'!$D$5:$D$304,A141))</f>
        <v/>
      </c>
      <c r="O141" s="46">
        <f>IF(B141="","",M141-N141)</f>
        <v/>
      </c>
      <c r="P141" s="47" t="n"/>
      <c r="Q141" s="47" t="n"/>
      <c r="R141" s="48">
        <f>IF(B141="","",COUNTIFS('اعتماد المواد'!$B$5:$B$304,A141,'اعتماد المواد'!$M$5:$M$304,"قيد المراجعة"))</f>
        <v/>
      </c>
      <c r="S141" s="48">
        <f>IF(B141="","",COUNTIFS('عدم المطابقة'!$C$5:$C$304,A141,'عدم المطابقة'!$L$5:$L$304,"مفتوح*"))</f>
        <v/>
      </c>
      <c r="T141" s="48">
        <f>IF(B141="","",COUNTIFS('ملاحظات التسليم'!$B$5:$B$304,A141,'ملاحظات التسليم'!$K$5:$K$304,"مفتوح*"))</f>
        <v/>
      </c>
      <c r="U141" s="49">
        <f>IF(B141="","",IF(Q141&lt;&gt;"","مسلّم نهائياً",IF(P141&lt;&gt;"","فترة الضمان",IF(G141="","بانتظار استلام الموقع",IF(TODAY()&gt;I141,"متأخر عن التعاقد",IF(J141&lt;K141-0.1,"متأخر عن الخطة","جاري التنفيذ"))))))</f>
        <v/>
      </c>
    </row>
    <row r="142">
      <c r="A142" s="39">
        <f>IF(B142="","","PRJ-"&amp;TEXT(ROW()-4,"000"))</f>
        <v/>
      </c>
      <c r="B142" s="40" t="n"/>
      <c r="C142" s="40" t="n"/>
      <c r="D142" s="40" t="n"/>
      <c r="E142" s="40" t="n"/>
      <c r="F142" s="41" t="n"/>
      <c r="G142" s="42">
        <f>IF(B142="","",IFERROR(INDEX('استلام المواقع'!$D$5:$D$304,MATCH(A142,'استلام المواقع'!$B$5:$B$304,0)),""))</f>
        <v/>
      </c>
      <c r="H142" s="43" t="n"/>
      <c r="I142" s="42">
        <f>IF(OR(G142="",H142=""),"",G142+H142)</f>
        <v/>
      </c>
      <c r="J142" s="44" t="n"/>
      <c r="K142" s="45">
        <f>IF(OR(I142="",H142=0),"",MAX(0,MIN(1,(IF(P142&lt;&gt;"",P142,TODAY())-G142)/H142)))</f>
        <v/>
      </c>
      <c r="L142" s="46">
        <f>IF(B142="","",SUMIFS('المستخلصات'!$N$5:$N$304,'المستخلصات'!$B$5:$B$304,A142))</f>
        <v/>
      </c>
      <c r="M142" s="46">
        <f>IF(B142="","",SUMIFS('سندات القبض'!$K$5:$K$304,'سندات القبض'!$D$5:$D$304,A142))</f>
        <v/>
      </c>
      <c r="N142" s="46">
        <f>IF(B142="","",SUMIFS('سندات الصرف'!$L$5:$L$304,'سندات الصرف'!$D$5:$D$304,A142))</f>
        <v/>
      </c>
      <c r="O142" s="46">
        <f>IF(B142="","",M142-N142)</f>
        <v/>
      </c>
      <c r="P142" s="47" t="n"/>
      <c r="Q142" s="47" t="n"/>
      <c r="R142" s="48">
        <f>IF(B142="","",COUNTIFS('اعتماد المواد'!$B$5:$B$304,A142,'اعتماد المواد'!$M$5:$M$304,"قيد المراجعة"))</f>
        <v/>
      </c>
      <c r="S142" s="48">
        <f>IF(B142="","",COUNTIFS('عدم المطابقة'!$C$5:$C$304,A142,'عدم المطابقة'!$L$5:$L$304,"مفتوح*"))</f>
        <v/>
      </c>
      <c r="T142" s="48">
        <f>IF(B142="","",COUNTIFS('ملاحظات التسليم'!$B$5:$B$304,A142,'ملاحظات التسليم'!$K$5:$K$304,"مفتوح*"))</f>
        <v/>
      </c>
      <c r="U142" s="49">
        <f>IF(B142="","",IF(Q142&lt;&gt;"","مسلّم نهائياً",IF(P142&lt;&gt;"","فترة الضمان",IF(G142="","بانتظار استلام الموقع",IF(TODAY()&gt;I142,"متأخر عن التعاقد",IF(J142&lt;K142-0.1,"متأخر عن الخطة","جاري التنفيذ"))))))</f>
        <v/>
      </c>
    </row>
    <row r="143">
      <c r="A143" s="39">
        <f>IF(B143="","","PRJ-"&amp;TEXT(ROW()-4,"000"))</f>
        <v/>
      </c>
      <c r="B143" s="40" t="n"/>
      <c r="C143" s="40" t="n"/>
      <c r="D143" s="40" t="n"/>
      <c r="E143" s="40" t="n"/>
      <c r="F143" s="41" t="n"/>
      <c r="G143" s="42">
        <f>IF(B143="","",IFERROR(INDEX('استلام المواقع'!$D$5:$D$304,MATCH(A143,'استلام المواقع'!$B$5:$B$304,0)),""))</f>
        <v/>
      </c>
      <c r="H143" s="43" t="n"/>
      <c r="I143" s="42">
        <f>IF(OR(G143="",H143=""),"",G143+H143)</f>
        <v/>
      </c>
      <c r="J143" s="44" t="n"/>
      <c r="K143" s="45">
        <f>IF(OR(I143="",H143=0),"",MAX(0,MIN(1,(IF(P143&lt;&gt;"",P143,TODAY())-G143)/H143)))</f>
        <v/>
      </c>
      <c r="L143" s="46">
        <f>IF(B143="","",SUMIFS('المستخلصات'!$N$5:$N$304,'المستخلصات'!$B$5:$B$304,A143))</f>
        <v/>
      </c>
      <c r="M143" s="46">
        <f>IF(B143="","",SUMIFS('سندات القبض'!$K$5:$K$304,'سندات القبض'!$D$5:$D$304,A143))</f>
        <v/>
      </c>
      <c r="N143" s="46">
        <f>IF(B143="","",SUMIFS('سندات الصرف'!$L$5:$L$304,'سندات الصرف'!$D$5:$D$304,A143))</f>
        <v/>
      </c>
      <c r="O143" s="46">
        <f>IF(B143="","",M143-N143)</f>
        <v/>
      </c>
      <c r="P143" s="47" t="n"/>
      <c r="Q143" s="47" t="n"/>
      <c r="R143" s="48">
        <f>IF(B143="","",COUNTIFS('اعتماد المواد'!$B$5:$B$304,A143,'اعتماد المواد'!$M$5:$M$304,"قيد المراجعة"))</f>
        <v/>
      </c>
      <c r="S143" s="48">
        <f>IF(B143="","",COUNTIFS('عدم المطابقة'!$C$5:$C$304,A143,'عدم المطابقة'!$L$5:$L$304,"مفتوح*"))</f>
        <v/>
      </c>
      <c r="T143" s="48">
        <f>IF(B143="","",COUNTIFS('ملاحظات التسليم'!$B$5:$B$304,A143,'ملاحظات التسليم'!$K$5:$K$304,"مفتوح*"))</f>
        <v/>
      </c>
      <c r="U143" s="49">
        <f>IF(B143="","",IF(Q143&lt;&gt;"","مسلّم نهائياً",IF(P143&lt;&gt;"","فترة الضمان",IF(G143="","بانتظار استلام الموقع",IF(TODAY()&gt;I143,"متأخر عن التعاقد",IF(J143&lt;K143-0.1,"متأخر عن الخطة","جاري التنفيذ"))))))</f>
        <v/>
      </c>
    </row>
    <row r="144">
      <c r="A144" s="39">
        <f>IF(B144="","","PRJ-"&amp;TEXT(ROW()-4,"000"))</f>
        <v/>
      </c>
      <c r="B144" s="40" t="n"/>
      <c r="C144" s="40" t="n"/>
      <c r="D144" s="40" t="n"/>
      <c r="E144" s="40" t="n"/>
      <c r="F144" s="41" t="n"/>
      <c r="G144" s="42">
        <f>IF(B144="","",IFERROR(INDEX('استلام المواقع'!$D$5:$D$304,MATCH(A144,'استلام المواقع'!$B$5:$B$304,0)),""))</f>
        <v/>
      </c>
      <c r="H144" s="43" t="n"/>
      <c r="I144" s="42">
        <f>IF(OR(G144="",H144=""),"",G144+H144)</f>
        <v/>
      </c>
      <c r="J144" s="44" t="n"/>
      <c r="K144" s="45">
        <f>IF(OR(I144="",H144=0),"",MAX(0,MIN(1,(IF(P144&lt;&gt;"",P144,TODAY())-G144)/H144)))</f>
        <v/>
      </c>
      <c r="L144" s="46">
        <f>IF(B144="","",SUMIFS('المستخلصات'!$N$5:$N$304,'المستخلصات'!$B$5:$B$304,A144))</f>
        <v/>
      </c>
      <c r="M144" s="46">
        <f>IF(B144="","",SUMIFS('سندات القبض'!$K$5:$K$304,'سندات القبض'!$D$5:$D$304,A144))</f>
        <v/>
      </c>
      <c r="N144" s="46">
        <f>IF(B144="","",SUMIFS('سندات الصرف'!$L$5:$L$304,'سندات الصرف'!$D$5:$D$304,A144))</f>
        <v/>
      </c>
      <c r="O144" s="46">
        <f>IF(B144="","",M144-N144)</f>
        <v/>
      </c>
      <c r="P144" s="47" t="n"/>
      <c r="Q144" s="47" t="n"/>
      <c r="R144" s="48">
        <f>IF(B144="","",COUNTIFS('اعتماد المواد'!$B$5:$B$304,A144,'اعتماد المواد'!$M$5:$M$304,"قيد المراجعة"))</f>
        <v/>
      </c>
      <c r="S144" s="48">
        <f>IF(B144="","",COUNTIFS('عدم المطابقة'!$C$5:$C$304,A144,'عدم المطابقة'!$L$5:$L$304,"مفتوح*"))</f>
        <v/>
      </c>
      <c r="T144" s="48">
        <f>IF(B144="","",COUNTIFS('ملاحظات التسليم'!$B$5:$B$304,A144,'ملاحظات التسليم'!$K$5:$K$304,"مفتوح*"))</f>
        <v/>
      </c>
      <c r="U144" s="49">
        <f>IF(B144="","",IF(Q144&lt;&gt;"","مسلّم نهائياً",IF(P144&lt;&gt;"","فترة الضمان",IF(G144="","بانتظار استلام الموقع",IF(TODAY()&gt;I144,"متأخر عن التعاقد",IF(J144&lt;K144-0.1,"متأخر عن الخطة","جاري التنفيذ"))))))</f>
        <v/>
      </c>
    </row>
    <row r="145">
      <c r="A145" s="39">
        <f>IF(B145="","","PRJ-"&amp;TEXT(ROW()-4,"000"))</f>
        <v/>
      </c>
      <c r="B145" s="40" t="n"/>
      <c r="C145" s="40" t="n"/>
      <c r="D145" s="40" t="n"/>
      <c r="E145" s="40" t="n"/>
      <c r="F145" s="41" t="n"/>
      <c r="G145" s="42">
        <f>IF(B145="","",IFERROR(INDEX('استلام المواقع'!$D$5:$D$304,MATCH(A145,'استلام المواقع'!$B$5:$B$304,0)),""))</f>
        <v/>
      </c>
      <c r="H145" s="43" t="n"/>
      <c r="I145" s="42">
        <f>IF(OR(G145="",H145=""),"",G145+H145)</f>
        <v/>
      </c>
      <c r="J145" s="44" t="n"/>
      <c r="K145" s="45">
        <f>IF(OR(I145="",H145=0),"",MAX(0,MIN(1,(IF(P145&lt;&gt;"",P145,TODAY())-G145)/H145)))</f>
        <v/>
      </c>
      <c r="L145" s="46">
        <f>IF(B145="","",SUMIFS('المستخلصات'!$N$5:$N$304,'المستخلصات'!$B$5:$B$304,A145))</f>
        <v/>
      </c>
      <c r="M145" s="46">
        <f>IF(B145="","",SUMIFS('سندات القبض'!$K$5:$K$304,'سندات القبض'!$D$5:$D$304,A145))</f>
        <v/>
      </c>
      <c r="N145" s="46">
        <f>IF(B145="","",SUMIFS('سندات الصرف'!$L$5:$L$304,'سندات الصرف'!$D$5:$D$304,A145))</f>
        <v/>
      </c>
      <c r="O145" s="46">
        <f>IF(B145="","",M145-N145)</f>
        <v/>
      </c>
      <c r="P145" s="47" t="n"/>
      <c r="Q145" s="47" t="n"/>
      <c r="R145" s="48">
        <f>IF(B145="","",COUNTIFS('اعتماد المواد'!$B$5:$B$304,A145,'اعتماد المواد'!$M$5:$M$304,"قيد المراجعة"))</f>
        <v/>
      </c>
      <c r="S145" s="48">
        <f>IF(B145="","",COUNTIFS('عدم المطابقة'!$C$5:$C$304,A145,'عدم المطابقة'!$L$5:$L$304,"مفتوح*"))</f>
        <v/>
      </c>
      <c r="T145" s="48">
        <f>IF(B145="","",COUNTIFS('ملاحظات التسليم'!$B$5:$B$304,A145,'ملاحظات التسليم'!$K$5:$K$304,"مفتوح*"))</f>
        <v/>
      </c>
      <c r="U145" s="49">
        <f>IF(B145="","",IF(Q145&lt;&gt;"","مسلّم نهائياً",IF(P145&lt;&gt;"","فترة الضمان",IF(G145="","بانتظار استلام الموقع",IF(TODAY()&gt;I145,"متأخر عن التعاقد",IF(J145&lt;K145-0.1,"متأخر عن الخطة","جاري التنفيذ"))))))</f>
        <v/>
      </c>
    </row>
    <row r="146">
      <c r="A146" s="39">
        <f>IF(B146="","","PRJ-"&amp;TEXT(ROW()-4,"000"))</f>
        <v/>
      </c>
      <c r="B146" s="40" t="n"/>
      <c r="C146" s="40" t="n"/>
      <c r="D146" s="40" t="n"/>
      <c r="E146" s="40" t="n"/>
      <c r="F146" s="41" t="n"/>
      <c r="G146" s="42">
        <f>IF(B146="","",IFERROR(INDEX('استلام المواقع'!$D$5:$D$304,MATCH(A146,'استلام المواقع'!$B$5:$B$304,0)),""))</f>
        <v/>
      </c>
      <c r="H146" s="43" t="n"/>
      <c r="I146" s="42">
        <f>IF(OR(G146="",H146=""),"",G146+H146)</f>
        <v/>
      </c>
      <c r="J146" s="44" t="n"/>
      <c r="K146" s="45">
        <f>IF(OR(I146="",H146=0),"",MAX(0,MIN(1,(IF(P146&lt;&gt;"",P146,TODAY())-G146)/H146)))</f>
        <v/>
      </c>
      <c r="L146" s="46">
        <f>IF(B146="","",SUMIFS('المستخلصات'!$N$5:$N$304,'المستخلصات'!$B$5:$B$304,A146))</f>
        <v/>
      </c>
      <c r="M146" s="46">
        <f>IF(B146="","",SUMIFS('سندات القبض'!$K$5:$K$304,'سندات القبض'!$D$5:$D$304,A146))</f>
        <v/>
      </c>
      <c r="N146" s="46">
        <f>IF(B146="","",SUMIFS('سندات الصرف'!$L$5:$L$304,'سندات الصرف'!$D$5:$D$304,A146))</f>
        <v/>
      </c>
      <c r="O146" s="46">
        <f>IF(B146="","",M146-N146)</f>
        <v/>
      </c>
      <c r="P146" s="47" t="n"/>
      <c r="Q146" s="47" t="n"/>
      <c r="R146" s="48">
        <f>IF(B146="","",COUNTIFS('اعتماد المواد'!$B$5:$B$304,A146,'اعتماد المواد'!$M$5:$M$304,"قيد المراجعة"))</f>
        <v/>
      </c>
      <c r="S146" s="48">
        <f>IF(B146="","",COUNTIFS('عدم المطابقة'!$C$5:$C$304,A146,'عدم المطابقة'!$L$5:$L$304,"مفتوح*"))</f>
        <v/>
      </c>
      <c r="T146" s="48">
        <f>IF(B146="","",COUNTIFS('ملاحظات التسليم'!$B$5:$B$304,A146,'ملاحظات التسليم'!$K$5:$K$304,"مفتوح*"))</f>
        <v/>
      </c>
      <c r="U146" s="49">
        <f>IF(B146="","",IF(Q146&lt;&gt;"","مسلّم نهائياً",IF(P146&lt;&gt;"","فترة الضمان",IF(G146="","بانتظار استلام الموقع",IF(TODAY()&gt;I146,"متأخر عن التعاقد",IF(J146&lt;K146-0.1,"متأخر عن الخطة","جاري التنفيذ"))))))</f>
        <v/>
      </c>
    </row>
    <row r="147">
      <c r="A147" s="39">
        <f>IF(B147="","","PRJ-"&amp;TEXT(ROW()-4,"000"))</f>
        <v/>
      </c>
      <c r="B147" s="40" t="n"/>
      <c r="C147" s="40" t="n"/>
      <c r="D147" s="40" t="n"/>
      <c r="E147" s="40" t="n"/>
      <c r="F147" s="41" t="n"/>
      <c r="G147" s="42">
        <f>IF(B147="","",IFERROR(INDEX('استلام المواقع'!$D$5:$D$304,MATCH(A147,'استلام المواقع'!$B$5:$B$304,0)),""))</f>
        <v/>
      </c>
      <c r="H147" s="43" t="n"/>
      <c r="I147" s="42">
        <f>IF(OR(G147="",H147=""),"",G147+H147)</f>
        <v/>
      </c>
      <c r="J147" s="44" t="n"/>
      <c r="K147" s="45">
        <f>IF(OR(I147="",H147=0),"",MAX(0,MIN(1,(IF(P147&lt;&gt;"",P147,TODAY())-G147)/H147)))</f>
        <v/>
      </c>
      <c r="L147" s="46">
        <f>IF(B147="","",SUMIFS('المستخلصات'!$N$5:$N$304,'المستخلصات'!$B$5:$B$304,A147))</f>
        <v/>
      </c>
      <c r="M147" s="46">
        <f>IF(B147="","",SUMIFS('سندات القبض'!$K$5:$K$304,'سندات القبض'!$D$5:$D$304,A147))</f>
        <v/>
      </c>
      <c r="N147" s="46">
        <f>IF(B147="","",SUMIFS('سندات الصرف'!$L$5:$L$304,'سندات الصرف'!$D$5:$D$304,A147))</f>
        <v/>
      </c>
      <c r="O147" s="46">
        <f>IF(B147="","",M147-N147)</f>
        <v/>
      </c>
      <c r="P147" s="47" t="n"/>
      <c r="Q147" s="47" t="n"/>
      <c r="R147" s="48">
        <f>IF(B147="","",COUNTIFS('اعتماد المواد'!$B$5:$B$304,A147,'اعتماد المواد'!$M$5:$M$304,"قيد المراجعة"))</f>
        <v/>
      </c>
      <c r="S147" s="48">
        <f>IF(B147="","",COUNTIFS('عدم المطابقة'!$C$5:$C$304,A147,'عدم المطابقة'!$L$5:$L$304,"مفتوح*"))</f>
        <v/>
      </c>
      <c r="T147" s="48">
        <f>IF(B147="","",COUNTIFS('ملاحظات التسليم'!$B$5:$B$304,A147,'ملاحظات التسليم'!$K$5:$K$304,"مفتوح*"))</f>
        <v/>
      </c>
      <c r="U147" s="49">
        <f>IF(B147="","",IF(Q147&lt;&gt;"","مسلّم نهائياً",IF(P147&lt;&gt;"","فترة الضمان",IF(G147="","بانتظار استلام الموقع",IF(TODAY()&gt;I147,"متأخر عن التعاقد",IF(J147&lt;K147-0.1,"متأخر عن الخطة","جاري التنفيذ"))))))</f>
        <v/>
      </c>
    </row>
    <row r="148">
      <c r="A148" s="39">
        <f>IF(B148="","","PRJ-"&amp;TEXT(ROW()-4,"000"))</f>
        <v/>
      </c>
      <c r="B148" s="40" t="n"/>
      <c r="C148" s="40" t="n"/>
      <c r="D148" s="40" t="n"/>
      <c r="E148" s="40" t="n"/>
      <c r="F148" s="41" t="n"/>
      <c r="G148" s="42">
        <f>IF(B148="","",IFERROR(INDEX('استلام المواقع'!$D$5:$D$304,MATCH(A148,'استلام المواقع'!$B$5:$B$304,0)),""))</f>
        <v/>
      </c>
      <c r="H148" s="43" t="n"/>
      <c r="I148" s="42">
        <f>IF(OR(G148="",H148=""),"",G148+H148)</f>
        <v/>
      </c>
      <c r="J148" s="44" t="n"/>
      <c r="K148" s="45">
        <f>IF(OR(I148="",H148=0),"",MAX(0,MIN(1,(IF(P148&lt;&gt;"",P148,TODAY())-G148)/H148)))</f>
        <v/>
      </c>
      <c r="L148" s="46">
        <f>IF(B148="","",SUMIFS('المستخلصات'!$N$5:$N$304,'المستخلصات'!$B$5:$B$304,A148))</f>
        <v/>
      </c>
      <c r="M148" s="46">
        <f>IF(B148="","",SUMIFS('سندات القبض'!$K$5:$K$304,'سندات القبض'!$D$5:$D$304,A148))</f>
        <v/>
      </c>
      <c r="N148" s="46">
        <f>IF(B148="","",SUMIFS('سندات الصرف'!$L$5:$L$304,'سندات الصرف'!$D$5:$D$304,A148))</f>
        <v/>
      </c>
      <c r="O148" s="46">
        <f>IF(B148="","",M148-N148)</f>
        <v/>
      </c>
      <c r="P148" s="47" t="n"/>
      <c r="Q148" s="47" t="n"/>
      <c r="R148" s="48">
        <f>IF(B148="","",COUNTIFS('اعتماد المواد'!$B$5:$B$304,A148,'اعتماد المواد'!$M$5:$M$304,"قيد المراجعة"))</f>
        <v/>
      </c>
      <c r="S148" s="48">
        <f>IF(B148="","",COUNTIFS('عدم المطابقة'!$C$5:$C$304,A148,'عدم المطابقة'!$L$5:$L$304,"مفتوح*"))</f>
        <v/>
      </c>
      <c r="T148" s="48">
        <f>IF(B148="","",COUNTIFS('ملاحظات التسليم'!$B$5:$B$304,A148,'ملاحظات التسليم'!$K$5:$K$304,"مفتوح*"))</f>
        <v/>
      </c>
      <c r="U148" s="49">
        <f>IF(B148="","",IF(Q148&lt;&gt;"","مسلّم نهائياً",IF(P148&lt;&gt;"","فترة الضمان",IF(G148="","بانتظار استلام الموقع",IF(TODAY()&gt;I148,"متأخر عن التعاقد",IF(J148&lt;K148-0.1,"متأخر عن الخطة","جاري التنفيذ"))))))</f>
        <v/>
      </c>
    </row>
    <row r="149">
      <c r="A149" s="39">
        <f>IF(B149="","","PRJ-"&amp;TEXT(ROW()-4,"000"))</f>
        <v/>
      </c>
      <c r="B149" s="40" t="n"/>
      <c r="C149" s="40" t="n"/>
      <c r="D149" s="40" t="n"/>
      <c r="E149" s="40" t="n"/>
      <c r="F149" s="41" t="n"/>
      <c r="G149" s="42">
        <f>IF(B149="","",IFERROR(INDEX('استلام المواقع'!$D$5:$D$304,MATCH(A149,'استلام المواقع'!$B$5:$B$304,0)),""))</f>
        <v/>
      </c>
      <c r="H149" s="43" t="n"/>
      <c r="I149" s="42">
        <f>IF(OR(G149="",H149=""),"",G149+H149)</f>
        <v/>
      </c>
      <c r="J149" s="44" t="n"/>
      <c r="K149" s="45">
        <f>IF(OR(I149="",H149=0),"",MAX(0,MIN(1,(IF(P149&lt;&gt;"",P149,TODAY())-G149)/H149)))</f>
        <v/>
      </c>
      <c r="L149" s="46">
        <f>IF(B149="","",SUMIFS('المستخلصات'!$N$5:$N$304,'المستخلصات'!$B$5:$B$304,A149))</f>
        <v/>
      </c>
      <c r="M149" s="46">
        <f>IF(B149="","",SUMIFS('سندات القبض'!$K$5:$K$304,'سندات القبض'!$D$5:$D$304,A149))</f>
        <v/>
      </c>
      <c r="N149" s="46">
        <f>IF(B149="","",SUMIFS('سندات الصرف'!$L$5:$L$304,'سندات الصرف'!$D$5:$D$304,A149))</f>
        <v/>
      </c>
      <c r="O149" s="46">
        <f>IF(B149="","",M149-N149)</f>
        <v/>
      </c>
      <c r="P149" s="47" t="n"/>
      <c r="Q149" s="47" t="n"/>
      <c r="R149" s="48">
        <f>IF(B149="","",COUNTIFS('اعتماد المواد'!$B$5:$B$304,A149,'اعتماد المواد'!$M$5:$M$304,"قيد المراجعة"))</f>
        <v/>
      </c>
      <c r="S149" s="48">
        <f>IF(B149="","",COUNTIFS('عدم المطابقة'!$C$5:$C$304,A149,'عدم المطابقة'!$L$5:$L$304,"مفتوح*"))</f>
        <v/>
      </c>
      <c r="T149" s="48">
        <f>IF(B149="","",COUNTIFS('ملاحظات التسليم'!$B$5:$B$304,A149,'ملاحظات التسليم'!$K$5:$K$304,"مفتوح*"))</f>
        <v/>
      </c>
      <c r="U149" s="49">
        <f>IF(B149="","",IF(Q149&lt;&gt;"","مسلّم نهائياً",IF(P149&lt;&gt;"","فترة الضمان",IF(G149="","بانتظار استلام الموقع",IF(TODAY()&gt;I149,"متأخر عن التعاقد",IF(J149&lt;K149-0.1,"متأخر عن الخطة","جاري التنفيذ"))))))</f>
        <v/>
      </c>
    </row>
    <row r="150">
      <c r="A150" s="39">
        <f>IF(B150="","","PRJ-"&amp;TEXT(ROW()-4,"000"))</f>
        <v/>
      </c>
      <c r="B150" s="40" t="n"/>
      <c r="C150" s="40" t="n"/>
      <c r="D150" s="40" t="n"/>
      <c r="E150" s="40" t="n"/>
      <c r="F150" s="41" t="n"/>
      <c r="G150" s="42">
        <f>IF(B150="","",IFERROR(INDEX('استلام المواقع'!$D$5:$D$304,MATCH(A150,'استلام المواقع'!$B$5:$B$304,0)),""))</f>
        <v/>
      </c>
      <c r="H150" s="43" t="n"/>
      <c r="I150" s="42">
        <f>IF(OR(G150="",H150=""),"",G150+H150)</f>
        <v/>
      </c>
      <c r="J150" s="44" t="n"/>
      <c r="K150" s="45">
        <f>IF(OR(I150="",H150=0),"",MAX(0,MIN(1,(IF(P150&lt;&gt;"",P150,TODAY())-G150)/H150)))</f>
        <v/>
      </c>
      <c r="L150" s="46">
        <f>IF(B150="","",SUMIFS('المستخلصات'!$N$5:$N$304,'المستخلصات'!$B$5:$B$304,A150))</f>
        <v/>
      </c>
      <c r="M150" s="46">
        <f>IF(B150="","",SUMIFS('سندات القبض'!$K$5:$K$304,'سندات القبض'!$D$5:$D$304,A150))</f>
        <v/>
      </c>
      <c r="N150" s="46">
        <f>IF(B150="","",SUMIFS('سندات الصرف'!$L$5:$L$304,'سندات الصرف'!$D$5:$D$304,A150))</f>
        <v/>
      </c>
      <c r="O150" s="46">
        <f>IF(B150="","",M150-N150)</f>
        <v/>
      </c>
      <c r="P150" s="47" t="n"/>
      <c r="Q150" s="47" t="n"/>
      <c r="R150" s="48">
        <f>IF(B150="","",COUNTIFS('اعتماد المواد'!$B$5:$B$304,A150,'اعتماد المواد'!$M$5:$M$304,"قيد المراجعة"))</f>
        <v/>
      </c>
      <c r="S150" s="48">
        <f>IF(B150="","",COUNTIFS('عدم المطابقة'!$C$5:$C$304,A150,'عدم المطابقة'!$L$5:$L$304,"مفتوح*"))</f>
        <v/>
      </c>
      <c r="T150" s="48">
        <f>IF(B150="","",COUNTIFS('ملاحظات التسليم'!$B$5:$B$304,A150,'ملاحظات التسليم'!$K$5:$K$304,"مفتوح*"))</f>
        <v/>
      </c>
      <c r="U150" s="49">
        <f>IF(B150="","",IF(Q150&lt;&gt;"","مسلّم نهائياً",IF(P150&lt;&gt;"","فترة الضمان",IF(G150="","بانتظار استلام الموقع",IF(TODAY()&gt;I150,"متأخر عن التعاقد",IF(J150&lt;K150-0.1,"متأخر عن الخطة","جاري التنفيذ"))))))</f>
        <v/>
      </c>
    </row>
    <row r="151">
      <c r="A151" s="39">
        <f>IF(B151="","","PRJ-"&amp;TEXT(ROW()-4,"000"))</f>
        <v/>
      </c>
      <c r="B151" s="40" t="n"/>
      <c r="C151" s="40" t="n"/>
      <c r="D151" s="40" t="n"/>
      <c r="E151" s="40" t="n"/>
      <c r="F151" s="41" t="n"/>
      <c r="G151" s="42">
        <f>IF(B151="","",IFERROR(INDEX('استلام المواقع'!$D$5:$D$304,MATCH(A151,'استلام المواقع'!$B$5:$B$304,0)),""))</f>
        <v/>
      </c>
      <c r="H151" s="43" t="n"/>
      <c r="I151" s="42">
        <f>IF(OR(G151="",H151=""),"",G151+H151)</f>
        <v/>
      </c>
      <c r="J151" s="44" t="n"/>
      <c r="K151" s="45">
        <f>IF(OR(I151="",H151=0),"",MAX(0,MIN(1,(IF(P151&lt;&gt;"",P151,TODAY())-G151)/H151)))</f>
        <v/>
      </c>
      <c r="L151" s="46">
        <f>IF(B151="","",SUMIFS('المستخلصات'!$N$5:$N$304,'المستخلصات'!$B$5:$B$304,A151))</f>
        <v/>
      </c>
      <c r="M151" s="46">
        <f>IF(B151="","",SUMIFS('سندات القبض'!$K$5:$K$304,'سندات القبض'!$D$5:$D$304,A151))</f>
        <v/>
      </c>
      <c r="N151" s="46">
        <f>IF(B151="","",SUMIFS('سندات الصرف'!$L$5:$L$304,'سندات الصرف'!$D$5:$D$304,A151))</f>
        <v/>
      </c>
      <c r="O151" s="46">
        <f>IF(B151="","",M151-N151)</f>
        <v/>
      </c>
      <c r="P151" s="47" t="n"/>
      <c r="Q151" s="47" t="n"/>
      <c r="R151" s="48">
        <f>IF(B151="","",COUNTIFS('اعتماد المواد'!$B$5:$B$304,A151,'اعتماد المواد'!$M$5:$M$304,"قيد المراجعة"))</f>
        <v/>
      </c>
      <c r="S151" s="48">
        <f>IF(B151="","",COUNTIFS('عدم المطابقة'!$C$5:$C$304,A151,'عدم المطابقة'!$L$5:$L$304,"مفتوح*"))</f>
        <v/>
      </c>
      <c r="T151" s="48">
        <f>IF(B151="","",COUNTIFS('ملاحظات التسليم'!$B$5:$B$304,A151,'ملاحظات التسليم'!$K$5:$K$304,"مفتوح*"))</f>
        <v/>
      </c>
      <c r="U151" s="49">
        <f>IF(B151="","",IF(Q151&lt;&gt;"","مسلّم نهائياً",IF(P151&lt;&gt;"","فترة الضمان",IF(G151="","بانتظار استلام الموقع",IF(TODAY()&gt;I151,"متأخر عن التعاقد",IF(J151&lt;K151-0.1,"متأخر عن الخطة","جاري التنفيذ"))))))</f>
        <v/>
      </c>
    </row>
    <row r="152">
      <c r="A152" s="39">
        <f>IF(B152="","","PRJ-"&amp;TEXT(ROW()-4,"000"))</f>
        <v/>
      </c>
      <c r="B152" s="40" t="n"/>
      <c r="C152" s="40" t="n"/>
      <c r="D152" s="40" t="n"/>
      <c r="E152" s="40" t="n"/>
      <c r="F152" s="41" t="n"/>
      <c r="G152" s="42">
        <f>IF(B152="","",IFERROR(INDEX('استلام المواقع'!$D$5:$D$304,MATCH(A152,'استلام المواقع'!$B$5:$B$304,0)),""))</f>
        <v/>
      </c>
      <c r="H152" s="43" t="n"/>
      <c r="I152" s="42">
        <f>IF(OR(G152="",H152=""),"",G152+H152)</f>
        <v/>
      </c>
      <c r="J152" s="44" t="n"/>
      <c r="K152" s="45">
        <f>IF(OR(I152="",H152=0),"",MAX(0,MIN(1,(IF(P152&lt;&gt;"",P152,TODAY())-G152)/H152)))</f>
        <v/>
      </c>
      <c r="L152" s="46">
        <f>IF(B152="","",SUMIFS('المستخلصات'!$N$5:$N$304,'المستخلصات'!$B$5:$B$304,A152))</f>
        <v/>
      </c>
      <c r="M152" s="46">
        <f>IF(B152="","",SUMIFS('سندات القبض'!$K$5:$K$304,'سندات القبض'!$D$5:$D$304,A152))</f>
        <v/>
      </c>
      <c r="N152" s="46">
        <f>IF(B152="","",SUMIFS('سندات الصرف'!$L$5:$L$304,'سندات الصرف'!$D$5:$D$304,A152))</f>
        <v/>
      </c>
      <c r="O152" s="46">
        <f>IF(B152="","",M152-N152)</f>
        <v/>
      </c>
      <c r="P152" s="47" t="n"/>
      <c r="Q152" s="47" t="n"/>
      <c r="R152" s="48">
        <f>IF(B152="","",COUNTIFS('اعتماد المواد'!$B$5:$B$304,A152,'اعتماد المواد'!$M$5:$M$304,"قيد المراجعة"))</f>
        <v/>
      </c>
      <c r="S152" s="48">
        <f>IF(B152="","",COUNTIFS('عدم المطابقة'!$C$5:$C$304,A152,'عدم المطابقة'!$L$5:$L$304,"مفتوح*"))</f>
        <v/>
      </c>
      <c r="T152" s="48">
        <f>IF(B152="","",COUNTIFS('ملاحظات التسليم'!$B$5:$B$304,A152,'ملاحظات التسليم'!$K$5:$K$304,"مفتوح*"))</f>
        <v/>
      </c>
      <c r="U152" s="49">
        <f>IF(B152="","",IF(Q152&lt;&gt;"","مسلّم نهائياً",IF(P152&lt;&gt;"","فترة الضمان",IF(G152="","بانتظار استلام الموقع",IF(TODAY()&gt;I152,"متأخر عن التعاقد",IF(J152&lt;K152-0.1,"متأخر عن الخطة","جاري التنفيذ"))))))</f>
        <v/>
      </c>
    </row>
    <row r="153">
      <c r="A153" s="39">
        <f>IF(B153="","","PRJ-"&amp;TEXT(ROW()-4,"000"))</f>
        <v/>
      </c>
      <c r="B153" s="40" t="n"/>
      <c r="C153" s="40" t="n"/>
      <c r="D153" s="40" t="n"/>
      <c r="E153" s="40" t="n"/>
      <c r="F153" s="41" t="n"/>
      <c r="G153" s="42">
        <f>IF(B153="","",IFERROR(INDEX('استلام المواقع'!$D$5:$D$304,MATCH(A153,'استلام المواقع'!$B$5:$B$304,0)),""))</f>
        <v/>
      </c>
      <c r="H153" s="43" t="n"/>
      <c r="I153" s="42">
        <f>IF(OR(G153="",H153=""),"",G153+H153)</f>
        <v/>
      </c>
      <c r="J153" s="44" t="n"/>
      <c r="K153" s="45">
        <f>IF(OR(I153="",H153=0),"",MAX(0,MIN(1,(IF(P153&lt;&gt;"",P153,TODAY())-G153)/H153)))</f>
        <v/>
      </c>
      <c r="L153" s="46">
        <f>IF(B153="","",SUMIFS('المستخلصات'!$N$5:$N$304,'المستخلصات'!$B$5:$B$304,A153))</f>
        <v/>
      </c>
      <c r="M153" s="46">
        <f>IF(B153="","",SUMIFS('سندات القبض'!$K$5:$K$304,'سندات القبض'!$D$5:$D$304,A153))</f>
        <v/>
      </c>
      <c r="N153" s="46">
        <f>IF(B153="","",SUMIFS('سندات الصرف'!$L$5:$L$304,'سندات الصرف'!$D$5:$D$304,A153))</f>
        <v/>
      </c>
      <c r="O153" s="46">
        <f>IF(B153="","",M153-N153)</f>
        <v/>
      </c>
      <c r="P153" s="47" t="n"/>
      <c r="Q153" s="47" t="n"/>
      <c r="R153" s="48">
        <f>IF(B153="","",COUNTIFS('اعتماد المواد'!$B$5:$B$304,A153,'اعتماد المواد'!$M$5:$M$304,"قيد المراجعة"))</f>
        <v/>
      </c>
      <c r="S153" s="48">
        <f>IF(B153="","",COUNTIFS('عدم المطابقة'!$C$5:$C$304,A153,'عدم المطابقة'!$L$5:$L$304,"مفتوح*"))</f>
        <v/>
      </c>
      <c r="T153" s="48">
        <f>IF(B153="","",COUNTIFS('ملاحظات التسليم'!$B$5:$B$304,A153,'ملاحظات التسليم'!$K$5:$K$304,"مفتوح*"))</f>
        <v/>
      </c>
      <c r="U153" s="49">
        <f>IF(B153="","",IF(Q153&lt;&gt;"","مسلّم نهائياً",IF(P153&lt;&gt;"","فترة الضمان",IF(G153="","بانتظار استلام الموقع",IF(TODAY()&gt;I153,"متأخر عن التعاقد",IF(J153&lt;K153-0.1,"متأخر عن الخطة","جاري التنفيذ"))))))</f>
        <v/>
      </c>
    </row>
    <row r="154">
      <c r="A154" s="39">
        <f>IF(B154="","","PRJ-"&amp;TEXT(ROW()-4,"000"))</f>
        <v/>
      </c>
      <c r="B154" s="40" t="n"/>
      <c r="C154" s="40" t="n"/>
      <c r="D154" s="40" t="n"/>
      <c r="E154" s="40" t="n"/>
      <c r="F154" s="41" t="n"/>
      <c r="G154" s="42">
        <f>IF(B154="","",IFERROR(INDEX('استلام المواقع'!$D$5:$D$304,MATCH(A154,'استلام المواقع'!$B$5:$B$304,0)),""))</f>
        <v/>
      </c>
      <c r="H154" s="43" t="n"/>
      <c r="I154" s="42">
        <f>IF(OR(G154="",H154=""),"",G154+H154)</f>
        <v/>
      </c>
      <c r="J154" s="44" t="n"/>
      <c r="K154" s="45">
        <f>IF(OR(I154="",H154=0),"",MAX(0,MIN(1,(IF(P154&lt;&gt;"",P154,TODAY())-G154)/H154)))</f>
        <v/>
      </c>
      <c r="L154" s="46">
        <f>IF(B154="","",SUMIFS('المستخلصات'!$N$5:$N$304,'المستخلصات'!$B$5:$B$304,A154))</f>
        <v/>
      </c>
      <c r="M154" s="46">
        <f>IF(B154="","",SUMIFS('سندات القبض'!$K$5:$K$304,'سندات القبض'!$D$5:$D$304,A154))</f>
        <v/>
      </c>
      <c r="N154" s="46">
        <f>IF(B154="","",SUMIFS('سندات الصرف'!$L$5:$L$304,'سندات الصرف'!$D$5:$D$304,A154))</f>
        <v/>
      </c>
      <c r="O154" s="46">
        <f>IF(B154="","",M154-N154)</f>
        <v/>
      </c>
      <c r="P154" s="47" t="n"/>
      <c r="Q154" s="47" t="n"/>
      <c r="R154" s="48">
        <f>IF(B154="","",COUNTIFS('اعتماد المواد'!$B$5:$B$304,A154,'اعتماد المواد'!$M$5:$M$304,"قيد المراجعة"))</f>
        <v/>
      </c>
      <c r="S154" s="48">
        <f>IF(B154="","",COUNTIFS('عدم المطابقة'!$C$5:$C$304,A154,'عدم المطابقة'!$L$5:$L$304,"مفتوح*"))</f>
        <v/>
      </c>
      <c r="T154" s="48">
        <f>IF(B154="","",COUNTIFS('ملاحظات التسليم'!$B$5:$B$304,A154,'ملاحظات التسليم'!$K$5:$K$304,"مفتوح*"))</f>
        <v/>
      </c>
      <c r="U154" s="49">
        <f>IF(B154="","",IF(Q154&lt;&gt;"","مسلّم نهائياً",IF(P154&lt;&gt;"","فترة الضمان",IF(G154="","بانتظار استلام الموقع",IF(TODAY()&gt;I154,"متأخر عن التعاقد",IF(J154&lt;K154-0.1,"متأخر عن الخطة","جاري التنفيذ"))))))</f>
        <v/>
      </c>
    </row>
    <row r="155">
      <c r="A155" s="39">
        <f>IF(B155="","","PRJ-"&amp;TEXT(ROW()-4,"000"))</f>
        <v/>
      </c>
      <c r="B155" s="40" t="n"/>
      <c r="C155" s="40" t="n"/>
      <c r="D155" s="40" t="n"/>
      <c r="E155" s="40" t="n"/>
      <c r="F155" s="41" t="n"/>
      <c r="G155" s="42">
        <f>IF(B155="","",IFERROR(INDEX('استلام المواقع'!$D$5:$D$304,MATCH(A155,'استلام المواقع'!$B$5:$B$304,0)),""))</f>
        <v/>
      </c>
      <c r="H155" s="43" t="n"/>
      <c r="I155" s="42">
        <f>IF(OR(G155="",H155=""),"",G155+H155)</f>
        <v/>
      </c>
      <c r="J155" s="44" t="n"/>
      <c r="K155" s="45">
        <f>IF(OR(I155="",H155=0),"",MAX(0,MIN(1,(IF(P155&lt;&gt;"",P155,TODAY())-G155)/H155)))</f>
        <v/>
      </c>
      <c r="L155" s="46">
        <f>IF(B155="","",SUMIFS('المستخلصات'!$N$5:$N$304,'المستخلصات'!$B$5:$B$304,A155))</f>
        <v/>
      </c>
      <c r="M155" s="46">
        <f>IF(B155="","",SUMIFS('سندات القبض'!$K$5:$K$304,'سندات القبض'!$D$5:$D$304,A155))</f>
        <v/>
      </c>
      <c r="N155" s="46">
        <f>IF(B155="","",SUMIFS('سندات الصرف'!$L$5:$L$304,'سندات الصرف'!$D$5:$D$304,A155))</f>
        <v/>
      </c>
      <c r="O155" s="46">
        <f>IF(B155="","",M155-N155)</f>
        <v/>
      </c>
      <c r="P155" s="47" t="n"/>
      <c r="Q155" s="47" t="n"/>
      <c r="R155" s="48">
        <f>IF(B155="","",COUNTIFS('اعتماد المواد'!$B$5:$B$304,A155,'اعتماد المواد'!$M$5:$M$304,"قيد المراجعة"))</f>
        <v/>
      </c>
      <c r="S155" s="48">
        <f>IF(B155="","",COUNTIFS('عدم المطابقة'!$C$5:$C$304,A155,'عدم المطابقة'!$L$5:$L$304,"مفتوح*"))</f>
        <v/>
      </c>
      <c r="T155" s="48">
        <f>IF(B155="","",COUNTIFS('ملاحظات التسليم'!$B$5:$B$304,A155,'ملاحظات التسليم'!$K$5:$K$304,"مفتوح*"))</f>
        <v/>
      </c>
      <c r="U155" s="49">
        <f>IF(B155="","",IF(Q155&lt;&gt;"","مسلّم نهائياً",IF(P155&lt;&gt;"","فترة الضمان",IF(G155="","بانتظار استلام الموقع",IF(TODAY()&gt;I155,"متأخر عن التعاقد",IF(J155&lt;K155-0.1,"متأخر عن الخطة","جاري التنفيذ"))))))</f>
        <v/>
      </c>
    </row>
    <row r="156">
      <c r="A156" s="39">
        <f>IF(B156="","","PRJ-"&amp;TEXT(ROW()-4,"000"))</f>
        <v/>
      </c>
      <c r="B156" s="40" t="n"/>
      <c r="C156" s="40" t="n"/>
      <c r="D156" s="40" t="n"/>
      <c r="E156" s="40" t="n"/>
      <c r="F156" s="41" t="n"/>
      <c r="G156" s="42">
        <f>IF(B156="","",IFERROR(INDEX('استلام المواقع'!$D$5:$D$304,MATCH(A156,'استلام المواقع'!$B$5:$B$304,0)),""))</f>
        <v/>
      </c>
      <c r="H156" s="43" t="n"/>
      <c r="I156" s="42">
        <f>IF(OR(G156="",H156=""),"",G156+H156)</f>
        <v/>
      </c>
      <c r="J156" s="44" t="n"/>
      <c r="K156" s="45">
        <f>IF(OR(I156="",H156=0),"",MAX(0,MIN(1,(IF(P156&lt;&gt;"",P156,TODAY())-G156)/H156)))</f>
        <v/>
      </c>
      <c r="L156" s="46">
        <f>IF(B156="","",SUMIFS('المستخلصات'!$N$5:$N$304,'المستخلصات'!$B$5:$B$304,A156))</f>
        <v/>
      </c>
      <c r="M156" s="46">
        <f>IF(B156="","",SUMIFS('سندات القبض'!$K$5:$K$304,'سندات القبض'!$D$5:$D$304,A156))</f>
        <v/>
      </c>
      <c r="N156" s="46">
        <f>IF(B156="","",SUMIFS('سندات الصرف'!$L$5:$L$304,'سندات الصرف'!$D$5:$D$304,A156))</f>
        <v/>
      </c>
      <c r="O156" s="46">
        <f>IF(B156="","",M156-N156)</f>
        <v/>
      </c>
      <c r="P156" s="47" t="n"/>
      <c r="Q156" s="47" t="n"/>
      <c r="R156" s="48">
        <f>IF(B156="","",COUNTIFS('اعتماد المواد'!$B$5:$B$304,A156,'اعتماد المواد'!$M$5:$M$304,"قيد المراجعة"))</f>
        <v/>
      </c>
      <c r="S156" s="48">
        <f>IF(B156="","",COUNTIFS('عدم المطابقة'!$C$5:$C$304,A156,'عدم المطابقة'!$L$5:$L$304,"مفتوح*"))</f>
        <v/>
      </c>
      <c r="T156" s="48">
        <f>IF(B156="","",COUNTIFS('ملاحظات التسليم'!$B$5:$B$304,A156,'ملاحظات التسليم'!$K$5:$K$304,"مفتوح*"))</f>
        <v/>
      </c>
      <c r="U156" s="49">
        <f>IF(B156="","",IF(Q156&lt;&gt;"","مسلّم نهائياً",IF(P156&lt;&gt;"","فترة الضمان",IF(G156="","بانتظار استلام الموقع",IF(TODAY()&gt;I156,"متأخر عن التعاقد",IF(J156&lt;K156-0.1,"متأخر عن الخطة","جاري التنفيذ"))))))</f>
        <v/>
      </c>
    </row>
    <row r="157">
      <c r="A157" s="39">
        <f>IF(B157="","","PRJ-"&amp;TEXT(ROW()-4,"000"))</f>
        <v/>
      </c>
      <c r="B157" s="40" t="n"/>
      <c r="C157" s="40" t="n"/>
      <c r="D157" s="40" t="n"/>
      <c r="E157" s="40" t="n"/>
      <c r="F157" s="41" t="n"/>
      <c r="G157" s="42">
        <f>IF(B157="","",IFERROR(INDEX('استلام المواقع'!$D$5:$D$304,MATCH(A157,'استلام المواقع'!$B$5:$B$304,0)),""))</f>
        <v/>
      </c>
      <c r="H157" s="43" t="n"/>
      <c r="I157" s="42">
        <f>IF(OR(G157="",H157=""),"",G157+H157)</f>
        <v/>
      </c>
      <c r="J157" s="44" t="n"/>
      <c r="K157" s="45">
        <f>IF(OR(I157="",H157=0),"",MAX(0,MIN(1,(IF(P157&lt;&gt;"",P157,TODAY())-G157)/H157)))</f>
        <v/>
      </c>
      <c r="L157" s="46">
        <f>IF(B157="","",SUMIFS('المستخلصات'!$N$5:$N$304,'المستخلصات'!$B$5:$B$304,A157))</f>
        <v/>
      </c>
      <c r="M157" s="46">
        <f>IF(B157="","",SUMIFS('سندات القبض'!$K$5:$K$304,'سندات القبض'!$D$5:$D$304,A157))</f>
        <v/>
      </c>
      <c r="N157" s="46">
        <f>IF(B157="","",SUMIFS('سندات الصرف'!$L$5:$L$304,'سندات الصرف'!$D$5:$D$304,A157))</f>
        <v/>
      </c>
      <c r="O157" s="46">
        <f>IF(B157="","",M157-N157)</f>
        <v/>
      </c>
      <c r="P157" s="47" t="n"/>
      <c r="Q157" s="47" t="n"/>
      <c r="R157" s="48">
        <f>IF(B157="","",COUNTIFS('اعتماد المواد'!$B$5:$B$304,A157,'اعتماد المواد'!$M$5:$M$304,"قيد المراجعة"))</f>
        <v/>
      </c>
      <c r="S157" s="48">
        <f>IF(B157="","",COUNTIFS('عدم المطابقة'!$C$5:$C$304,A157,'عدم المطابقة'!$L$5:$L$304,"مفتوح*"))</f>
        <v/>
      </c>
      <c r="T157" s="48">
        <f>IF(B157="","",COUNTIFS('ملاحظات التسليم'!$B$5:$B$304,A157,'ملاحظات التسليم'!$K$5:$K$304,"مفتوح*"))</f>
        <v/>
      </c>
      <c r="U157" s="49">
        <f>IF(B157="","",IF(Q157&lt;&gt;"","مسلّم نهائياً",IF(P157&lt;&gt;"","فترة الضمان",IF(G157="","بانتظار استلام الموقع",IF(TODAY()&gt;I157,"متأخر عن التعاقد",IF(J157&lt;K157-0.1,"متأخر عن الخطة","جاري التنفيذ"))))))</f>
        <v/>
      </c>
    </row>
    <row r="158">
      <c r="A158" s="39">
        <f>IF(B158="","","PRJ-"&amp;TEXT(ROW()-4,"000"))</f>
        <v/>
      </c>
      <c r="B158" s="40" t="n"/>
      <c r="C158" s="40" t="n"/>
      <c r="D158" s="40" t="n"/>
      <c r="E158" s="40" t="n"/>
      <c r="F158" s="41" t="n"/>
      <c r="G158" s="42">
        <f>IF(B158="","",IFERROR(INDEX('استلام المواقع'!$D$5:$D$304,MATCH(A158,'استلام المواقع'!$B$5:$B$304,0)),""))</f>
        <v/>
      </c>
      <c r="H158" s="43" t="n"/>
      <c r="I158" s="42">
        <f>IF(OR(G158="",H158=""),"",G158+H158)</f>
        <v/>
      </c>
      <c r="J158" s="44" t="n"/>
      <c r="K158" s="45">
        <f>IF(OR(I158="",H158=0),"",MAX(0,MIN(1,(IF(P158&lt;&gt;"",P158,TODAY())-G158)/H158)))</f>
        <v/>
      </c>
      <c r="L158" s="46">
        <f>IF(B158="","",SUMIFS('المستخلصات'!$N$5:$N$304,'المستخلصات'!$B$5:$B$304,A158))</f>
        <v/>
      </c>
      <c r="M158" s="46">
        <f>IF(B158="","",SUMIFS('سندات القبض'!$K$5:$K$304,'سندات القبض'!$D$5:$D$304,A158))</f>
        <v/>
      </c>
      <c r="N158" s="46">
        <f>IF(B158="","",SUMIFS('سندات الصرف'!$L$5:$L$304,'سندات الصرف'!$D$5:$D$304,A158))</f>
        <v/>
      </c>
      <c r="O158" s="46">
        <f>IF(B158="","",M158-N158)</f>
        <v/>
      </c>
      <c r="P158" s="47" t="n"/>
      <c r="Q158" s="47" t="n"/>
      <c r="R158" s="48">
        <f>IF(B158="","",COUNTIFS('اعتماد المواد'!$B$5:$B$304,A158,'اعتماد المواد'!$M$5:$M$304,"قيد المراجعة"))</f>
        <v/>
      </c>
      <c r="S158" s="48">
        <f>IF(B158="","",COUNTIFS('عدم المطابقة'!$C$5:$C$304,A158,'عدم المطابقة'!$L$5:$L$304,"مفتوح*"))</f>
        <v/>
      </c>
      <c r="T158" s="48">
        <f>IF(B158="","",COUNTIFS('ملاحظات التسليم'!$B$5:$B$304,A158,'ملاحظات التسليم'!$K$5:$K$304,"مفتوح*"))</f>
        <v/>
      </c>
      <c r="U158" s="49">
        <f>IF(B158="","",IF(Q158&lt;&gt;"","مسلّم نهائياً",IF(P158&lt;&gt;"","فترة الضمان",IF(G158="","بانتظار استلام الموقع",IF(TODAY()&gt;I158,"متأخر عن التعاقد",IF(J158&lt;K158-0.1,"متأخر عن الخطة","جاري التنفيذ"))))))</f>
        <v/>
      </c>
    </row>
    <row r="159">
      <c r="A159" s="39">
        <f>IF(B159="","","PRJ-"&amp;TEXT(ROW()-4,"000"))</f>
        <v/>
      </c>
      <c r="B159" s="40" t="n"/>
      <c r="C159" s="40" t="n"/>
      <c r="D159" s="40" t="n"/>
      <c r="E159" s="40" t="n"/>
      <c r="F159" s="41" t="n"/>
      <c r="G159" s="42">
        <f>IF(B159="","",IFERROR(INDEX('استلام المواقع'!$D$5:$D$304,MATCH(A159,'استلام المواقع'!$B$5:$B$304,0)),""))</f>
        <v/>
      </c>
      <c r="H159" s="43" t="n"/>
      <c r="I159" s="42">
        <f>IF(OR(G159="",H159=""),"",G159+H159)</f>
        <v/>
      </c>
      <c r="J159" s="44" t="n"/>
      <c r="K159" s="45">
        <f>IF(OR(I159="",H159=0),"",MAX(0,MIN(1,(IF(P159&lt;&gt;"",P159,TODAY())-G159)/H159)))</f>
        <v/>
      </c>
      <c r="L159" s="46">
        <f>IF(B159="","",SUMIFS('المستخلصات'!$N$5:$N$304,'المستخلصات'!$B$5:$B$304,A159))</f>
        <v/>
      </c>
      <c r="M159" s="46">
        <f>IF(B159="","",SUMIFS('سندات القبض'!$K$5:$K$304,'سندات القبض'!$D$5:$D$304,A159))</f>
        <v/>
      </c>
      <c r="N159" s="46">
        <f>IF(B159="","",SUMIFS('سندات الصرف'!$L$5:$L$304,'سندات الصرف'!$D$5:$D$304,A159))</f>
        <v/>
      </c>
      <c r="O159" s="46">
        <f>IF(B159="","",M159-N159)</f>
        <v/>
      </c>
      <c r="P159" s="47" t="n"/>
      <c r="Q159" s="47" t="n"/>
      <c r="R159" s="48">
        <f>IF(B159="","",COUNTIFS('اعتماد المواد'!$B$5:$B$304,A159,'اعتماد المواد'!$M$5:$M$304,"قيد المراجعة"))</f>
        <v/>
      </c>
      <c r="S159" s="48">
        <f>IF(B159="","",COUNTIFS('عدم المطابقة'!$C$5:$C$304,A159,'عدم المطابقة'!$L$5:$L$304,"مفتوح*"))</f>
        <v/>
      </c>
      <c r="T159" s="48">
        <f>IF(B159="","",COUNTIFS('ملاحظات التسليم'!$B$5:$B$304,A159,'ملاحظات التسليم'!$K$5:$K$304,"مفتوح*"))</f>
        <v/>
      </c>
      <c r="U159" s="49">
        <f>IF(B159="","",IF(Q159&lt;&gt;"","مسلّم نهائياً",IF(P159&lt;&gt;"","فترة الضمان",IF(G159="","بانتظار استلام الموقع",IF(TODAY()&gt;I159,"متأخر عن التعاقد",IF(J159&lt;K159-0.1,"متأخر عن الخطة","جاري التنفيذ"))))))</f>
        <v/>
      </c>
    </row>
    <row r="160">
      <c r="A160" s="39">
        <f>IF(B160="","","PRJ-"&amp;TEXT(ROW()-4,"000"))</f>
        <v/>
      </c>
      <c r="B160" s="40" t="n"/>
      <c r="C160" s="40" t="n"/>
      <c r="D160" s="40" t="n"/>
      <c r="E160" s="40" t="n"/>
      <c r="F160" s="41" t="n"/>
      <c r="G160" s="42">
        <f>IF(B160="","",IFERROR(INDEX('استلام المواقع'!$D$5:$D$304,MATCH(A160,'استلام المواقع'!$B$5:$B$304,0)),""))</f>
        <v/>
      </c>
      <c r="H160" s="43" t="n"/>
      <c r="I160" s="42">
        <f>IF(OR(G160="",H160=""),"",G160+H160)</f>
        <v/>
      </c>
      <c r="J160" s="44" t="n"/>
      <c r="K160" s="45">
        <f>IF(OR(I160="",H160=0),"",MAX(0,MIN(1,(IF(P160&lt;&gt;"",P160,TODAY())-G160)/H160)))</f>
        <v/>
      </c>
      <c r="L160" s="46">
        <f>IF(B160="","",SUMIFS('المستخلصات'!$N$5:$N$304,'المستخلصات'!$B$5:$B$304,A160))</f>
        <v/>
      </c>
      <c r="M160" s="46">
        <f>IF(B160="","",SUMIFS('سندات القبض'!$K$5:$K$304,'سندات القبض'!$D$5:$D$304,A160))</f>
        <v/>
      </c>
      <c r="N160" s="46">
        <f>IF(B160="","",SUMIFS('سندات الصرف'!$L$5:$L$304,'سندات الصرف'!$D$5:$D$304,A160))</f>
        <v/>
      </c>
      <c r="O160" s="46">
        <f>IF(B160="","",M160-N160)</f>
        <v/>
      </c>
      <c r="P160" s="47" t="n"/>
      <c r="Q160" s="47" t="n"/>
      <c r="R160" s="48">
        <f>IF(B160="","",COUNTIFS('اعتماد المواد'!$B$5:$B$304,A160,'اعتماد المواد'!$M$5:$M$304,"قيد المراجعة"))</f>
        <v/>
      </c>
      <c r="S160" s="48">
        <f>IF(B160="","",COUNTIFS('عدم المطابقة'!$C$5:$C$304,A160,'عدم المطابقة'!$L$5:$L$304,"مفتوح*"))</f>
        <v/>
      </c>
      <c r="T160" s="48">
        <f>IF(B160="","",COUNTIFS('ملاحظات التسليم'!$B$5:$B$304,A160,'ملاحظات التسليم'!$K$5:$K$304,"مفتوح*"))</f>
        <v/>
      </c>
      <c r="U160" s="49">
        <f>IF(B160="","",IF(Q160&lt;&gt;"","مسلّم نهائياً",IF(P160&lt;&gt;"","فترة الضمان",IF(G160="","بانتظار استلام الموقع",IF(TODAY()&gt;I160,"متأخر عن التعاقد",IF(J160&lt;K160-0.1,"متأخر عن الخطة","جاري التنفيذ"))))))</f>
        <v/>
      </c>
    </row>
    <row r="161">
      <c r="A161" s="39">
        <f>IF(B161="","","PRJ-"&amp;TEXT(ROW()-4,"000"))</f>
        <v/>
      </c>
      <c r="B161" s="40" t="n"/>
      <c r="C161" s="40" t="n"/>
      <c r="D161" s="40" t="n"/>
      <c r="E161" s="40" t="n"/>
      <c r="F161" s="41" t="n"/>
      <c r="G161" s="42">
        <f>IF(B161="","",IFERROR(INDEX('استلام المواقع'!$D$5:$D$304,MATCH(A161,'استلام المواقع'!$B$5:$B$304,0)),""))</f>
        <v/>
      </c>
      <c r="H161" s="43" t="n"/>
      <c r="I161" s="42">
        <f>IF(OR(G161="",H161=""),"",G161+H161)</f>
        <v/>
      </c>
      <c r="J161" s="44" t="n"/>
      <c r="K161" s="45">
        <f>IF(OR(I161="",H161=0),"",MAX(0,MIN(1,(IF(P161&lt;&gt;"",P161,TODAY())-G161)/H161)))</f>
        <v/>
      </c>
      <c r="L161" s="46">
        <f>IF(B161="","",SUMIFS('المستخلصات'!$N$5:$N$304,'المستخلصات'!$B$5:$B$304,A161))</f>
        <v/>
      </c>
      <c r="M161" s="46">
        <f>IF(B161="","",SUMIFS('سندات القبض'!$K$5:$K$304,'سندات القبض'!$D$5:$D$304,A161))</f>
        <v/>
      </c>
      <c r="N161" s="46">
        <f>IF(B161="","",SUMIFS('سندات الصرف'!$L$5:$L$304,'سندات الصرف'!$D$5:$D$304,A161))</f>
        <v/>
      </c>
      <c r="O161" s="46">
        <f>IF(B161="","",M161-N161)</f>
        <v/>
      </c>
      <c r="P161" s="47" t="n"/>
      <c r="Q161" s="47" t="n"/>
      <c r="R161" s="48">
        <f>IF(B161="","",COUNTIFS('اعتماد المواد'!$B$5:$B$304,A161,'اعتماد المواد'!$M$5:$M$304,"قيد المراجعة"))</f>
        <v/>
      </c>
      <c r="S161" s="48">
        <f>IF(B161="","",COUNTIFS('عدم المطابقة'!$C$5:$C$304,A161,'عدم المطابقة'!$L$5:$L$304,"مفتوح*"))</f>
        <v/>
      </c>
      <c r="T161" s="48">
        <f>IF(B161="","",COUNTIFS('ملاحظات التسليم'!$B$5:$B$304,A161,'ملاحظات التسليم'!$K$5:$K$304,"مفتوح*"))</f>
        <v/>
      </c>
      <c r="U161" s="49">
        <f>IF(B161="","",IF(Q161&lt;&gt;"","مسلّم نهائياً",IF(P161&lt;&gt;"","فترة الضمان",IF(G161="","بانتظار استلام الموقع",IF(TODAY()&gt;I161,"متأخر عن التعاقد",IF(J161&lt;K161-0.1,"متأخر عن الخطة","جاري التنفيذ"))))))</f>
        <v/>
      </c>
    </row>
    <row r="162">
      <c r="A162" s="39">
        <f>IF(B162="","","PRJ-"&amp;TEXT(ROW()-4,"000"))</f>
        <v/>
      </c>
      <c r="B162" s="40" t="n"/>
      <c r="C162" s="40" t="n"/>
      <c r="D162" s="40" t="n"/>
      <c r="E162" s="40" t="n"/>
      <c r="F162" s="41" t="n"/>
      <c r="G162" s="42">
        <f>IF(B162="","",IFERROR(INDEX('استلام المواقع'!$D$5:$D$304,MATCH(A162,'استلام المواقع'!$B$5:$B$304,0)),""))</f>
        <v/>
      </c>
      <c r="H162" s="43" t="n"/>
      <c r="I162" s="42">
        <f>IF(OR(G162="",H162=""),"",G162+H162)</f>
        <v/>
      </c>
      <c r="J162" s="44" t="n"/>
      <c r="K162" s="45">
        <f>IF(OR(I162="",H162=0),"",MAX(0,MIN(1,(IF(P162&lt;&gt;"",P162,TODAY())-G162)/H162)))</f>
        <v/>
      </c>
      <c r="L162" s="46">
        <f>IF(B162="","",SUMIFS('المستخلصات'!$N$5:$N$304,'المستخلصات'!$B$5:$B$304,A162))</f>
        <v/>
      </c>
      <c r="M162" s="46">
        <f>IF(B162="","",SUMIFS('سندات القبض'!$K$5:$K$304,'سندات القبض'!$D$5:$D$304,A162))</f>
        <v/>
      </c>
      <c r="N162" s="46">
        <f>IF(B162="","",SUMIFS('سندات الصرف'!$L$5:$L$304,'سندات الصرف'!$D$5:$D$304,A162))</f>
        <v/>
      </c>
      <c r="O162" s="46">
        <f>IF(B162="","",M162-N162)</f>
        <v/>
      </c>
      <c r="P162" s="47" t="n"/>
      <c r="Q162" s="47" t="n"/>
      <c r="R162" s="48">
        <f>IF(B162="","",COUNTIFS('اعتماد المواد'!$B$5:$B$304,A162,'اعتماد المواد'!$M$5:$M$304,"قيد المراجعة"))</f>
        <v/>
      </c>
      <c r="S162" s="48">
        <f>IF(B162="","",COUNTIFS('عدم المطابقة'!$C$5:$C$304,A162,'عدم المطابقة'!$L$5:$L$304,"مفتوح*"))</f>
        <v/>
      </c>
      <c r="T162" s="48">
        <f>IF(B162="","",COUNTIFS('ملاحظات التسليم'!$B$5:$B$304,A162,'ملاحظات التسليم'!$K$5:$K$304,"مفتوح*"))</f>
        <v/>
      </c>
      <c r="U162" s="49">
        <f>IF(B162="","",IF(Q162&lt;&gt;"","مسلّم نهائياً",IF(P162&lt;&gt;"","فترة الضمان",IF(G162="","بانتظار استلام الموقع",IF(TODAY()&gt;I162,"متأخر عن التعاقد",IF(J162&lt;K162-0.1,"متأخر عن الخطة","جاري التنفيذ"))))))</f>
        <v/>
      </c>
    </row>
    <row r="163">
      <c r="A163" s="39">
        <f>IF(B163="","","PRJ-"&amp;TEXT(ROW()-4,"000"))</f>
        <v/>
      </c>
      <c r="B163" s="40" t="n"/>
      <c r="C163" s="40" t="n"/>
      <c r="D163" s="40" t="n"/>
      <c r="E163" s="40" t="n"/>
      <c r="F163" s="41" t="n"/>
      <c r="G163" s="42">
        <f>IF(B163="","",IFERROR(INDEX('استلام المواقع'!$D$5:$D$304,MATCH(A163,'استلام المواقع'!$B$5:$B$304,0)),""))</f>
        <v/>
      </c>
      <c r="H163" s="43" t="n"/>
      <c r="I163" s="42">
        <f>IF(OR(G163="",H163=""),"",G163+H163)</f>
        <v/>
      </c>
      <c r="J163" s="44" t="n"/>
      <c r="K163" s="45">
        <f>IF(OR(I163="",H163=0),"",MAX(0,MIN(1,(IF(P163&lt;&gt;"",P163,TODAY())-G163)/H163)))</f>
        <v/>
      </c>
      <c r="L163" s="46">
        <f>IF(B163="","",SUMIFS('المستخلصات'!$N$5:$N$304,'المستخلصات'!$B$5:$B$304,A163))</f>
        <v/>
      </c>
      <c r="M163" s="46">
        <f>IF(B163="","",SUMIFS('سندات القبض'!$K$5:$K$304,'سندات القبض'!$D$5:$D$304,A163))</f>
        <v/>
      </c>
      <c r="N163" s="46">
        <f>IF(B163="","",SUMIFS('سندات الصرف'!$L$5:$L$304,'سندات الصرف'!$D$5:$D$304,A163))</f>
        <v/>
      </c>
      <c r="O163" s="46">
        <f>IF(B163="","",M163-N163)</f>
        <v/>
      </c>
      <c r="P163" s="47" t="n"/>
      <c r="Q163" s="47" t="n"/>
      <c r="R163" s="48">
        <f>IF(B163="","",COUNTIFS('اعتماد المواد'!$B$5:$B$304,A163,'اعتماد المواد'!$M$5:$M$304,"قيد المراجعة"))</f>
        <v/>
      </c>
      <c r="S163" s="48">
        <f>IF(B163="","",COUNTIFS('عدم المطابقة'!$C$5:$C$304,A163,'عدم المطابقة'!$L$5:$L$304,"مفتوح*"))</f>
        <v/>
      </c>
      <c r="T163" s="48">
        <f>IF(B163="","",COUNTIFS('ملاحظات التسليم'!$B$5:$B$304,A163,'ملاحظات التسليم'!$K$5:$K$304,"مفتوح*"))</f>
        <v/>
      </c>
      <c r="U163" s="49">
        <f>IF(B163="","",IF(Q163&lt;&gt;"","مسلّم نهائياً",IF(P163&lt;&gt;"","فترة الضمان",IF(G163="","بانتظار استلام الموقع",IF(TODAY()&gt;I163,"متأخر عن التعاقد",IF(J163&lt;K163-0.1,"متأخر عن الخطة","جاري التنفيذ"))))))</f>
        <v/>
      </c>
    </row>
    <row r="164">
      <c r="A164" s="39">
        <f>IF(B164="","","PRJ-"&amp;TEXT(ROW()-4,"000"))</f>
        <v/>
      </c>
      <c r="B164" s="40" t="n"/>
      <c r="C164" s="40" t="n"/>
      <c r="D164" s="40" t="n"/>
      <c r="E164" s="40" t="n"/>
      <c r="F164" s="41" t="n"/>
      <c r="G164" s="42">
        <f>IF(B164="","",IFERROR(INDEX('استلام المواقع'!$D$5:$D$304,MATCH(A164,'استلام المواقع'!$B$5:$B$304,0)),""))</f>
        <v/>
      </c>
      <c r="H164" s="43" t="n"/>
      <c r="I164" s="42">
        <f>IF(OR(G164="",H164=""),"",G164+H164)</f>
        <v/>
      </c>
      <c r="J164" s="44" t="n"/>
      <c r="K164" s="45">
        <f>IF(OR(I164="",H164=0),"",MAX(0,MIN(1,(IF(P164&lt;&gt;"",P164,TODAY())-G164)/H164)))</f>
        <v/>
      </c>
      <c r="L164" s="46">
        <f>IF(B164="","",SUMIFS('المستخلصات'!$N$5:$N$304,'المستخلصات'!$B$5:$B$304,A164))</f>
        <v/>
      </c>
      <c r="M164" s="46">
        <f>IF(B164="","",SUMIFS('سندات القبض'!$K$5:$K$304,'سندات القبض'!$D$5:$D$304,A164))</f>
        <v/>
      </c>
      <c r="N164" s="46">
        <f>IF(B164="","",SUMIFS('سندات الصرف'!$L$5:$L$304,'سندات الصرف'!$D$5:$D$304,A164))</f>
        <v/>
      </c>
      <c r="O164" s="46">
        <f>IF(B164="","",M164-N164)</f>
        <v/>
      </c>
      <c r="P164" s="47" t="n"/>
      <c r="Q164" s="47" t="n"/>
      <c r="R164" s="48">
        <f>IF(B164="","",COUNTIFS('اعتماد المواد'!$B$5:$B$304,A164,'اعتماد المواد'!$M$5:$M$304,"قيد المراجعة"))</f>
        <v/>
      </c>
      <c r="S164" s="48">
        <f>IF(B164="","",COUNTIFS('عدم المطابقة'!$C$5:$C$304,A164,'عدم المطابقة'!$L$5:$L$304,"مفتوح*"))</f>
        <v/>
      </c>
      <c r="T164" s="48">
        <f>IF(B164="","",COUNTIFS('ملاحظات التسليم'!$B$5:$B$304,A164,'ملاحظات التسليم'!$K$5:$K$304,"مفتوح*"))</f>
        <v/>
      </c>
      <c r="U164" s="49">
        <f>IF(B164="","",IF(Q164&lt;&gt;"","مسلّم نهائياً",IF(P164&lt;&gt;"","فترة الضمان",IF(G164="","بانتظار استلام الموقع",IF(TODAY()&gt;I164,"متأخر عن التعاقد",IF(J164&lt;K164-0.1,"متأخر عن الخطة","جاري التنفيذ"))))))</f>
        <v/>
      </c>
    </row>
    <row r="165">
      <c r="A165" s="39">
        <f>IF(B165="","","PRJ-"&amp;TEXT(ROW()-4,"000"))</f>
        <v/>
      </c>
      <c r="B165" s="40" t="n"/>
      <c r="C165" s="40" t="n"/>
      <c r="D165" s="40" t="n"/>
      <c r="E165" s="40" t="n"/>
      <c r="F165" s="41" t="n"/>
      <c r="G165" s="42">
        <f>IF(B165="","",IFERROR(INDEX('استلام المواقع'!$D$5:$D$304,MATCH(A165,'استلام المواقع'!$B$5:$B$304,0)),""))</f>
        <v/>
      </c>
      <c r="H165" s="43" t="n"/>
      <c r="I165" s="42">
        <f>IF(OR(G165="",H165=""),"",G165+H165)</f>
        <v/>
      </c>
      <c r="J165" s="44" t="n"/>
      <c r="K165" s="45">
        <f>IF(OR(I165="",H165=0),"",MAX(0,MIN(1,(IF(P165&lt;&gt;"",P165,TODAY())-G165)/H165)))</f>
        <v/>
      </c>
      <c r="L165" s="46">
        <f>IF(B165="","",SUMIFS('المستخلصات'!$N$5:$N$304,'المستخلصات'!$B$5:$B$304,A165))</f>
        <v/>
      </c>
      <c r="M165" s="46">
        <f>IF(B165="","",SUMIFS('سندات القبض'!$K$5:$K$304,'سندات القبض'!$D$5:$D$304,A165))</f>
        <v/>
      </c>
      <c r="N165" s="46">
        <f>IF(B165="","",SUMIFS('سندات الصرف'!$L$5:$L$304,'سندات الصرف'!$D$5:$D$304,A165))</f>
        <v/>
      </c>
      <c r="O165" s="46">
        <f>IF(B165="","",M165-N165)</f>
        <v/>
      </c>
      <c r="P165" s="47" t="n"/>
      <c r="Q165" s="47" t="n"/>
      <c r="R165" s="48">
        <f>IF(B165="","",COUNTIFS('اعتماد المواد'!$B$5:$B$304,A165,'اعتماد المواد'!$M$5:$M$304,"قيد المراجعة"))</f>
        <v/>
      </c>
      <c r="S165" s="48">
        <f>IF(B165="","",COUNTIFS('عدم المطابقة'!$C$5:$C$304,A165,'عدم المطابقة'!$L$5:$L$304,"مفتوح*"))</f>
        <v/>
      </c>
      <c r="T165" s="48">
        <f>IF(B165="","",COUNTIFS('ملاحظات التسليم'!$B$5:$B$304,A165,'ملاحظات التسليم'!$K$5:$K$304,"مفتوح*"))</f>
        <v/>
      </c>
      <c r="U165" s="49">
        <f>IF(B165="","",IF(Q165&lt;&gt;"","مسلّم نهائياً",IF(P165&lt;&gt;"","فترة الضمان",IF(G165="","بانتظار استلام الموقع",IF(TODAY()&gt;I165,"متأخر عن التعاقد",IF(J165&lt;K165-0.1,"متأخر عن الخطة","جاري التنفيذ"))))))</f>
        <v/>
      </c>
    </row>
    <row r="166">
      <c r="A166" s="39">
        <f>IF(B166="","","PRJ-"&amp;TEXT(ROW()-4,"000"))</f>
        <v/>
      </c>
      <c r="B166" s="40" t="n"/>
      <c r="C166" s="40" t="n"/>
      <c r="D166" s="40" t="n"/>
      <c r="E166" s="40" t="n"/>
      <c r="F166" s="41" t="n"/>
      <c r="G166" s="42">
        <f>IF(B166="","",IFERROR(INDEX('استلام المواقع'!$D$5:$D$304,MATCH(A166,'استلام المواقع'!$B$5:$B$304,0)),""))</f>
        <v/>
      </c>
      <c r="H166" s="43" t="n"/>
      <c r="I166" s="42">
        <f>IF(OR(G166="",H166=""),"",G166+H166)</f>
        <v/>
      </c>
      <c r="J166" s="44" t="n"/>
      <c r="K166" s="45">
        <f>IF(OR(I166="",H166=0),"",MAX(0,MIN(1,(IF(P166&lt;&gt;"",P166,TODAY())-G166)/H166)))</f>
        <v/>
      </c>
      <c r="L166" s="46">
        <f>IF(B166="","",SUMIFS('المستخلصات'!$N$5:$N$304,'المستخلصات'!$B$5:$B$304,A166))</f>
        <v/>
      </c>
      <c r="M166" s="46">
        <f>IF(B166="","",SUMIFS('سندات القبض'!$K$5:$K$304,'سندات القبض'!$D$5:$D$304,A166))</f>
        <v/>
      </c>
      <c r="N166" s="46">
        <f>IF(B166="","",SUMIFS('سندات الصرف'!$L$5:$L$304,'سندات الصرف'!$D$5:$D$304,A166))</f>
        <v/>
      </c>
      <c r="O166" s="46">
        <f>IF(B166="","",M166-N166)</f>
        <v/>
      </c>
      <c r="P166" s="47" t="n"/>
      <c r="Q166" s="47" t="n"/>
      <c r="R166" s="48">
        <f>IF(B166="","",COUNTIFS('اعتماد المواد'!$B$5:$B$304,A166,'اعتماد المواد'!$M$5:$M$304,"قيد المراجعة"))</f>
        <v/>
      </c>
      <c r="S166" s="48">
        <f>IF(B166="","",COUNTIFS('عدم المطابقة'!$C$5:$C$304,A166,'عدم المطابقة'!$L$5:$L$304,"مفتوح*"))</f>
        <v/>
      </c>
      <c r="T166" s="48">
        <f>IF(B166="","",COUNTIFS('ملاحظات التسليم'!$B$5:$B$304,A166,'ملاحظات التسليم'!$K$5:$K$304,"مفتوح*"))</f>
        <v/>
      </c>
      <c r="U166" s="49">
        <f>IF(B166="","",IF(Q166&lt;&gt;"","مسلّم نهائياً",IF(P166&lt;&gt;"","فترة الضمان",IF(G166="","بانتظار استلام الموقع",IF(TODAY()&gt;I166,"متأخر عن التعاقد",IF(J166&lt;K166-0.1,"متأخر عن الخطة","جاري التنفيذ"))))))</f>
        <v/>
      </c>
    </row>
    <row r="167">
      <c r="A167" s="39">
        <f>IF(B167="","","PRJ-"&amp;TEXT(ROW()-4,"000"))</f>
        <v/>
      </c>
      <c r="B167" s="40" t="n"/>
      <c r="C167" s="40" t="n"/>
      <c r="D167" s="40" t="n"/>
      <c r="E167" s="40" t="n"/>
      <c r="F167" s="41" t="n"/>
      <c r="G167" s="42">
        <f>IF(B167="","",IFERROR(INDEX('استلام المواقع'!$D$5:$D$304,MATCH(A167,'استلام المواقع'!$B$5:$B$304,0)),""))</f>
        <v/>
      </c>
      <c r="H167" s="43" t="n"/>
      <c r="I167" s="42">
        <f>IF(OR(G167="",H167=""),"",G167+H167)</f>
        <v/>
      </c>
      <c r="J167" s="44" t="n"/>
      <c r="K167" s="45">
        <f>IF(OR(I167="",H167=0),"",MAX(0,MIN(1,(IF(P167&lt;&gt;"",P167,TODAY())-G167)/H167)))</f>
        <v/>
      </c>
      <c r="L167" s="46">
        <f>IF(B167="","",SUMIFS('المستخلصات'!$N$5:$N$304,'المستخلصات'!$B$5:$B$304,A167))</f>
        <v/>
      </c>
      <c r="M167" s="46">
        <f>IF(B167="","",SUMIFS('سندات القبض'!$K$5:$K$304,'سندات القبض'!$D$5:$D$304,A167))</f>
        <v/>
      </c>
      <c r="N167" s="46">
        <f>IF(B167="","",SUMIFS('سندات الصرف'!$L$5:$L$304,'سندات الصرف'!$D$5:$D$304,A167))</f>
        <v/>
      </c>
      <c r="O167" s="46">
        <f>IF(B167="","",M167-N167)</f>
        <v/>
      </c>
      <c r="P167" s="47" t="n"/>
      <c r="Q167" s="47" t="n"/>
      <c r="R167" s="48">
        <f>IF(B167="","",COUNTIFS('اعتماد المواد'!$B$5:$B$304,A167,'اعتماد المواد'!$M$5:$M$304,"قيد المراجعة"))</f>
        <v/>
      </c>
      <c r="S167" s="48">
        <f>IF(B167="","",COUNTIFS('عدم المطابقة'!$C$5:$C$304,A167,'عدم المطابقة'!$L$5:$L$304,"مفتوح*"))</f>
        <v/>
      </c>
      <c r="T167" s="48">
        <f>IF(B167="","",COUNTIFS('ملاحظات التسليم'!$B$5:$B$304,A167,'ملاحظات التسليم'!$K$5:$K$304,"مفتوح*"))</f>
        <v/>
      </c>
      <c r="U167" s="49">
        <f>IF(B167="","",IF(Q167&lt;&gt;"","مسلّم نهائياً",IF(P167&lt;&gt;"","فترة الضمان",IF(G167="","بانتظار استلام الموقع",IF(TODAY()&gt;I167,"متأخر عن التعاقد",IF(J167&lt;K167-0.1,"متأخر عن الخطة","جاري التنفيذ"))))))</f>
        <v/>
      </c>
    </row>
    <row r="168">
      <c r="A168" s="39">
        <f>IF(B168="","","PRJ-"&amp;TEXT(ROW()-4,"000"))</f>
        <v/>
      </c>
      <c r="B168" s="40" t="n"/>
      <c r="C168" s="40" t="n"/>
      <c r="D168" s="40" t="n"/>
      <c r="E168" s="40" t="n"/>
      <c r="F168" s="41" t="n"/>
      <c r="G168" s="42">
        <f>IF(B168="","",IFERROR(INDEX('استلام المواقع'!$D$5:$D$304,MATCH(A168,'استلام المواقع'!$B$5:$B$304,0)),""))</f>
        <v/>
      </c>
      <c r="H168" s="43" t="n"/>
      <c r="I168" s="42">
        <f>IF(OR(G168="",H168=""),"",G168+H168)</f>
        <v/>
      </c>
      <c r="J168" s="44" t="n"/>
      <c r="K168" s="45">
        <f>IF(OR(I168="",H168=0),"",MAX(0,MIN(1,(IF(P168&lt;&gt;"",P168,TODAY())-G168)/H168)))</f>
        <v/>
      </c>
      <c r="L168" s="46">
        <f>IF(B168="","",SUMIFS('المستخلصات'!$N$5:$N$304,'المستخلصات'!$B$5:$B$304,A168))</f>
        <v/>
      </c>
      <c r="M168" s="46">
        <f>IF(B168="","",SUMIFS('سندات القبض'!$K$5:$K$304,'سندات القبض'!$D$5:$D$304,A168))</f>
        <v/>
      </c>
      <c r="N168" s="46">
        <f>IF(B168="","",SUMIFS('سندات الصرف'!$L$5:$L$304,'سندات الصرف'!$D$5:$D$304,A168))</f>
        <v/>
      </c>
      <c r="O168" s="46">
        <f>IF(B168="","",M168-N168)</f>
        <v/>
      </c>
      <c r="P168" s="47" t="n"/>
      <c r="Q168" s="47" t="n"/>
      <c r="R168" s="48">
        <f>IF(B168="","",COUNTIFS('اعتماد المواد'!$B$5:$B$304,A168,'اعتماد المواد'!$M$5:$M$304,"قيد المراجعة"))</f>
        <v/>
      </c>
      <c r="S168" s="48">
        <f>IF(B168="","",COUNTIFS('عدم المطابقة'!$C$5:$C$304,A168,'عدم المطابقة'!$L$5:$L$304,"مفتوح*"))</f>
        <v/>
      </c>
      <c r="T168" s="48">
        <f>IF(B168="","",COUNTIFS('ملاحظات التسليم'!$B$5:$B$304,A168,'ملاحظات التسليم'!$K$5:$K$304,"مفتوح*"))</f>
        <v/>
      </c>
      <c r="U168" s="49">
        <f>IF(B168="","",IF(Q168&lt;&gt;"","مسلّم نهائياً",IF(P168&lt;&gt;"","فترة الضمان",IF(G168="","بانتظار استلام الموقع",IF(TODAY()&gt;I168,"متأخر عن التعاقد",IF(J168&lt;K168-0.1,"متأخر عن الخطة","جاري التنفيذ"))))))</f>
        <v/>
      </c>
    </row>
    <row r="169">
      <c r="A169" s="39">
        <f>IF(B169="","","PRJ-"&amp;TEXT(ROW()-4,"000"))</f>
        <v/>
      </c>
      <c r="B169" s="40" t="n"/>
      <c r="C169" s="40" t="n"/>
      <c r="D169" s="40" t="n"/>
      <c r="E169" s="40" t="n"/>
      <c r="F169" s="41" t="n"/>
      <c r="G169" s="42">
        <f>IF(B169="","",IFERROR(INDEX('استلام المواقع'!$D$5:$D$304,MATCH(A169,'استلام المواقع'!$B$5:$B$304,0)),""))</f>
        <v/>
      </c>
      <c r="H169" s="43" t="n"/>
      <c r="I169" s="42">
        <f>IF(OR(G169="",H169=""),"",G169+H169)</f>
        <v/>
      </c>
      <c r="J169" s="44" t="n"/>
      <c r="K169" s="45">
        <f>IF(OR(I169="",H169=0),"",MAX(0,MIN(1,(IF(P169&lt;&gt;"",P169,TODAY())-G169)/H169)))</f>
        <v/>
      </c>
      <c r="L169" s="46">
        <f>IF(B169="","",SUMIFS('المستخلصات'!$N$5:$N$304,'المستخلصات'!$B$5:$B$304,A169))</f>
        <v/>
      </c>
      <c r="M169" s="46">
        <f>IF(B169="","",SUMIFS('سندات القبض'!$K$5:$K$304,'سندات القبض'!$D$5:$D$304,A169))</f>
        <v/>
      </c>
      <c r="N169" s="46">
        <f>IF(B169="","",SUMIFS('سندات الصرف'!$L$5:$L$304,'سندات الصرف'!$D$5:$D$304,A169))</f>
        <v/>
      </c>
      <c r="O169" s="46">
        <f>IF(B169="","",M169-N169)</f>
        <v/>
      </c>
      <c r="P169" s="47" t="n"/>
      <c r="Q169" s="47" t="n"/>
      <c r="R169" s="48">
        <f>IF(B169="","",COUNTIFS('اعتماد المواد'!$B$5:$B$304,A169,'اعتماد المواد'!$M$5:$M$304,"قيد المراجعة"))</f>
        <v/>
      </c>
      <c r="S169" s="48">
        <f>IF(B169="","",COUNTIFS('عدم المطابقة'!$C$5:$C$304,A169,'عدم المطابقة'!$L$5:$L$304,"مفتوح*"))</f>
        <v/>
      </c>
      <c r="T169" s="48">
        <f>IF(B169="","",COUNTIFS('ملاحظات التسليم'!$B$5:$B$304,A169,'ملاحظات التسليم'!$K$5:$K$304,"مفتوح*"))</f>
        <v/>
      </c>
      <c r="U169" s="49">
        <f>IF(B169="","",IF(Q169&lt;&gt;"","مسلّم نهائياً",IF(P169&lt;&gt;"","فترة الضمان",IF(G169="","بانتظار استلام الموقع",IF(TODAY()&gt;I169,"متأخر عن التعاقد",IF(J169&lt;K169-0.1,"متأخر عن الخطة","جاري التنفيذ"))))))</f>
        <v/>
      </c>
    </row>
    <row r="170">
      <c r="A170" s="39">
        <f>IF(B170="","","PRJ-"&amp;TEXT(ROW()-4,"000"))</f>
        <v/>
      </c>
      <c r="B170" s="40" t="n"/>
      <c r="C170" s="40" t="n"/>
      <c r="D170" s="40" t="n"/>
      <c r="E170" s="40" t="n"/>
      <c r="F170" s="41" t="n"/>
      <c r="G170" s="42">
        <f>IF(B170="","",IFERROR(INDEX('استلام المواقع'!$D$5:$D$304,MATCH(A170,'استلام المواقع'!$B$5:$B$304,0)),""))</f>
        <v/>
      </c>
      <c r="H170" s="43" t="n"/>
      <c r="I170" s="42">
        <f>IF(OR(G170="",H170=""),"",G170+H170)</f>
        <v/>
      </c>
      <c r="J170" s="44" t="n"/>
      <c r="K170" s="45">
        <f>IF(OR(I170="",H170=0),"",MAX(0,MIN(1,(IF(P170&lt;&gt;"",P170,TODAY())-G170)/H170)))</f>
        <v/>
      </c>
      <c r="L170" s="46">
        <f>IF(B170="","",SUMIFS('المستخلصات'!$N$5:$N$304,'المستخلصات'!$B$5:$B$304,A170))</f>
        <v/>
      </c>
      <c r="M170" s="46">
        <f>IF(B170="","",SUMIFS('سندات القبض'!$K$5:$K$304,'سندات القبض'!$D$5:$D$304,A170))</f>
        <v/>
      </c>
      <c r="N170" s="46">
        <f>IF(B170="","",SUMIFS('سندات الصرف'!$L$5:$L$304,'سندات الصرف'!$D$5:$D$304,A170))</f>
        <v/>
      </c>
      <c r="O170" s="46">
        <f>IF(B170="","",M170-N170)</f>
        <v/>
      </c>
      <c r="P170" s="47" t="n"/>
      <c r="Q170" s="47" t="n"/>
      <c r="R170" s="48">
        <f>IF(B170="","",COUNTIFS('اعتماد المواد'!$B$5:$B$304,A170,'اعتماد المواد'!$M$5:$M$304,"قيد المراجعة"))</f>
        <v/>
      </c>
      <c r="S170" s="48">
        <f>IF(B170="","",COUNTIFS('عدم المطابقة'!$C$5:$C$304,A170,'عدم المطابقة'!$L$5:$L$304,"مفتوح*"))</f>
        <v/>
      </c>
      <c r="T170" s="48">
        <f>IF(B170="","",COUNTIFS('ملاحظات التسليم'!$B$5:$B$304,A170,'ملاحظات التسليم'!$K$5:$K$304,"مفتوح*"))</f>
        <v/>
      </c>
      <c r="U170" s="49">
        <f>IF(B170="","",IF(Q170&lt;&gt;"","مسلّم نهائياً",IF(P170&lt;&gt;"","فترة الضمان",IF(G170="","بانتظار استلام الموقع",IF(TODAY()&gt;I170,"متأخر عن التعاقد",IF(J170&lt;K170-0.1,"متأخر عن الخطة","جاري التنفيذ"))))))</f>
        <v/>
      </c>
    </row>
    <row r="171">
      <c r="A171" s="39">
        <f>IF(B171="","","PRJ-"&amp;TEXT(ROW()-4,"000"))</f>
        <v/>
      </c>
      <c r="B171" s="40" t="n"/>
      <c r="C171" s="40" t="n"/>
      <c r="D171" s="40" t="n"/>
      <c r="E171" s="40" t="n"/>
      <c r="F171" s="41" t="n"/>
      <c r="G171" s="42">
        <f>IF(B171="","",IFERROR(INDEX('استلام المواقع'!$D$5:$D$304,MATCH(A171,'استلام المواقع'!$B$5:$B$304,0)),""))</f>
        <v/>
      </c>
      <c r="H171" s="43" t="n"/>
      <c r="I171" s="42">
        <f>IF(OR(G171="",H171=""),"",G171+H171)</f>
        <v/>
      </c>
      <c r="J171" s="44" t="n"/>
      <c r="K171" s="45">
        <f>IF(OR(I171="",H171=0),"",MAX(0,MIN(1,(IF(P171&lt;&gt;"",P171,TODAY())-G171)/H171)))</f>
        <v/>
      </c>
      <c r="L171" s="46">
        <f>IF(B171="","",SUMIFS('المستخلصات'!$N$5:$N$304,'المستخلصات'!$B$5:$B$304,A171))</f>
        <v/>
      </c>
      <c r="M171" s="46">
        <f>IF(B171="","",SUMIFS('سندات القبض'!$K$5:$K$304,'سندات القبض'!$D$5:$D$304,A171))</f>
        <v/>
      </c>
      <c r="N171" s="46">
        <f>IF(B171="","",SUMIFS('سندات الصرف'!$L$5:$L$304,'سندات الصرف'!$D$5:$D$304,A171))</f>
        <v/>
      </c>
      <c r="O171" s="46">
        <f>IF(B171="","",M171-N171)</f>
        <v/>
      </c>
      <c r="P171" s="47" t="n"/>
      <c r="Q171" s="47" t="n"/>
      <c r="R171" s="48">
        <f>IF(B171="","",COUNTIFS('اعتماد المواد'!$B$5:$B$304,A171,'اعتماد المواد'!$M$5:$M$304,"قيد المراجعة"))</f>
        <v/>
      </c>
      <c r="S171" s="48">
        <f>IF(B171="","",COUNTIFS('عدم المطابقة'!$C$5:$C$304,A171,'عدم المطابقة'!$L$5:$L$304,"مفتوح*"))</f>
        <v/>
      </c>
      <c r="T171" s="48">
        <f>IF(B171="","",COUNTIFS('ملاحظات التسليم'!$B$5:$B$304,A171,'ملاحظات التسليم'!$K$5:$K$304,"مفتوح*"))</f>
        <v/>
      </c>
      <c r="U171" s="49">
        <f>IF(B171="","",IF(Q171&lt;&gt;"","مسلّم نهائياً",IF(P171&lt;&gt;"","فترة الضمان",IF(G171="","بانتظار استلام الموقع",IF(TODAY()&gt;I171,"متأخر عن التعاقد",IF(J171&lt;K171-0.1,"متأخر عن الخطة","جاري التنفيذ"))))))</f>
        <v/>
      </c>
    </row>
    <row r="172">
      <c r="A172" s="39">
        <f>IF(B172="","","PRJ-"&amp;TEXT(ROW()-4,"000"))</f>
        <v/>
      </c>
      <c r="B172" s="40" t="n"/>
      <c r="C172" s="40" t="n"/>
      <c r="D172" s="40" t="n"/>
      <c r="E172" s="40" t="n"/>
      <c r="F172" s="41" t="n"/>
      <c r="G172" s="42">
        <f>IF(B172="","",IFERROR(INDEX('استلام المواقع'!$D$5:$D$304,MATCH(A172,'استلام المواقع'!$B$5:$B$304,0)),""))</f>
        <v/>
      </c>
      <c r="H172" s="43" t="n"/>
      <c r="I172" s="42">
        <f>IF(OR(G172="",H172=""),"",G172+H172)</f>
        <v/>
      </c>
      <c r="J172" s="44" t="n"/>
      <c r="K172" s="45">
        <f>IF(OR(I172="",H172=0),"",MAX(0,MIN(1,(IF(P172&lt;&gt;"",P172,TODAY())-G172)/H172)))</f>
        <v/>
      </c>
      <c r="L172" s="46">
        <f>IF(B172="","",SUMIFS('المستخلصات'!$N$5:$N$304,'المستخلصات'!$B$5:$B$304,A172))</f>
        <v/>
      </c>
      <c r="M172" s="46">
        <f>IF(B172="","",SUMIFS('سندات القبض'!$K$5:$K$304,'سندات القبض'!$D$5:$D$304,A172))</f>
        <v/>
      </c>
      <c r="N172" s="46">
        <f>IF(B172="","",SUMIFS('سندات الصرف'!$L$5:$L$304,'سندات الصرف'!$D$5:$D$304,A172))</f>
        <v/>
      </c>
      <c r="O172" s="46">
        <f>IF(B172="","",M172-N172)</f>
        <v/>
      </c>
      <c r="P172" s="47" t="n"/>
      <c r="Q172" s="47" t="n"/>
      <c r="R172" s="48">
        <f>IF(B172="","",COUNTIFS('اعتماد المواد'!$B$5:$B$304,A172,'اعتماد المواد'!$M$5:$M$304,"قيد المراجعة"))</f>
        <v/>
      </c>
      <c r="S172" s="48">
        <f>IF(B172="","",COUNTIFS('عدم المطابقة'!$C$5:$C$304,A172,'عدم المطابقة'!$L$5:$L$304,"مفتوح*"))</f>
        <v/>
      </c>
      <c r="T172" s="48">
        <f>IF(B172="","",COUNTIFS('ملاحظات التسليم'!$B$5:$B$304,A172,'ملاحظات التسليم'!$K$5:$K$304,"مفتوح*"))</f>
        <v/>
      </c>
      <c r="U172" s="49">
        <f>IF(B172="","",IF(Q172&lt;&gt;"","مسلّم نهائياً",IF(P172&lt;&gt;"","فترة الضمان",IF(G172="","بانتظار استلام الموقع",IF(TODAY()&gt;I172,"متأخر عن التعاقد",IF(J172&lt;K172-0.1,"متأخر عن الخطة","جاري التنفيذ"))))))</f>
        <v/>
      </c>
    </row>
    <row r="173">
      <c r="A173" s="39">
        <f>IF(B173="","","PRJ-"&amp;TEXT(ROW()-4,"000"))</f>
        <v/>
      </c>
      <c r="B173" s="40" t="n"/>
      <c r="C173" s="40" t="n"/>
      <c r="D173" s="40" t="n"/>
      <c r="E173" s="40" t="n"/>
      <c r="F173" s="41" t="n"/>
      <c r="G173" s="42">
        <f>IF(B173="","",IFERROR(INDEX('استلام المواقع'!$D$5:$D$304,MATCH(A173,'استلام المواقع'!$B$5:$B$304,0)),""))</f>
        <v/>
      </c>
      <c r="H173" s="43" t="n"/>
      <c r="I173" s="42">
        <f>IF(OR(G173="",H173=""),"",G173+H173)</f>
        <v/>
      </c>
      <c r="J173" s="44" t="n"/>
      <c r="K173" s="45">
        <f>IF(OR(I173="",H173=0),"",MAX(0,MIN(1,(IF(P173&lt;&gt;"",P173,TODAY())-G173)/H173)))</f>
        <v/>
      </c>
      <c r="L173" s="46">
        <f>IF(B173="","",SUMIFS('المستخلصات'!$N$5:$N$304,'المستخلصات'!$B$5:$B$304,A173))</f>
        <v/>
      </c>
      <c r="M173" s="46">
        <f>IF(B173="","",SUMIFS('سندات القبض'!$K$5:$K$304,'سندات القبض'!$D$5:$D$304,A173))</f>
        <v/>
      </c>
      <c r="N173" s="46">
        <f>IF(B173="","",SUMIFS('سندات الصرف'!$L$5:$L$304,'سندات الصرف'!$D$5:$D$304,A173))</f>
        <v/>
      </c>
      <c r="O173" s="46">
        <f>IF(B173="","",M173-N173)</f>
        <v/>
      </c>
      <c r="P173" s="47" t="n"/>
      <c r="Q173" s="47" t="n"/>
      <c r="R173" s="48">
        <f>IF(B173="","",COUNTIFS('اعتماد المواد'!$B$5:$B$304,A173,'اعتماد المواد'!$M$5:$M$304,"قيد المراجعة"))</f>
        <v/>
      </c>
      <c r="S173" s="48">
        <f>IF(B173="","",COUNTIFS('عدم المطابقة'!$C$5:$C$304,A173,'عدم المطابقة'!$L$5:$L$304,"مفتوح*"))</f>
        <v/>
      </c>
      <c r="T173" s="48">
        <f>IF(B173="","",COUNTIFS('ملاحظات التسليم'!$B$5:$B$304,A173,'ملاحظات التسليم'!$K$5:$K$304,"مفتوح*"))</f>
        <v/>
      </c>
      <c r="U173" s="49">
        <f>IF(B173="","",IF(Q173&lt;&gt;"","مسلّم نهائياً",IF(P173&lt;&gt;"","فترة الضمان",IF(G173="","بانتظار استلام الموقع",IF(TODAY()&gt;I173,"متأخر عن التعاقد",IF(J173&lt;K173-0.1,"متأخر عن الخطة","جاري التنفيذ"))))))</f>
        <v/>
      </c>
    </row>
    <row r="174">
      <c r="A174" s="39">
        <f>IF(B174="","","PRJ-"&amp;TEXT(ROW()-4,"000"))</f>
        <v/>
      </c>
      <c r="B174" s="40" t="n"/>
      <c r="C174" s="40" t="n"/>
      <c r="D174" s="40" t="n"/>
      <c r="E174" s="40" t="n"/>
      <c r="F174" s="41" t="n"/>
      <c r="G174" s="42">
        <f>IF(B174="","",IFERROR(INDEX('استلام المواقع'!$D$5:$D$304,MATCH(A174,'استلام المواقع'!$B$5:$B$304,0)),""))</f>
        <v/>
      </c>
      <c r="H174" s="43" t="n"/>
      <c r="I174" s="42">
        <f>IF(OR(G174="",H174=""),"",G174+H174)</f>
        <v/>
      </c>
      <c r="J174" s="44" t="n"/>
      <c r="K174" s="45">
        <f>IF(OR(I174="",H174=0),"",MAX(0,MIN(1,(IF(P174&lt;&gt;"",P174,TODAY())-G174)/H174)))</f>
        <v/>
      </c>
      <c r="L174" s="46">
        <f>IF(B174="","",SUMIFS('المستخلصات'!$N$5:$N$304,'المستخلصات'!$B$5:$B$304,A174))</f>
        <v/>
      </c>
      <c r="M174" s="46">
        <f>IF(B174="","",SUMIFS('سندات القبض'!$K$5:$K$304,'سندات القبض'!$D$5:$D$304,A174))</f>
        <v/>
      </c>
      <c r="N174" s="46">
        <f>IF(B174="","",SUMIFS('سندات الصرف'!$L$5:$L$304,'سندات الصرف'!$D$5:$D$304,A174))</f>
        <v/>
      </c>
      <c r="O174" s="46">
        <f>IF(B174="","",M174-N174)</f>
        <v/>
      </c>
      <c r="P174" s="47" t="n"/>
      <c r="Q174" s="47" t="n"/>
      <c r="R174" s="48">
        <f>IF(B174="","",COUNTIFS('اعتماد المواد'!$B$5:$B$304,A174,'اعتماد المواد'!$M$5:$M$304,"قيد المراجعة"))</f>
        <v/>
      </c>
      <c r="S174" s="48">
        <f>IF(B174="","",COUNTIFS('عدم المطابقة'!$C$5:$C$304,A174,'عدم المطابقة'!$L$5:$L$304,"مفتوح*"))</f>
        <v/>
      </c>
      <c r="T174" s="48">
        <f>IF(B174="","",COUNTIFS('ملاحظات التسليم'!$B$5:$B$304,A174,'ملاحظات التسليم'!$K$5:$K$304,"مفتوح*"))</f>
        <v/>
      </c>
      <c r="U174" s="49">
        <f>IF(B174="","",IF(Q174&lt;&gt;"","مسلّم نهائياً",IF(P174&lt;&gt;"","فترة الضمان",IF(G174="","بانتظار استلام الموقع",IF(TODAY()&gt;I174,"متأخر عن التعاقد",IF(J174&lt;K174-0.1,"متأخر عن الخطة","جاري التنفيذ"))))))</f>
        <v/>
      </c>
    </row>
    <row r="175">
      <c r="A175" s="39">
        <f>IF(B175="","","PRJ-"&amp;TEXT(ROW()-4,"000"))</f>
        <v/>
      </c>
      <c r="B175" s="40" t="n"/>
      <c r="C175" s="40" t="n"/>
      <c r="D175" s="40" t="n"/>
      <c r="E175" s="40" t="n"/>
      <c r="F175" s="41" t="n"/>
      <c r="G175" s="42">
        <f>IF(B175="","",IFERROR(INDEX('استلام المواقع'!$D$5:$D$304,MATCH(A175,'استلام المواقع'!$B$5:$B$304,0)),""))</f>
        <v/>
      </c>
      <c r="H175" s="43" t="n"/>
      <c r="I175" s="42">
        <f>IF(OR(G175="",H175=""),"",G175+H175)</f>
        <v/>
      </c>
      <c r="J175" s="44" t="n"/>
      <c r="K175" s="45">
        <f>IF(OR(I175="",H175=0),"",MAX(0,MIN(1,(IF(P175&lt;&gt;"",P175,TODAY())-G175)/H175)))</f>
        <v/>
      </c>
      <c r="L175" s="46">
        <f>IF(B175="","",SUMIFS('المستخلصات'!$N$5:$N$304,'المستخلصات'!$B$5:$B$304,A175))</f>
        <v/>
      </c>
      <c r="M175" s="46">
        <f>IF(B175="","",SUMIFS('سندات القبض'!$K$5:$K$304,'سندات القبض'!$D$5:$D$304,A175))</f>
        <v/>
      </c>
      <c r="N175" s="46">
        <f>IF(B175="","",SUMIFS('سندات الصرف'!$L$5:$L$304,'سندات الصرف'!$D$5:$D$304,A175))</f>
        <v/>
      </c>
      <c r="O175" s="46">
        <f>IF(B175="","",M175-N175)</f>
        <v/>
      </c>
      <c r="P175" s="47" t="n"/>
      <c r="Q175" s="47" t="n"/>
      <c r="R175" s="48">
        <f>IF(B175="","",COUNTIFS('اعتماد المواد'!$B$5:$B$304,A175,'اعتماد المواد'!$M$5:$M$304,"قيد المراجعة"))</f>
        <v/>
      </c>
      <c r="S175" s="48">
        <f>IF(B175="","",COUNTIFS('عدم المطابقة'!$C$5:$C$304,A175,'عدم المطابقة'!$L$5:$L$304,"مفتوح*"))</f>
        <v/>
      </c>
      <c r="T175" s="48">
        <f>IF(B175="","",COUNTIFS('ملاحظات التسليم'!$B$5:$B$304,A175,'ملاحظات التسليم'!$K$5:$K$304,"مفتوح*"))</f>
        <v/>
      </c>
      <c r="U175" s="49">
        <f>IF(B175="","",IF(Q175&lt;&gt;"","مسلّم نهائياً",IF(P175&lt;&gt;"","فترة الضمان",IF(G175="","بانتظار استلام الموقع",IF(TODAY()&gt;I175,"متأخر عن التعاقد",IF(J175&lt;K175-0.1,"متأخر عن الخطة","جاري التنفيذ"))))))</f>
        <v/>
      </c>
    </row>
    <row r="176">
      <c r="A176" s="39">
        <f>IF(B176="","","PRJ-"&amp;TEXT(ROW()-4,"000"))</f>
        <v/>
      </c>
      <c r="B176" s="40" t="n"/>
      <c r="C176" s="40" t="n"/>
      <c r="D176" s="40" t="n"/>
      <c r="E176" s="40" t="n"/>
      <c r="F176" s="41" t="n"/>
      <c r="G176" s="42">
        <f>IF(B176="","",IFERROR(INDEX('استلام المواقع'!$D$5:$D$304,MATCH(A176,'استلام المواقع'!$B$5:$B$304,0)),""))</f>
        <v/>
      </c>
      <c r="H176" s="43" t="n"/>
      <c r="I176" s="42">
        <f>IF(OR(G176="",H176=""),"",G176+H176)</f>
        <v/>
      </c>
      <c r="J176" s="44" t="n"/>
      <c r="K176" s="45">
        <f>IF(OR(I176="",H176=0),"",MAX(0,MIN(1,(IF(P176&lt;&gt;"",P176,TODAY())-G176)/H176)))</f>
        <v/>
      </c>
      <c r="L176" s="46">
        <f>IF(B176="","",SUMIFS('المستخلصات'!$N$5:$N$304,'المستخلصات'!$B$5:$B$304,A176))</f>
        <v/>
      </c>
      <c r="M176" s="46">
        <f>IF(B176="","",SUMIFS('سندات القبض'!$K$5:$K$304,'سندات القبض'!$D$5:$D$304,A176))</f>
        <v/>
      </c>
      <c r="N176" s="46">
        <f>IF(B176="","",SUMIFS('سندات الصرف'!$L$5:$L$304,'سندات الصرف'!$D$5:$D$304,A176))</f>
        <v/>
      </c>
      <c r="O176" s="46">
        <f>IF(B176="","",M176-N176)</f>
        <v/>
      </c>
      <c r="P176" s="47" t="n"/>
      <c r="Q176" s="47" t="n"/>
      <c r="R176" s="48">
        <f>IF(B176="","",COUNTIFS('اعتماد المواد'!$B$5:$B$304,A176,'اعتماد المواد'!$M$5:$M$304,"قيد المراجعة"))</f>
        <v/>
      </c>
      <c r="S176" s="48">
        <f>IF(B176="","",COUNTIFS('عدم المطابقة'!$C$5:$C$304,A176,'عدم المطابقة'!$L$5:$L$304,"مفتوح*"))</f>
        <v/>
      </c>
      <c r="T176" s="48">
        <f>IF(B176="","",COUNTIFS('ملاحظات التسليم'!$B$5:$B$304,A176,'ملاحظات التسليم'!$K$5:$K$304,"مفتوح*"))</f>
        <v/>
      </c>
      <c r="U176" s="49">
        <f>IF(B176="","",IF(Q176&lt;&gt;"","مسلّم نهائياً",IF(P176&lt;&gt;"","فترة الضمان",IF(G176="","بانتظار استلام الموقع",IF(TODAY()&gt;I176,"متأخر عن التعاقد",IF(J176&lt;K176-0.1,"متأخر عن الخطة","جاري التنفيذ"))))))</f>
        <v/>
      </c>
    </row>
    <row r="177">
      <c r="A177" s="39">
        <f>IF(B177="","","PRJ-"&amp;TEXT(ROW()-4,"000"))</f>
        <v/>
      </c>
      <c r="B177" s="40" t="n"/>
      <c r="C177" s="40" t="n"/>
      <c r="D177" s="40" t="n"/>
      <c r="E177" s="40" t="n"/>
      <c r="F177" s="41" t="n"/>
      <c r="G177" s="42">
        <f>IF(B177="","",IFERROR(INDEX('استلام المواقع'!$D$5:$D$304,MATCH(A177,'استلام المواقع'!$B$5:$B$304,0)),""))</f>
        <v/>
      </c>
      <c r="H177" s="43" t="n"/>
      <c r="I177" s="42">
        <f>IF(OR(G177="",H177=""),"",G177+H177)</f>
        <v/>
      </c>
      <c r="J177" s="44" t="n"/>
      <c r="K177" s="45">
        <f>IF(OR(I177="",H177=0),"",MAX(0,MIN(1,(IF(P177&lt;&gt;"",P177,TODAY())-G177)/H177)))</f>
        <v/>
      </c>
      <c r="L177" s="46">
        <f>IF(B177="","",SUMIFS('المستخلصات'!$N$5:$N$304,'المستخلصات'!$B$5:$B$304,A177))</f>
        <v/>
      </c>
      <c r="M177" s="46">
        <f>IF(B177="","",SUMIFS('سندات القبض'!$K$5:$K$304,'سندات القبض'!$D$5:$D$304,A177))</f>
        <v/>
      </c>
      <c r="N177" s="46">
        <f>IF(B177="","",SUMIFS('سندات الصرف'!$L$5:$L$304,'سندات الصرف'!$D$5:$D$304,A177))</f>
        <v/>
      </c>
      <c r="O177" s="46">
        <f>IF(B177="","",M177-N177)</f>
        <v/>
      </c>
      <c r="P177" s="47" t="n"/>
      <c r="Q177" s="47" t="n"/>
      <c r="R177" s="48">
        <f>IF(B177="","",COUNTIFS('اعتماد المواد'!$B$5:$B$304,A177,'اعتماد المواد'!$M$5:$M$304,"قيد المراجعة"))</f>
        <v/>
      </c>
      <c r="S177" s="48">
        <f>IF(B177="","",COUNTIFS('عدم المطابقة'!$C$5:$C$304,A177,'عدم المطابقة'!$L$5:$L$304,"مفتوح*"))</f>
        <v/>
      </c>
      <c r="T177" s="48">
        <f>IF(B177="","",COUNTIFS('ملاحظات التسليم'!$B$5:$B$304,A177,'ملاحظات التسليم'!$K$5:$K$304,"مفتوح*"))</f>
        <v/>
      </c>
      <c r="U177" s="49">
        <f>IF(B177="","",IF(Q177&lt;&gt;"","مسلّم نهائياً",IF(P177&lt;&gt;"","فترة الضمان",IF(G177="","بانتظار استلام الموقع",IF(TODAY()&gt;I177,"متأخر عن التعاقد",IF(J177&lt;K177-0.1,"متأخر عن الخطة","جاري التنفيذ"))))))</f>
        <v/>
      </c>
    </row>
    <row r="178">
      <c r="A178" s="39">
        <f>IF(B178="","","PRJ-"&amp;TEXT(ROW()-4,"000"))</f>
        <v/>
      </c>
      <c r="B178" s="40" t="n"/>
      <c r="C178" s="40" t="n"/>
      <c r="D178" s="40" t="n"/>
      <c r="E178" s="40" t="n"/>
      <c r="F178" s="41" t="n"/>
      <c r="G178" s="42">
        <f>IF(B178="","",IFERROR(INDEX('استلام المواقع'!$D$5:$D$304,MATCH(A178,'استلام المواقع'!$B$5:$B$304,0)),""))</f>
        <v/>
      </c>
      <c r="H178" s="43" t="n"/>
      <c r="I178" s="42">
        <f>IF(OR(G178="",H178=""),"",G178+H178)</f>
        <v/>
      </c>
      <c r="J178" s="44" t="n"/>
      <c r="K178" s="45">
        <f>IF(OR(I178="",H178=0),"",MAX(0,MIN(1,(IF(P178&lt;&gt;"",P178,TODAY())-G178)/H178)))</f>
        <v/>
      </c>
      <c r="L178" s="46">
        <f>IF(B178="","",SUMIFS('المستخلصات'!$N$5:$N$304,'المستخلصات'!$B$5:$B$304,A178))</f>
        <v/>
      </c>
      <c r="M178" s="46">
        <f>IF(B178="","",SUMIFS('سندات القبض'!$K$5:$K$304,'سندات القبض'!$D$5:$D$304,A178))</f>
        <v/>
      </c>
      <c r="N178" s="46">
        <f>IF(B178="","",SUMIFS('سندات الصرف'!$L$5:$L$304,'سندات الصرف'!$D$5:$D$304,A178))</f>
        <v/>
      </c>
      <c r="O178" s="46">
        <f>IF(B178="","",M178-N178)</f>
        <v/>
      </c>
      <c r="P178" s="47" t="n"/>
      <c r="Q178" s="47" t="n"/>
      <c r="R178" s="48">
        <f>IF(B178="","",COUNTIFS('اعتماد المواد'!$B$5:$B$304,A178,'اعتماد المواد'!$M$5:$M$304,"قيد المراجعة"))</f>
        <v/>
      </c>
      <c r="S178" s="48">
        <f>IF(B178="","",COUNTIFS('عدم المطابقة'!$C$5:$C$304,A178,'عدم المطابقة'!$L$5:$L$304,"مفتوح*"))</f>
        <v/>
      </c>
      <c r="T178" s="48">
        <f>IF(B178="","",COUNTIFS('ملاحظات التسليم'!$B$5:$B$304,A178,'ملاحظات التسليم'!$K$5:$K$304,"مفتوح*"))</f>
        <v/>
      </c>
      <c r="U178" s="49">
        <f>IF(B178="","",IF(Q178&lt;&gt;"","مسلّم نهائياً",IF(P178&lt;&gt;"","فترة الضمان",IF(G178="","بانتظار استلام الموقع",IF(TODAY()&gt;I178,"متأخر عن التعاقد",IF(J178&lt;K178-0.1,"متأخر عن الخطة","جاري التنفيذ"))))))</f>
        <v/>
      </c>
    </row>
    <row r="179">
      <c r="A179" s="39">
        <f>IF(B179="","","PRJ-"&amp;TEXT(ROW()-4,"000"))</f>
        <v/>
      </c>
      <c r="B179" s="40" t="n"/>
      <c r="C179" s="40" t="n"/>
      <c r="D179" s="40" t="n"/>
      <c r="E179" s="40" t="n"/>
      <c r="F179" s="41" t="n"/>
      <c r="G179" s="42">
        <f>IF(B179="","",IFERROR(INDEX('استلام المواقع'!$D$5:$D$304,MATCH(A179,'استلام المواقع'!$B$5:$B$304,0)),""))</f>
        <v/>
      </c>
      <c r="H179" s="43" t="n"/>
      <c r="I179" s="42">
        <f>IF(OR(G179="",H179=""),"",G179+H179)</f>
        <v/>
      </c>
      <c r="J179" s="44" t="n"/>
      <c r="K179" s="45">
        <f>IF(OR(I179="",H179=0),"",MAX(0,MIN(1,(IF(P179&lt;&gt;"",P179,TODAY())-G179)/H179)))</f>
        <v/>
      </c>
      <c r="L179" s="46">
        <f>IF(B179="","",SUMIFS('المستخلصات'!$N$5:$N$304,'المستخلصات'!$B$5:$B$304,A179))</f>
        <v/>
      </c>
      <c r="M179" s="46">
        <f>IF(B179="","",SUMIFS('سندات القبض'!$K$5:$K$304,'سندات القبض'!$D$5:$D$304,A179))</f>
        <v/>
      </c>
      <c r="N179" s="46">
        <f>IF(B179="","",SUMIFS('سندات الصرف'!$L$5:$L$304,'سندات الصرف'!$D$5:$D$304,A179))</f>
        <v/>
      </c>
      <c r="O179" s="46">
        <f>IF(B179="","",M179-N179)</f>
        <v/>
      </c>
      <c r="P179" s="47" t="n"/>
      <c r="Q179" s="47" t="n"/>
      <c r="R179" s="48">
        <f>IF(B179="","",COUNTIFS('اعتماد المواد'!$B$5:$B$304,A179,'اعتماد المواد'!$M$5:$M$304,"قيد المراجعة"))</f>
        <v/>
      </c>
      <c r="S179" s="48">
        <f>IF(B179="","",COUNTIFS('عدم المطابقة'!$C$5:$C$304,A179,'عدم المطابقة'!$L$5:$L$304,"مفتوح*"))</f>
        <v/>
      </c>
      <c r="T179" s="48">
        <f>IF(B179="","",COUNTIFS('ملاحظات التسليم'!$B$5:$B$304,A179,'ملاحظات التسليم'!$K$5:$K$304,"مفتوح*"))</f>
        <v/>
      </c>
      <c r="U179" s="49">
        <f>IF(B179="","",IF(Q179&lt;&gt;"","مسلّم نهائياً",IF(P179&lt;&gt;"","فترة الضمان",IF(G179="","بانتظار استلام الموقع",IF(TODAY()&gt;I179,"متأخر عن التعاقد",IF(J179&lt;K179-0.1,"متأخر عن الخطة","جاري التنفيذ"))))))</f>
        <v/>
      </c>
    </row>
    <row r="180">
      <c r="A180" s="39">
        <f>IF(B180="","","PRJ-"&amp;TEXT(ROW()-4,"000"))</f>
        <v/>
      </c>
      <c r="B180" s="40" t="n"/>
      <c r="C180" s="40" t="n"/>
      <c r="D180" s="40" t="n"/>
      <c r="E180" s="40" t="n"/>
      <c r="F180" s="41" t="n"/>
      <c r="G180" s="42">
        <f>IF(B180="","",IFERROR(INDEX('استلام المواقع'!$D$5:$D$304,MATCH(A180,'استلام المواقع'!$B$5:$B$304,0)),""))</f>
        <v/>
      </c>
      <c r="H180" s="43" t="n"/>
      <c r="I180" s="42">
        <f>IF(OR(G180="",H180=""),"",G180+H180)</f>
        <v/>
      </c>
      <c r="J180" s="44" t="n"/>
      <c r="K180" s="45">
        <f>IF(OR(I180="",H180=0),"",MAX(0,MIN(1,(IF(P180&lt;&gt;"",P180,TODAY())-G180)/H180)))</f>
        <v/>
      </c>
      <c r="L180" s="46">
        <f>IF(B180="","",SUMIFS('المستخلصات'!$N$5:$N$304,'المستخلصات'!$B$5:$B$304,A180))</f>
        <v/>
      </c>
      <c r="M180" s="46">
        <f>IF(B180="","",SUMIFS('سندات القبض'!$K$5:$K$304,'سندات القبض'!$D$5:$D$304,A180))</f>
        <v/>
      </c>
      <c r="N180" s="46">
        <f>IF(B180="","",SUMIFS('سندات الصرف'!$L$5:$L$304,'سندات الصرف'!$D$5:$D$304,A180))</f>
        <v/>
      </c>
      <c r="O180" s="46">
        <f>IF(B180="","",M180-N180)</f>
        <v/>
      </c>
      <c r="P180" s="47" t="n"/>
      <c r="Q180" s="47" t="n"/>
      <c r="R180" s="48">
        <f>IF(B180="","",COUNTIFS('اعتماد المواد'!$B$5:$B$304,A180,'اعتماد المواد'!$M$5:$M$304,"قيد المراجعة"))</f>
        <v/>
      </c>
      <c r="S180" s="48">
        <f>IF(B180="","",COUNTIFS('عدم المطابقة'!$C$5:$C$304,A180,'عدم المطابقة'!$L$5:$L$304,"مفتوح*"))</f>
        <v/>
      </c>
      <c r="T180" s="48">
        <f>IF(B180="","",COUNTIFS('ملاحظات التسليم'!$B$5:$B$304,A180,'ملاحظات التسليم'!$K$5:$K$304,"مفتوح*"))</f>
        <v/>
      </c>
      <c r="U180" s="49">
        <f>IF(B180="","",IF(Q180&lt;&gt;"","مسلّم نهائياً",IF(P180&lt;&gt;"","فترة الضمان",IF(G180="","بانتظار استلام الموقع",IF(TODAY()&gt;I180,"متأخر عن التعاقد",IF(J180&lt;K180-0.1,"متأخر عن الخطة","جاري التنفيذ"))))))</f>
        <v/>
      </c>
    </row>
    <row r="181">
      <c r="A181" s="39">
        <f>IF(B181="","","PRJ-"&amp;TEXT(ROW()-4,"000"))</f>
        <v/>
      </c>
      <c r="B181" s="40" t="n"/>
      <c r="C181" s="40" t="n"/>
      <c r="D181" s="40" t="n"/>
      <c r="E181" s="40" t="n"/>
      <c r="F181" s="41" t="n"/>
      <c r="G181" s="42">
        <f>IF(B181="","",IFERROR(INDEX('استلام المواقع'!$D$5:$D$304,MATCH(A181,'استلام المواقع'!$B$5:$B$304,0)),""))</f>
        <v/>
      </c>
      <c r="H181" s="43" t="n"/>
      <c r="I181" s="42">
        <f>IF(OR(G181="",H181=""),"",G181+H181)</f>
        <v/>
      </c>
      <c r="J181" s="44" t="n"/>
      <c r="K181" s="45">
        <f>IF(OR(I181="",H181=0),"",MAX(0,MIN(1,(IF(P181&lt;&gt;"",P181,TODAY())-G181)/H181)))</f>
        <v/>
      </c>
      <c r="L181" s="46">
        <f>IF(B181="","",SUMIFS('المستخلصات'!$N$5:$N$304,'المستخلصات'!$B$5:$B$304,A181))</f>
        <v/>
      </c>
      <c r="M181" s="46">
        <f>IF(B181="","",SUMIFS('سندات القبض'!$K$5:$K$304,'سندات القبض'!$D$5:$D$304,A181))</f>
        <v/>
      </c>
      <c r="N181" s="46">
        <f>IF(B181="","",SUMIFS('سندات الصرف'!$L$5:$L$304,'سندات الصرف'!$D$5:$D$304,A181))</f>
        <v/>
      </c>
      <c r="O181" s="46">
        <f>IF(B181="","",M181-N181)</f>
        <v/>
      </c>
      <c r="P181" s="47" t="n"/>
      <c r="Q181" s="47" t="n"/>
      <c r="R181" s="48">
        <f>IF(B181="","",COUNTIFS('اعتماد المواد'!$B$5:$B$304,A181,'اعتماد المواد'!$M$5:$M$304,"قيد المراجعة"))</f>
        <v/>
      </c>
      <c r="S181" s="48">
        <f>IF(B181="","",COUNTIFS('عدم المطابقة'!$C$5:$C$304,A181,'عدم المطابقة'!$L$5:$L$304,"مفتوح*"))</f>
        <v/>
      </c>
      <c r="T181" s="48">
        <f>IF(B181="","",COUNTIFS('ملاحظات التسليم'!$B$5:$B$304,A181,'ملاحظات التسليم'!$K$5:$K$304,"مفتوح*"))</f>
        <v/>
      </c>
      <c r="U181" s="49">
        <f>IF(B181="","",IF(Q181&lt;&gt;"","مسلّم نهائياً",IF(P181&lt;&gt;"","فترة الضمان",IF(G181="","بانتظار استلام الموقع",IF(TODAY()&gt;I181,"متأخر عن التعاقد",IF(J181&lt;K181-0.1,"متأخر عن الخطة","جاري التنفيذ"))))))</f>
        <v/>
      </c>
    </row>
    <row r="182">
      <c r="A182" s="39">
        <f>IF(B182="","","PRJ-"&amp;TEXT(ROW()-4,"000"))</f>
        <v/>
      </c>
      <c r="B182" s="40" t="n"/>
      <c r="C182" s="40" t="n"/>
      <c r="D182" s="40" t="n"/>
      <c r="E182" s="40" t="n"/>
      <c r="F182" s="41" t="n"/>
      <c r="G182" s="42">
        <f>IF(B182="","",IFERROR(INDEX('استلام المواقع'!$D$5:$D$304,MATCH(A182,'استلام المواقع'!$B$5:$B$304,0)),""))</f>
        <v/>
      </c>
      <c r="H182" s="43" t="n"/>
      <c r="I182" s="42">
        <f>IF(OR(G182="",H182=""),"",G182+H182)</f>
        <v/>
      </c>
      <c r="J182" s="44" t="n"/>
      <c r="K182" s="45">
        <f>IF(OR(I182="",H182=0),"",MAX(0,MIN(1,(IF(P182&lt;&gt;"",P182,TODAY())-G182)/H182)))</f>
        <v/>
      </c>
      <c r="L182" s="46">
        <f>IF(B182="","",SUMIFS('المستخلصات'!$N$5:$N$304,'المستخلصات'!$B$5:$B$304,A182))</f>
        <v/>
      </c>
      <c r="M182" s="46">
        <f>IF(B182="","",SUMIFS('سندات القبض'!$K$5:$K$304,'سندات القبض'!$D$5:$D$304,A182))</f>
        <v/>
      </c>
      <c r="N182" s="46">
        <f>IF(B182="","",SUMIFS('سندات الصرف'!$L$5:$L$304,'سندات الصرف'!$D$5:$D$304,A182))</f>
        <v/>
      </c>
      <c r="O182" s="46">
        <f>IF(B182="","",M182-N182)</f>
        <v/>
      </c>
      <c r="P182" s="47" t="n"/>
      <c r="Q182" s="47" t="n"/>
      <c r="R182" s="48">
        <f>IF(B182="","",COUNTIFS('اعتماد المواد'!$B$5:$B$304,A182,'اعتماد المواد'!$M$5:$M$304,"قيد المراجعة"))</f>
        <v/>
      </c>
      <c r="S182" s="48">
        <f>IF(B182="","",COUNTIFS('عدم المطابقة'!$C$5:$C$304,A182,'عدم المطابقة'!$L$5:$L$304,"مفتوح*"))</f>
        <v/>
      </c>
      <c r="T182" s="48">
        <f>IF(B182="","",COUNTIFS('ملاحظات التسليم'!$B$5:$B$304,A182,'ملاحظات التسليم'!$K$5:$K$304,"مفتوح*"))</f>
        <v/>
      </c>
      <c r="U182" s="49">
        <f>IF(B182="","",IF(Q182&lt;&gt;"","مسلّم نهائياً",IF(P182&lt;&gt;"","فترة الضمان",IF(G182="","بانتظار استلام الموقع",IF(TODAY()&gt;I182,"متأخر عن التعاقد",IF(J182&lt;K182-0.1,"متأخر عن الخطة","جاري التنفيذ"))))))</f>
        <v/>
      </c>
    </row>
    <row r="183">
      <c r="A183" s="39">
        <f>IF(B183="","","PRJ-"&amp;TEXT(ROW()-4,"000"))</f>
        <v/>
      </c>
      <c r="B183" s="40" t="n"/>
      <c r="C183" s="40" t="n"/>
      <c r="D183" s="40" t="n"/>
      <c r="E183" s="40" t="n"/>
      <c r="F183" s="41" t="n"/>
      <c r="G183" s="42">
        <f>IF(B183="","",IFERROR(INDEX('استلام المواقع'!$D$5:$D$304,MATCH(A183,'استلام المواقع'!$B$5:$B$304,0)),""))</f>
        <v/>
      </c>
      <c r="H183" s="43" t="n"/>
      <c r="I183" s="42">
        <f>IF(OR(G183="",H183=""),"",G183+H183)</f>
        <v/>
      </c>
      <c r="J183" s="44" t="n"/>
      <c r="K183" s="45">
        <f>IF(OR(I183="",H183=0),"",MAX(0,MIN(1,(IF(P183&lt;&gt;"",P183,TODAY())-G183)/H183)))</f>
        <v/>
      </c>
      <c r="L183" s="46">
        <f>IF(B183="","",SUMIFS('المستخلصات'!$N$5:$N$304,'المستخلصات'!$B$5:$B$304,A183))</f>
        <v/>
      </c>
      <c r="M183" s="46">
        <f>IF(B183="","",SUMIFS('سندات القبض'!$K$5:$K$304,'سندات القبض'!$D$5:$D$304,A183))</f>
        <v/>
      </c>
      <c r="N183" s="46">
        <f>IF(B183="","",SUMIFS('سندات الصرف'!$L$5:$L$304,'سندات الصرف'!$D$5:$D$304,A183))</f>
        <v/>
      </c>
      <c r="O183" s="46">
        <f>IF(B183="","",M183-N183)</f>
        <v/>
      </c>
      <c r="P183" s="47" t="n"/>
      <c r="Q183" s="47" t="n"/>
      <c r="R183" s="48">
        <f>IF(B183="","",COUNTIFS('اعتماد المواد'!$B$5:$B$304,A183,'اعتماد المواد'!$M$5:$M$304,"قيد المراجعة"))</f>
        <v/>
      </c>
      <c r="S183" s="48">
        <f>IF(B183="","",COUNTIFS('عدم المطابقة'!$C$5:$C$304,A183,'عدم المطابقة'!$L$5:$L$304,"مفتوح*"))</f>
        <v/>
      </c>
      <c r="T183" s="48">
        <f>IF(B183="","",COUNTIFS('ملاحظات التسليم'!$B$5:$B$304,A183,'ملاحظات التسليم'!$K$5:$K$304,"مفتوح*"))</f>
        <v/>
      </c>
      <c r="U183" s="49">
        <f>IF(B183="","",IF(Q183&lt;&gt;"","مسلّم نهائياً",IF(P183&lt;&gt;"","فترة الضمان",IF(G183="","بانتظار استلام الموقع",IF(TODAY()&gt;I183,"متأخر عن التعاقد",IF(J183&lt;K183-0.1,"متأخر عن الخطة","جاري التنفيذ"))))))</f>
        <v/>
      </c>
    </row>
    <row r="184">
      <c r="A184" s="39">
        <f>IF(B184="","","PRJ-"&amp;TEXT(ROW()-4,"000"))</f>
        <v/>
      </c>
      <c r="B184" s="40" t="n"/>
      <c r="C184" s="40" t="n"/>
      <c r="D184" s="40" t="n"/>
      <c r="E184" s="40" t="n"/>
      <c r="F184" s="41" t="n"/>
      <c r="G184" s="42">
        <f>IF(B184="","",IFERROR(INDEX('استلام المواقع'!$D$5:$D$304,MATCH(A184,'استلام المواقع'!$B$5:$B$304,0)),""))</f>
        <v/>
      </c>
      <c r="H184" s="43" t="n"/>
      <c r="I184" s="42">
        <f>IF(OR(G184="",H184=""),"",G184+H184)</f>
        <v/>
      </c>
      <c r="J184" s="44" t="n"/>
      <c r="K184" s="45">
        <f>IF(OR(I184="",H184=0),"",MAX(0,MIN(1,(IF(P184&lt;&gt;"",P184,TODAY())-G184)/H184)))</f>
        <v/>
      </c>
      <c r="L184" s="46">
        <f>IF(B184="","",SUMIFS('المستخلصات'!$N$5:$N$304,'المستخلصات'!$B$5:$B$304,A184))</f>
        <v/>
      </c>
      <c r="M184" s="46">
        <f>IF(B184="","",SUMIFS('سندات القبض'!$K$5:$K$304,'سندات القبض'!$D$5:$D$304,A184))</f>
        <v/>
      </c>
      <c r="N184" s="46">
        <f>IF(B184="","",SUMIFS('سندات الصرف'!$L$5:$L$304,'سندات الصرف'!$D$5:$D$304,A184))</f>
        <v/>
      </c>
      <c r="O184" s="46">
        <f>IF(B184="","",M184-N184)</f>
        <v/>
      </c>
      <c r="P184" s="47" t="n"/>
      <c r="Q184" s="47" t="n"/>
      <c r="R184" s="48">
        <f>IF(B184="","",COUNTIFS('اعتماد المواد'!$B$5:$B$304,A184,'اعتماد المواد'!$M$5:$M$304,"قيد المراجعة"))</f>
        <v/>
      </c>
      <c r="S184" s="48">
        <f>IF(B184="","",COUNTIFS('عدم المطابقة'!$C$5:$C$304,A184,'عدم المطابقة'!$L$5:$L$304,"مفتوح*"))</f>
        <v/>
      </c>
      <c r="T184" s="48">
        <f>IF(B184="","",COUNTIFS('ملاحظات التسليم'!$B$5:$B$304,A184,'ملاحظات التسليم'!$K$5:$K$304,"مفتوح*"))</f>
        <v/>
      </c>
      <c r="U184" s="49">
        <f>IF(B184="","",IF(Q184&lt;&gt;"","مسلّم نهائياً",IF(P184&lt;&gt;"","فترة الضمان",IF(G184="","بانتظار استلام الموقع",IF(TODAY()&gt;I184,"متأخر عن التعاقد",IF(J184&lt;K184-0.1,"متأخر عن الخطة","جاري التنفيذ"))))))</f>
        <v/>
      </c>
    </row>
    <row r="185">
      <c r="A185" s="39">
        <f>IF(B185="","","PRJ-"&amp;TEXT(ROW()-4,"000"))</f>
        <v/>
      </c>
      <c r="B185" s="40" t="n"/>
      <c r="C185" s="40" t="n"/>
      <c r="D185" s="40" t="n"/>
      <c r="E185" s="40" t="n"/>
      <c r="F185" s="41" t="n"/>
      <c r="G185" s="42">
        <f>IF(B185="","",IFERROR(INDEX('استلام المواقع'!$D$5:$D$304,MATCH(A185,'استلام المواقع'!$B$5:$B$304,0)),""))</f>
        <v/>
      </c>
      <c r="H185" s="43" t="n"/>
      <c r="I185" s="42">
        <f>IF(OR(G185="",H185=""),"",G185+H185)</f>
        <v/>
      </c>
      <c r="J185" s="44" t="n"/>
      <c r="K185" s="45">
        <f>IF(OR(I185="",H185=0),"",MAX(0,MIN(1,(IF(P185&lt;&gt;"",P185,TODAY())-G185)/H185)))</f>
        <v/>
      </c>
      <c r="L185" s="46">
        <f>IF(B185="","",SUMIFS('المستخلصات'!$N$5:$N$304,'المستخلصات'!$B$5:$B$304,A185))</f>
        <v/>
      </c>
      <c r="M185" s="46">
        <f>IF(B185="","",SUMIFS('سندات القبض'!$K$5:$K$304,'سندات القبض'!$D$5:$D$304,A185))</f>
        <v/>
      </c>
      <c r="N185" s="46">
        <f>IF(B185="","",SUMIFS('سندات الصرف'!$L$5:$L$304,'سندات الصرف'!$D$5:$D$304,A185))</f>
        <v/>
      </c>
      <c r="O185" s="46">
        <f>IF(B185="","",M185-N185)</f>
        <v/>
      </c>
      <c r="P185" s="47" t="n"/>
      <c r="Q185" s="47" t="n"/>
      <c r="R185" s="48">
        <f>IF(B185="","",COUNTIFS('اعتماد المواد'!$B$5:$B$304,A185,'اعتماد المواد'!$M$5:$M$304,"قيد المراجعة"))</f>
        <v/>
      </c>
      <c r="S185" s="48">
        <f>IF(B185="","",COUNTIFS('عدم المطابقة'!$C$5:$C$304,A185,'عدم المطابقة'!$L$5:$L$304,"مفتوح*"))</f>
        <v/>
      </c>
      <c r="T185" s="48">
        <f>IF(B185="","",COUNTIFS('ملاحظات التسليم'!$B$5:$B$304,A185,'ملاحظات التسليم'!$K$5:$K$304,"مفتوح*"))</f>
        <v/>
      </c>
      <c r="U185" s="49">
        <f>IF(B185="","",IF(Q185&lt;&gt;"","مسلّم نهائياً",IF(P185&lt;&gt;"","فترة الضمان",IF(G185="","بانتظار استلام الموقع",IF(TODAY()&gt;I185,"متأخر عن التعاقد",IF(J185&lt;K185-0.1,"متأخر عن الخطة","جاري التنفيذ"))))))</f>
        <v/>
      </c>
    </row>
    <row r="186">
      <c r="A186" s="39">
        <f>IF(B186="","","PRJ-"&amp;TEXT(ROW()-4,"000"))</f>
        <v/>
      </c>
      <c r="B186" s="40" t="n"/>
      <c r="C186" s="40" t="n"/>
      <c r="D186" s="40" t="n"/>
      <c r="E186" s="40" t="n"/>
      <c r="F186" s="41" t="n"/>
      <c r="G186" s="42">
        <f>IF(B186="","",IFERROR(INDEX('استلام المواقع'!$D$5:$D$304,MATCH(A186,'استلام المواقع'!$B$5:$B$304,0)),""))</f>
        <v/>
      </c>
      <c r="H186" s="43" t="n"/>
      <c r="I186" s="42">
        <f>IF(OR(G186="",H186=""),"",G186+H186)</f>
        <v/>
      </c>
      <c r="J186" s="44" t="n"/>
      <c r="K186" s="45">
        <f>IF(OR(I186="",H186=0),"",MAX(0,MIN(1,(IF(P186&lt;&gt;"",P186,TODAY())-G186)/H186)))</f>
        <v/>
      </c>
      <c r="L186" s="46">
        <f>IF(B186="","",SUMIFS('المستخلصات'!$N$5:$N$304,'المستخلصات'!$B$5:$B$304,A186))</f>
        <v/>
      </c>
      <c r="M186" s="46">
        <f>IF(B186="","",SUMIFS('سندات القبض'!$K$5:$K$304,'سندات القبض'!$D$5:$D$304,A186))</f>
        <v/>
      </c>
      <c r="N186" s="46">
        <f>IF(B186="","",SUMIFS('سندات الصرف'!$L$5:$L$304,'سندات الصرف'!$D$5:$D$304,A186))</f>
        <v/>
      </c>
      <c r="O186" s="46">
        <f>IF(B186="","",M186-N186)</f>
        <v/>
      </c>
      <c r="P186" s="47" t="n"/>
      <c r="Q186" s="47" t="n"/>
      <c r="R186" s="48">
        <f>IF(B186="","",COUNTIFS('اعتماد المواد'!$B$5:$B$304,A186,'اعتماد المواد'!$M$5:$M$304,"قيد المراجعة"))</f>
        <v/>
      </c>
      <c r="S186" s="48">
        <f>IF(B186="","",COUNTIFS('عدم المطابقة'!$C$5:$C$304,A186,'عدم المطابقة'!$L$5:$L$304,"مفتوح*"))</f>
        <v/>
      </c>
      <c r="T186" s="48">
        <f>IF(B186="","",COUNTIFS('ملاحظات التسليم'!$B$5:$B$304,A186,'ملاحظات التسليم'!$K$5:$K$304,"مفتوح*"))</f>
        <v/>
      </c>
      <c r="U186" s="49">
        <f>IF(B186="","",IF(Q186&lt;&gt;"","مسلّم نهائياً",IF(P186&lt;&gt;"","فترة الضمان",IF(G186="","بانتظار استلام الموقع",IF(TODAY()&gt;I186,"متأخر عن التعاقد",IF(J186&lt;K186-0.1,"متأخر عن الخطة","جاري التنفيذ"))))))</f>
        <v/>
      </c>
    </row>
    <row r="187">
      <c r="A187" s="39">
        <f>IF(B187="","","PRJ-"&amp;TEXT(ROW()-4,"000"))</f>
        <v/>
      </c>
      <c r="B187" s="40" t="n"/>
      <c r="C187" s="40" t="n"/>
      <c r="D187" s="40" t="n"/>
      <c r="E187" s="40" t="n"/>
      <c r="F187" s="41" t="n"/>
      <c r="G187" s="42">
        <f>IF(B187="","",IFERROR(INDEX('استلام المواقع'!$D$5:$D$304,MATCH(A187,'استلام المواقع'!$B$5:$B$304,0)),""))</f>
        <v/>
      </c>
      <c r="H187" s="43" t="n"/>
      <c r="I187" s="42">
        <f>IF(OR(G187="",H187=""),"",G187+H187)</f>
        <v/>
      </c>
      <c r="J187" s="44" t="n"/>
      <c r="K187" s="45">
        <f>IF(OR(I187="",H187=0),"",MAX(0,MIN(1,(IF(P187&lt;&gt;"",P187,TODAY())-G187)/H187)))</f>
        <v/>
      </c>
      <c r="L187" s="46">
        <f>IF(B187="","",SUMIFS('المستخلصات'!$N$5:$N$304,'المستخلصات'!$B$5:$B$304,A187))</f>
        <v/>
      </c>
      <c r="M187" s="46">
        <f>IF(B187="","",SUMIFS('سندات القبض'!$K$5:$K$304,'سندات القبض'!$D$5:$D$304,A187))</f>
        <v/>
      </c>
      <c r="N187" s="46">
        <f>IF(B187="","",SUMIFS('سندات الصرف'!$L$5:$L$304,'سندات الصرف'!$D$5:$D$304,A187))</f>
        <v/>
      </c>
      <c r="O187" s="46">
        <f>IF(B187="","",M187-N187)</f>
        <v/>
      </c>
      <c r="P187" s="47" t="n"/>
      <c r="Q187" s="47" t="n"/>
      <c r="R187" s="48">
        <f>IF(B187="","",COUNTIFS('اعتماد المواد'!$B$5:$B$304,A187,'اعتماد المواد'!$M$5:$M$304,"قيد المراجعة"))</f>
        <v/>
      </c>
      <c r="S187" s="48">
        <f>IF(B187="","",COUNTIFS('عدم المطابقة'!$C$5:$C$304,A187,'عدم المطابقة'!$L$5:$L$304,"مفتوح*"))</f>
        <v/>
      </c>
      <c r="T187" s="48">
        <f>IF(B187="","",COUNTIFS('ملاحظات التسليم'!$B$5:$B$304,A187,'ملاحظات التسليم'!$K$5:$K$304,"مفتوح*"))</f>
        <v/>
      </c>
      <c r="U187" s="49">
        <f>IF(B187="","",IF(Q187&lt;&gt;"","مسلّم نهائياً",IF(P187&lt;&gt;"","فترة الضمان",IF(G187="","بانتظار استلام الموقع",IF(TODAY()&gt;I187,"متأخر عن التعاقد",IF(J187&lt;K187-0.1,"متأخر عن الخطة","جاري التنفيذ"))))))</f>
        <v/>
      </c>
    </row>
    <row r="188">
      <c r="A188" s="39">
        <f>IF(B188="","","PRJ-"&amp;TEXT(ROW()-4,"000"))</f>
        <v/>
      </c>
      <c r="B188" s="40" t="n"/>
      <c r="C188" s="40" t="n"/>
      <c r="D188" s="40" t="n"/>
      <c r="E188" s="40" t="n"/>
      <c r="F188" s="41" t="n"/>
      <c r="G188" s="42">
        <f>IF(B188="","",IFERROR(INDEX('استلام المواقع'!$D$5:$D$304,MATCH(A188,'استلام المواقع'!$B$5:$B$304,0)),""))</f>
        <v/>
      </c>
      <c r="H188" s="43" t="n"/>
      <c r="I188" s="42">
        <f>IF(OR(G188="",H188=""),"",G188+H188)</f>
        <v/>
      </c>
      <c r="J188" s="44" t="n"/>
      <c r="K188" s="45">
        <f>IF(OR(I188="",H188=0),"",MAX(0,MIN(1,(IF(P188&lt;&gt;"",P188,TODAY())-G188)/H188)))</f>
        <v/>
      </c>
      <c r="L188" s="46">
        <f>IF(B188="","",SUMIFS('المستخلصات'!$N$5:$N$304,'المستخلصات'!$B$5:$B$304,A188))</f>
        <v/>
      </c>
      <c r="M188" s="46">
        <f>IF(B188="","",SUMIFS('سندات القبض'!$K$5:$K$304,'سندات القبض'!$D$5:$D$304,A188))</f>
        <v/>
      </c>
      <c r="N188" s="46">
        <f>IF(B188="","",SUMIFS('سندات الصرف'!$L$5:$L$304,'سندات الصرف'!$D$5:$D$304,A188))</f>
        <v/>
      </c>
      <c r="O188" s="46">
        <f>IF(B188="","",M188-N188)</f>
        <v/>
      </c>
      <c r="P188" s="47" t="n"/>
      <c r="Q188" s="47" t="n"/>
      <c r="R188" s="48">
        <f>IF(B188="","",COUNTIFS('اعتماد المواد'!$B$5:$B$304,A188,'اعتماد المواد'!$M$5:$M$304,"قيد المراجعة"))</f>
        <v/>
      </c>
      <c r="S188" s="48">
        <f>IF(B188="","",COUNTIFS('عدم المطابقة'!$C$5:$C$304,A188,'عدم المطابقة'!$L$5:$L$304,"مفتوح*"))</f>
        <v/>
      </c>
      <c r="T188" s="48">
        <f>IF(B188="","",COUNTIFS('ملاحظات التسليم'!$B$5:$B$304,A188,'ملاحظات التسليم'!$K$5:$K$304,"مفتوح*"))</f>
        <v/>
      </c>
      <c r="U188" s="49">
        <f>IF(B188="","",IF(Q188&lt;&gt;"","مسلّم نهائياً",IF(P188&lt;&gt;"","فترة الضمان",IF(G188="","بانتظار استلام الموقع",IF(TODAY()&gt;I188,"متأخر عن التعاقد",IF(J188&lt;K188-0.1,"متأخر عن الخطة","جاري التنفيذ"))))))</f>
        <v/>
      </c>
    </row>
    <row r="189">
      <c r="A189" s="39">
        <f>IF(B189="","","PRJ-"&amp;TEXT(ROW()-4,"000"))</f>
        <v/>
      </c>
      <c r="B189" s="40" t="n"/>
      <c r="C189" s="40" t="n"/>
      <c r="D189" s="40" t="n"/>
      <c r="E189" s="40" t="n"/>
      <c r="F189" s="41" t="n"/>
      <c r="G189" s="42">
        <f>IF(B189="","",IFERROR(INDEX('استلام المواقع'!$D$5:$D$304,MATCH(A189,'استلام المواقع'!$B$5:$B$304,0)),""))</f>
        <v/>
      </c>
      <c r="H189" s="43" t="n"/>
      <c r="I189" s="42">
        <f>IF(OR(G189="",H189=""),"",G189+H189)</f>
        <v/>
      </c>
      <c r="J189" s="44" t="n"/>
      <c r="K189" s="45">
        <f>IF(OR(I189="",H189=0),"",MAX(0,MIN(1,(IF(P189&lt;&gt;"",P189,TODAY())-G189)/H189)))</f>
        <v/>
      </c>
      <c r="L189" s="46">
        <f>IF(B189="","",SUMIFS('المستخلصات'!$N$5:$N$304,'المستخلصات'!$B$5:$B$304,A189))</f>
        <v/>
      </c>
      <c r="M189" s="46">
        <f>IF(B189="","",SUMIFS('سندات القبض'!$K$5:$K$304,'سندات القبض'!$D$5:$D$304,A189))</f>
        <v/>
      </c>
      <c r="N189" s="46">
        <f>IF(B189="","",SUMIFS('سندات الصرف'!$L$5:$L$304,'سندات الصرف'!$D$5:$D$304,A189))</f>
        <v/>
      </c>
      <c r="O189" s="46">
        <f>IF(B189="","",M189-N189)</f>
        <v/>
      </c>
      <c r="P189" s="47" t="n"/>
      <c r="Q189" s="47" t="n"/>
      <c r="R189" s="48">
        <f>IF(B189="","",COUNTIFS('اعتماد المواد'!$B$5:$B$304,A189,'اعتماد المواد'!$M$5:$M$304,"قيد المراجعة"))</f>
        <v/>
      </c>
      <c r="S189" s="48">
        <f>IF(B189="","",COUNTIFS('عدم المطابقة'!$C$5:$C$304,A189,'عدم المطابقة'!$L$5:$L$304,"مفتوح*"))</f>
        <v/>
      </c>
      <c r="T189" s="48">
        <f>IF(B189="","",COUNTIFS('ملاحظات التسليم'!$B$5:$B$304,A189,'ملاحظات التسليم'!$K$5:$K$304,"مفتوح*"))</f>
        <v/>
      </c>
      <c r="U189" s="49">
        <f>IF(B189="","",IF(Q189&lt;&gt;"","مسلّم نهائياً",IF(P189&lt;&gt;"","فترة الضمان",IF(G189="","بانتظار استلام الموقع",IF(TODAY()&gt;I189,"متأخر عن التعاقد",IF(J189&lt;K189-0.1,"متأخر عن الخطة","جاري التنفيذ"))))))</f>
        <v/>
      </c>
    </row>
    <row r="190">
      <c r="A190" s="39">
        <f>IF(B190="","","PRJ-"&amp;TEXT(ROW()-4,"000"))</f>
        <v/>
      </c>
      <c r="B190" s="40" t="n"/>
      <c r="C190" s="40" t="n"/>
      <c r="D190" s="40" t="n"/>
      <c r="E190" s="40" t="n"/>
      <c r="F190" s="41" t="n"/>
      <c r="G190" s="42">
        <f>IF(B190="","",IFERROR(INDEX('استلام المواقع'!$D$5:$D$304,MATCH(A190,'استلام المواقع'!$B$5:$B$304,0)),""))</f>
        <v/>
      </c>
      <c r="H190" s="43" t="n"/>
      <c r="I190" s="42">
        <f>IF(OR(G190="",H190=""),"",G190+H190)</f>
        <v/>
      </c>
      <c r="J190" s="44" t="n"/>
      <c r="K190" s="45">
        <f>IF(OR(I190="",H190=0),"",MAX(0,MIN(1,(IF(P190&lt;&gt;"",P190,TODAY())-G190)/H190)))</f>
        <v/>
      </c>
      <c r="L190" s="46">
        <f>IF(B190="","",SUMIFS('المستخلصات'!$N$5:$N$304,'المستخلصات'!$B$5:$B$304,A190))</f>
        <v/>
      </c>
      <c r="M190" s="46">
        <f>IF(B190="","",SUMIFS('سندات القبض'!$K$5:$K$304,'سندات القبض'!$D$5:$D$304,A190))</f>
        <v/>
      </c>
      <c r="N190" s="46">
        <f>IF(B190="","",SUMIFS('سندات الصرف'!$L$5:$L$304,'سندات الصرف'!$D$5:$D$304,A190))</f>
        <v/>
      </c>
      <c r="O190" s="46">
        <f>IF(B190="","",M190-N190)</f>
        <v/>
      </c>
      <c r="P190" s="47" t="n"/>
      <c r="Q190" s="47" t="n"/>
      <c r="R190" s="48">
        <f>IF(B190="","",COUNTIFS('اعتماد المواد'!$B$5:$B$304,A190,'اعتماد المواد'!$M$5:$M$304,"قيد المراجعة"))</f>
        <v/>
      </c>
      <c r="S190" s="48">
        <f>IF(B190="","",COUNTIFS('عدم المطابقة'!$C$5:$C$304,A190,'عدم المطابقة'!$L$5:$L$304,"مفتوح*"))</f>
        <v/>
      </c>
      <c r="T190" s="48">
        <f>IF(B190="","",COUNTIFS('ملاحظات التسليم'!$B$5:$B$304,A190,'ملاحظات التسليم'!$K$5:$K$304,"مفتوح*"))</f>
        <v/>
      </c>
      <c r="U190" s="49">
        <f>IF(B190="","",IF(Q190&lt;&gt;"","مسلّم نهائياً",IF(P190&lt;&gt;"","فترة الضمان",IF(G190="","بانتظار استلام الموقع",IF(TODAY()&gt;I190,"متأخر عن التعاقد",IF(J190&lt;K190-0.1,"متأخر عن الخطة","جاري التنفيذ"))))))</f>
        <v/>
      </c>
    </row>
    <row r="191">
      <c r="A191" s="39">
        <f>IF(B191="","","PRJ-"&amp;TEXT(ROW()-4,"000"))</f>
        <v/>
      </c>
      <c r="B191" s="40" t="n"/>
      <c r="C191" s="40" t="n"/>
      <c r="D191" s="40" t="n"/>
      <c r="E191" s="40" t="n"/>
      <c r="F191" s="41" t="n"/>
      <c r="G191" s="42">
        <f>IF(B191="","",IFERROR(INDEX('استلام المواقع'!$D$5:$D$304,MATCH(A191,'استلام المواقع'!$B$5:$B$304,0)),""))</f>
        <v/>
      </c>
      <c r="H191" s="43" t="n"/>
      <c r="I191" s="42">
        <f>IF(OR(G191="",H191=""),"",G191+H191)</f>
        <v/>
      </c>
      <c r="J191" s="44" t="n"/>
      <c r="K191" s="45">
        <f>IF(OR(I191="",H191=0),"",MAX(0,MIN(1,(IF(P191&lt;&gt;"",P191,TODAY())-G191)/H191)))</f>
        <v/>
      </c>
      <c r="L191" s="46">
        <f>IF(B191="","",SUMIFS('المستخلصات'!$N$5:$N$304,'المستخلصات'!$B$5:$B$304,A191))</f>
        <v/>
      </c>
      <c r="M191" s="46">
        <f>IF(B191="","",SUMIFS('سندات القبض'!$K$5:$K$304,'سندات القبض'!$D$5:$D$304,A191))</f>
        <v/>
      </c>
      <c r="N191" s="46">
        <f>IF(B191="","",SUMIFS('سندات الصرف'!$L$5:$L$304,'سندات الصرف'!$D$5:$D$304,A191))</f>
        <v/>
      </c>
      <c r="O191" s="46">
        <f>IF(B191="","",M191-N191)</f>
        <v/>
      </c>
      <c r="P191" s="47" t="n"/>
      <c r="Q191" s="47" t="n"/>
      <c r="R191" s="48">
        <f>IF(B191="","",COUNTIFS('اعتماد المواد'!$B$5:$B$304,A191,'اعتماد المواد'!$M$5:$M$304,"قيد المراجعة"))</f>
        <v/>
      </c>
      <c r="S191" s="48">
        <f>IF(B191="","",COUNTIFS('عدم المطابقة'!$C$5:$C$304,A191,'عدم المطابقة'!$L$5:$L$304,"مفتوح*"))</f>
        <v/>
      </c>
      <c r="T191" s="48">
        <f>IF(B191="","",COUNTIFS('ملاحظات التسليم'!$B$5:$B$304,A191,'ملاحظات التسليم'!$K$5:$K$304,"مفتوح*"))</f>
        <v/>
      </c>
      <c r="U191" s="49">
        <f>IF(B191="","",IF(Q191&lt;&gt;"","مسلّم نهائياً",IF(P191&lt;&gt;"","فترة الضمان",IF(G191="","بانتظار استلام الموقع",IF(TODAY()&gt;I191,"متأخر عن التعاقد",IF(J191&lt;K191-0.1,"متأخر عن الخطة","جاري التنفيذ"))))))</f>
        <v/>
      </c>
    </row>
    <row r="192">
      <c r="A192" s="39">
        <f>IF(B192="","","PRJ-"&amp;TEXT(ROW()-4,"000"))</f>
        <v/>
      </c>
      <c r="B192" s="40" t="n"/>
      <c r="C192" s="40" t="n"/>
      <c r="D192" s="40" t="n"/>
      <c r="E192" s="40" t="n"/>
      <c r="F192" s="41" t="n"/>
      <c r="G192" s="42">
        <f>IF(B192="","",IFERROR(INDEX('استلام المواقع'!$D$5:$D$304,MATCH(A192,'استلام المواقع'!$B$5:$B$304,0)),""))</f>
        <v/>
      </c>
      <c r="H192" s="43" t="n"/>
      <c r="I192" s="42">
        <f>IF(OR(G192="",H192=""),"",G192+H192)</f>
        <v/>
      </c>
      <c r="J192" s="44" t="n"/>
      <c r="K192" s="45">
        <f>IF(OR(I192="",H192=0),"",MAX(0,MIN(1,(IF(P192&lt;&gt;"",P192,TODAY())-G192)/H192)))</f>
        <v/>
      </c>
      <c r="L192" s="46">
        <f>IF(B192="","",SUMIFS('المستخلصات'!$N$5:$N$304,'المستخلصات'!$B$5:$B$304,A192))</f>
        <v/>
      </c>
      <c r="M192" s="46">
        <f>IF(B192="","",SUMIFS('سندات القبض'!$K$5:$K$304,'سندات القبض'!$D$5:$D$304,A192))</f>
        <v/>
      </c>
      <c r="N192" s="46">
        <f>IF(B192="","",SUMIFS('سندات الصرف'!$L$5:$L$304,'سندات الصرف'!$D$5:$D$304,A192))</f>
        <v/>
      </c>
      <c r="O192" s="46">
        <f>IF(B192="","",M192-N192)</f>
        <v/>
      </c>
      <c r="P192" s="47" t="n"/>
      <c r="Q192" s="47" t="n"/>
      <c r="R192" s="48">
        <f>IF(B192="","",COUNTIFS('اعتماد المواد'!$B$5:$B$304,A192,'اعتماد المواد'!$M$5:$M$304,"قيد المراجعة"))</f>
        <v/>
      </c>
      <c r="S192" s="48">
        <f>IF(B192="","",COUNTIFS('عدم المطابقة'!$C$5:$C$304,A192,'عدم المطابقة'!$L$5:$L$304,"مفتوح*"))</f>
        <v/>
      </c>
      <c r="T192" s="48">
        <f>IF(B192="","",COUNTIFS('ملاحظات التسليم'!$B$5:$B$304,A192,'ملاحظات التسليم'!$K$5:$K$304,"مفتوح*"))</f>
        <v/>
      </c>
      <c r="U192" s="49">
        <f>IF(B192="","",IF(Q192&lt;&gt;"","مسلّم نهائياً",IF(P192&lt;&gt;"","فترة الضمان",IF(G192="","بانتظار استلام الموقع",IF(TODAY()&gt;I192,"متأخر عن التعاقد",IF(J192&lt;K192-0.1,"متأخر عن الخطة","جاري التنفيذ"))))))</f>
        <v/>
      </c>
    </row>
    <row r="193">
      <c r="A193" s="39">
        <f>IF(B193="","","PRJ-"&amp;TEXT(ROW()-4,"000"))</f>
        <v/>
      </c>
      <c r="B193" s="40" t="n"/>
      <c r="C193" s="40" t="n"/>
      <c r="D193" s="40" t="n"/>
      <c r="E193" s="40" t="n"/>
      <c r="F193" s="41" t="n"/>
      <c r="G193" s="42">
        <f>IF(B193="","",IFERROR(INDEX('استلام المواقع'!$D$5:$D$304,MATCH(A193,'استلام المواقع'!$B$5:$B$304,0)),""))</f>
        <v/>
      </c>
      <c r="H193" s="43" t="n"/>
      <c r="I193" s="42">
        <f>IF(OR(G193="",H193=""),"",G193+H193)</f>
        <v/>
      </c>
      <c r="J193" s="44" t="n"/>
      <c r="K193" s="45">
        <f>IF(OR(I193="",H193=0),"",MAX(0,MIN(1,(IF(P193&lt;&gt;"",P193,TODAY())-G193)/H193)))</f>
        <v/>
      </c>
      <c r="L193" s="46">
        <f>IF(B193="","",SUMIFS('المستخلصات'!$N$5:$N$304,'المستخلصات'!$B$5:$B$304,A193))</f>
        <v/>
      </c>
      <c r="M193" s="46">
        <f>IF(B193="","",SUMIFS('سندات القبض'!$K$5:$K$304,'سندات القبض'!$D$5:$D$304,A193))</f>
        <v/>
      </c>
      <c r="N193" s="46">
        <f>IF(B193="","",SUMIFS('سندات الصرف'!$L$5:$L$304,'سندات الصرف'!$D$5:$D$304,A193))</f>
        <v/>
      </c>
      <c r="O193" s="46">
        <f>IF(B193="","",M193-N193)</f>
        <v/>
      </c>
      <c r="P193" s="47" t="n"/>
      <c r="Q193" s="47" t="n"/>
      <c r="R193" s="48">
        <f>IF(B193="","",COUNTIFS('اعتماد المواد'!$B$5:$B$304,A193,'اعتماد المواد'!$M$5:$M$304,"قيد المراجعة"))</f>
        <v/>
      </c>
      <c r="S193" s="48">
        <f>IF(B193="","",COUNTIFS('عدم المطابقة'!$C$5:$C$304,A193,'عدم المطابقة'!$L$5:$L$304,"مفتوح*"))</f>
        <v/>
      </c>
      <c r="T193" s="48">
        <f>IF(B193="","",COUNTIFS('ملاحظات التسليم'!$B$5:$B$304,A193,'ملاحظات التسليم'!$K$5:$K$304,"مفتوح*"))</f>
        <v/>
      </c>
      <c r="U193" s="49">
        <f>IF(B193="","",IF(Q193&lt;&gt;"","مسلّم نهائياً",IF(P193&lt;&gt;"","فترة الضمان",IF(G193="","بانتظار استلام الموقع",IF(TODAY()&gt;I193,"متأخر عن التعاقد",IF(J193&lt;K193-0.1,"متأخر عن الخطة","جاري التنفيذ"))))))</f>
        <v/>
      </c>
    </row>
    <row r="194">
      <c r="A194" s="39">
        <f>IF(B194="","","PRJ-"&amp;TEXT(ROW()-4,"000"))</f>
        <v/>
      </c>
      <c r="B194" s="40" t="n"/>
      <c r="C194" s="40" t="n"/>
      <c r="D194" s="40" t="n"/>
      <c r="E194" s="40" t="n"/>
      <c r="F194" s="41" t="n"/>
      <c r="G194" s="42">
        <f>IF(B194="","",IFERROR(INDEX('استلام المواقع'!$D$5:$D$304,MATCH(A194,'استلام المواقع'!$B$5:$B$304,0)),""))</f>
        <v/>
      </c>
      <c r="H194" s="43" t="n"/>
      <c r="I194" s="42">
        <f>IF(OR(G194="",H194=""),"",G194+H194)</f>
        <v/>
      </c>
      <c r="J194" s="44" t="n"/>
      <c r="K194" s="45">
        <f>IF(OR(I194="",H194=0),"",MAX(0,MIN(1,(IF(P194&lt;&gt;"",P194,TODAY())-G194)/H194)))</f>
        <v/>
      </c>
      <c r="L194" s="46">
        <f>IF(B194="","",SUMIFS('المستخلصات'!$N$5:$N$304,'المستخلصات'!$B$5:$B$304,A194))</f>
        <v/>
      </c>
      <c r="M194" s="46">
        <f>IF(B194="","",SUMIFS('سندات القبض'!$K$5:$K$304,'سندات القبض'!$D$5:$D$304,A194))</f>
        <v/>
      </c>
      <c r="N194" s="46">
        <f>IF(B194="","",SUMIFS('سندات الصرف'!$L$5:$L$304,'سندات الصرف'!$D$5:$D$304,A194))</f>
        <v/>
      </c>
      <c r="O194" s="46">
        <f>IF(B194="","",M194-N194)</f>
        <v/>
      </c>
      <c r="P194" s="47" t="n"/>
      <c r="Q194" s="47" t="n"/>
      <c r="R194" s="48">
        <f>IF(B194="","",COUNTIFS('اعتماد المواد'!$B$5:$B$304,A194,'اعتماد المواد'!$M$5:$M$304,"قيد المراجعة"))</f>
        <v/>
      </c>
      <c r="S194" s="48">
        <f>IF(B194="","",COUNTIFS('عدم المطابقة'!$C$5:$C$304,A194,'عدم المطابقة'!$L$5:$L$304,"مفتوح*"))</f>
        <v/>
      </c>
      <c r="T194" s="48">
        <f>IF(B194="","",COUNTIFS('ملاحظات التسليم'!$B$5:$B$304,A194,'ملاحظات التسليم'!$K$5:$K$304,"مفتوح*"))</f>
        <v/>
      </c>
      <c r="U194" s="49">
        <f>IF(B194="","",IF(Q194&lt;&gt;"","مسلّم نهائياً",IF(P194&lt;&gt;"","فترة الضمان",IF(G194="","بانتظار استلام الموقع",IF(TODAY()&gt;I194,"متأخر عن التعاقد",IF(J194&lt;K194-0.1,"متأخر عن الخطة","جاري التنفيذ"))))))</f>
        <v/>
      </c>
    </row>
    <row r="195">
      <c r="A195" s="39">
        <f>IF(B195="","","PRJ-"&amp;TEXT(ROW()-4,"000"))</f>
        <v/>
      </c>
      <c r="B195" s="40" t="n"/>
      <c r="C195" s="40" t="n"/>
      <c r="D195" s="40" t="n"/>
      <c r="E195" s="40" t="n"/>
      <c r="F195" s="41" t="n"/>
      <c r="G195" s="42">
        <f>IF(B195="","",IFERROR(INDEX('استلام المواقع'!$D$5:$D$304,MATCH(A195,'استلام المواقع'!$B$5:$B$304,0)),""))</f>
        <v/>
      </c>
      <c r="H195" s="43" t="n"/>
      <c r="I195" s="42">
        <f>IF(OR(G195="",H195=""),"",G195+H195)</f>
        <v/>
      </c>
      <c r="J195" s="44" t="n"/>
      <c r="K195" s="45">
        <f>IF(OR(I195="",H195=0),"",MAX(0,MIN(1,(IF(P195&lt;&gt;"",P195,TODAY())-G195)/H195)))</f>
        <v/>
      </c>
      <c r="L195" s="46">
        <f>IF(B195="","",SUMIFS('المستخلصات'!$N$5:$N$304,'المستخلصات'!$B$5:$B$304,A195))</f>
        <v/>
      </c>
      <c r="M195" s="46">
        <f>IF(B195="","",SUMIFS('سندات القبض'!$K$5:$K$304,'سندات القبض'!$D$5:$D$304,A195))</f>
        <v/>
      </c>
      <c r="N195" s="46">
        <f>IF(B195="","",SUMIFS('سندات الصرف'!$L$5:$L$304,'سندات الصرف'!$D$5:$D$304,A195))</f>
        <v/>
      </c>
      <c r="O195" s="46">
        <f>IF(B195="","",M195-N195)</f>
        <v/>
      </c>
      <c r="P195" s="47" t="n"/>
      <c r="Q195" s="47" t="n"/>
      <c r="R195" s="48">
        <f>IF(B195="","",COUNTIFS('اعتماد المواد'!$B$5:$B$304,A195,'اعتماد المواد'!$M$5:$M$304,"قيد المراجعة"))</f>
        <v/>
      </c>
      <c r="S195" s="48">
        <f>IF(B195="","",COUNTIFS('عدم المطابقة'!$C$5:$C$304,A195,'عدم المطابقة'!$L$5:$L$304,"مفتوح*"))</f>
        <v/>
      </c>
      <c r="T195" s="48">
        <f>IF(B195="","",COUNTIFS('ملاحظات التسليم'!$B$5:$B$304,A195,'ملاحظات التسليم'!$K$5:$K$304,"مفتوح*"))</f>
        <v/>
      </c>
      <c r="U195" s="49">
        <f>IF(B195="","",IF(Q195&lt;&gt;"","مسلّم نهائياً",IF(P195&lt;&gt;"","فترة الضمان",IF(G195="","بانتظار استلام الموقع",IF(TODAY()&gt;I195,"متأخر عن التعاقد",IF(J195&lt;K195-0.1,"متأخر عن الخطة","جاري التنفيذ"))))))</f>
        <v/>
      </c>
    </row>
    <row r="196">
      <c r="A196" s="39">
        <f>IF(B196="","","PRJ-"&amp;TEXT(ROW()-4,"000"))</f>
        <v/>
      </c>
      <c r="B196" s="40" t="n"/>
      <c r="C196" s="40" t="n"/>
      <c r="D196" s="40" t="n"/>
      <c r="E196" s="40" t="n"/>
      <c r="F196" s="41" t="n"/>
      <c r="G196" s="42">
        <f>IF(B196="","",IFERROR(INDEX('استلام المواقع'!$D$5:$D$304,MATCH(A196,'استلام المواقع'!$B$5:$B$304,0)),""))</f>
        <v/>
      </c>
      <c r="H196" s="43" t="n"/>
      <c r="I196" s="42">
        <f>IF(OR(G196="",H196=""),"",G196+H196)</f>
        <v/>
      </c>
      <c r="J196" s="44" t="n"/>
      <c r="K196" s="45">
        <f>IF(OR(I196="",H196=0),"",MAX(0,MIN(1,(IF(P196&lt;&gt;"",P196,TODAY())-G196)/H196)))</f>
        <v/>
      </c>
      <c r="L196" s="46">
        <f>IF(B196="","",SUMIFS('المستخلصات'!$N$5:$N$304,'المستخلصات'!$B$5:$B$304,A196))</f>
        <v/>
      </c>
      <c r="M196" s="46">
        <f>IF(B196="","",SUMIFS('سندات القبض'!$K$5:$K$304,'سندات القبض'!$D$5:$D$304,A196))</f>
        <v/>
      </c>
      <c r="N196" s="46">
        <f>IF(B196="","",SUMIFS('سندات الصرف'!$L$5:$L$304,'سندات الصرف'!$D$5:$D$304,A196))</f>
        <v/>
      </c>
      <c r="O196" s="46">
        <f>IF(B196="","",M196-N196)</f>
        <v/>
      </c>
      <c r="P196" s="47" t="n"/>
      <c r="Q196" s="47" t="n"/>
      <c r="R196" s="48">
        <f>IF(B196="","",COUNTIFS('اعتماد المواد'!$B$5:$B$304,A196,'اعتماد المواد'!$M$5:$M$304,"قيد المراجعة"))</f>
        <v/>
      </c>
      <c r="S196" s="48">
        <f>IF(B196="","",COUNTIFS('عدم المطابقة'!$C$5:$C$304,A196,'عدم المطابقة'!$L$5:$L$304,"مفتوح*"))</f>
        <v/>
      </c>
      <c r="T196" s="48">
        <f>IF(B196="","",COUNTIFS('ملاحظات التسليم'!$B$5:$B$304,A196,'ملاحظات التسليم'!$K$5:$K$304,"مفتوح*"))</f>
        <v/>
      </c>
      <c r="U196" s="49">
        <f>IF(B196="","",IF(Q196&lt;&gt;"","مسلّم نهائياً",IF(P196&lt;&gt;"","فترة الضمان",IF(G196="","بانتظار استلام الموقع",IF(TODAY()&gt;I196,"متأخر عن التعاقد",IF(J196&lt;K196-0.1,"متأخر عن الخطة","جاري التنفيذ"))))))</f>
        <v/>
      </c>
    </row>
    <row r="197">
      <c r="A197" s="39">
        <f>IF(B197="","","PRJ-"&amp;TEXT(ROW()-4,"000"))</f>
        <v/>
      </c>
      <c r="B197" s="40" t="n"/>
      <c r="C197" s="40" t="n"/>
      <c r="D197" s="40" t="n"/>
      <c r="E197" s="40" t="n"/>
      <c r="F197" s="41" t="n"/>
      <c r="G197" s="42">
        <f>IF(B197="","",IFERROR(INDEX('استلام المواقع'!$D$5:$D$304,MATCH(A197,'استلام المواقع'!$B$5:$B$304,0)),""))</f>
        <v/>
      </c>
      <c r="H197" s="43" t="n"/>
      <c r="I197" s="42">
        <f>IF(OR(G197="",H197=""),"",G197+H197)</f>
        <v/>
      </c>
      <c r="J197" s="44" t="n"/>
      <c r="K197" s="45">
        <f>IF(OR(I197="",H197=0),"",MAX(0,MIN(1,(IF(P197&lt;&gt;"",P197,TODAY())-G197)/H197)))</f>
        <v/>
      </c>
      <c r="L197" s="46">
        <f>IF(B197="","",SUMIFS('المستخلصات'!$N$5:$N$304,'المستخلصات'!$B$5:$B$304,A197))</f>
        <v/>
      </c>
      <c r="M197" s="46">
        <f>IF(B197="","",SUMIFS('سندات القبض'!$K$5:$K$304,'سندات القبض'!$D$5:$D$304,A197))</f>
        <v/>
      </c>
      <c r="N197" s="46">
        <f>IF(B197="","",SUMIFS('سندات الصرف'!$L$5:$L$304,'سندات الصرف'!$D$5:$D$304,A197))</f>
        <v/>
      </c>
      <c r="O197" s="46">
        <f>IF(B197="","",M197-N197)</f>
        <v/>
      </c>
      <c r="P197" s="47" t="n"/>
      <c r="Q197" s="47" t="n"/>
      <c r="R197" s="48">
        <f>IF(B197="","",COUNTIFS('اعتماد المواد'!$B$5:$B$304,A197,'اعتماد المواد'!$M$5:$M$304,"قيد المراجعة"))</f>
        <v/>
      </c>
      <c r="S197" s="48">
        <f>IF(B197="","",COUNTIFS('عدم المطابقة'!$C$5:$C$304,A197,'عدم المطابقة'!$L$5:$L$304,"مفتوح*"))</f>
        <v/>
      </c>
      <c r="T197" s="48">
        <f>IF(B197="","",COUNTIFS('ملاحظات التسليم'!$B$5:$B$304,A197,'ملاحظات التسليم'!$K$5:$K$304,"مفتوح*"))</f>
        <v/>
      </c>
      <c r="U197" s="49">
        <f>IF(B197="","",IF(Q197&lt;&gt;"","مسلّم نهائياً",IF(P197&lt;&gt;"","فترة الضمان",IF(G197="","بانتظار استلام الموقع",IF(TODAY()&gt;I197,"متأخر عن التعاقد",IF(J197&lt;K197-0.1,"متأخر عن الخطة","جاري التنفيذ"))))))</f>
        <v/>
      </c>
    </row>
    <row r="198">
      <c r="A198" s="39">
        <f>IF(B198="","","PRJ-"&amp;TEXT(ROW()-4,"000"))</f>
        <v/>
      </c>
      <c r="B198" s="40" t="n"/>
      <c r="C198" s="40" t="n"/>
      <c r="D198" s="40" t="n"/>
      <c r="E198" s="40" t="n"/>
      <c r="F198" s="41" t="n"/>
      <c r="G198" s="42">
        <f>IF(B198="","",IFERROR(INDEX('استلام المواقع'!$D$5:$D$304,MATCH(A198,'استلام المواقع'!$B$5:$B$304,0)),""))</f>
        <v/>
      </c>
      <c r="H198" s="43" t="n"/>
      <c r="I198" s="42">
        <f>IF(OR(G198="",H198=""),"",G198+H198)</f>
        <v/>
      </c>
      <c r="J198" s="44" t="n"/>
      <c r="K198" s="45">
        <f>IF(OR(I198="",H198=0),"",MAX(0,MIN(1,(IF(P198&lt;&gt;"",P198,TODAY())-G198)/H198)))</f>
        <v/>
      </c>
      <c r="L198" s="46">
        <f>IF(B198="","",SUMIFS('المستخلصات'!$N$5:$N$304,'المستخلصات'!$B$5:$B$304,A198))</f>
        <v/>
      </c>
      <c r="M198" s="46">
        <f>IF(B198="","",SUMIFS('سندات القبض'!$K$5:$K$304,'سندات القبض'!$D$5:$D$304,A198))</f>
        <v/>
      </c>
      <c r="N198" s="46">
        <f>IF(B198="","",SUMIFS('سندات الصرف'!$L$5:$L$304,'سندات الصرف'!$D$5:$D$304,A198))</f>
        <v/>
      </c>
      <c r="O198" s="46">
        <f>IF(B198="","",M198-N198)</f>
        <v/>
      </c>
      <c r="P198" s="47" t="n"/>
      <c r="Q198" s="47" t="n"/>
      <c r="R198" s="48">
        <f>IF(B198="","",COUNTIFS('اعتماد المواد'!$B$5:$B$304,A198,'اعتماد المواد'!$M$5:$M$304,"قيد المراجعة"))</f>
        <v/>
      </c>
      <c r="S198" s="48">
        <f>IF(B198="","",COUNTIFS('عدم المطابقة'!$C$5:$C$304,A198,'عدم المطابقة'!$L$5:$L$304,"مفتوح*"))</f>
        <v/>
      </c>
      <c r="T198" s="48">
        <f>IF(B198="","",COUNTIFS('ملاحظات التسليم'!$B$5:$B$304,A198,'ملاحظات التسليم'!$K$5:$K$304,"مفتوح*"))</f>
        <v/>
      </c>
      <c r="U198" s="49">
        <f>IF(B198="","",IF(Q198&lt;&gt;"","مسلّم نهائياً",IF(P198&lt;&gt;"","فترة الضمان",IF(G198="","بانتظار استلام الموقع",IF(TODAY()&gt;I198,"متأخر عن التعاقد",IF(J198&lt;K198-0.1,"متأخر عن الخطة","جاري التنفيذ"))))))</f>
        <v/>
      </c>
    </row>
    <row r="199">
      <c r="A199" s="39">
        <f>IF(B199="","","PRJ-"&amp;TEXT(ROW()-4,"000"))</f>
        <v/>
      </c>
      <c r="B199" s="40" t="n"/>
      <c r="C199" s="40" t="n"/>
      <c r="D199" s="40" t="n"/>
      <c r="E199" s="40" t="n"/>
      <c r="F199" s="41" t="n"/>
      <c r="G199" s="42">
        <f>IF(B199="","",IFERROR(INDEX('استلام المواقع'!$D$5:$D$304,MATCH(A199,'استلام المواقع'!$B$5:$B$304,0)),""))</f>
        <v/>
      </c>
      <c r="H199" s="43" t="n"/>
      <c r="I199" s="42">
        <f>IF(OR(G199="",H199=""),"",G199+H199)</f>
        <v/>
      </c>
      <c r="J199" s="44" t="n"/>
      <c r="K199" s="45">
        <f>IF(OR(I199="",H199=0),"",MAX(0,MIN(1,(IF(P199&lt;&gt;"",P199,TODAY())-G199)/H199)))</f>
        <v/>
      </c>
      <c r="L199" s="46">
        <f>IF(B199="","",SUMIFS('المستخلصات'!$N$5:$N$304,'المستخلصات'!$B$5:$B$304,A199))</f>
        <v/>
      </c>
      <c r="M199" s="46">
        <f>IF(B199="","",SUMIFS('سندات القبض'!$K$5:$K$304,'سندات القبض'!$D$5:$D$304,A199))</f>
        <v/>
      </c>
      <c r="N199" s="46">
        <f>IF(B199="","",SUMIFS('سندات الصرف'!$L$5:$L$304,'سندات الصرف'!$D$5:$D$304,A199))</f>
        <v/>
      </c>
      <c r="O199" s="46">
        <f>IF(B199="","",M199-N199)</f>
        <v/>
      </c>
      <c r="P199" s="47" t="n"/>
      <c r="Q199" s="47" t="n"/>
      <c r="R199" s="48">
        <f>IF(B199="","",COUNTIFS('اعتماد المواد'!$B$5:$B$304,A199,'اعتماد المواد'!$M$5:$M$304,"قيد المراجعة"))</f>
        <v/>
      </c>
      <c r="S199" s="48">
        <f>IF(B199="","",COUNTIFS('عدم المطابقة'!$C$5:$C$304,A199,'عدم المطابقة'!$L$5:$L$304,"مفتوح*"))</f>
        <v/>
      </c>
      <c r="T199" s="48">
        <f>IF(B199="","",COUNTIFS('ملاحظات التسليم'!$B$5:$B$304,A199,'ملاحظات التسليم'!$K$5:$K$304,"مفتوح*"))</f>
        <v/>
      </c>
      <c r="U199" s="49">
        <f>IF(B199="","",IF(Q199&lt;&gt;"","مسلّم نهائياً",IF(P199&lt;&gt;"","فترة الضمان",IF(G199="","بانتظار استلام الموقع",IF(TODAY()&gt;I199,"متأخر عن التعاقد",IF(J199&lt;K199-0.1,"متأخر عن الخطة","جاري التنفيذ"))))))</f>
        <v/>
      </c>
    </row>
    <row r="200">
      <c r="A200" s="39">
        <f>IF(B200="","","PRJ-"&amp;TEXT(ROW()-4,"000"))</f>
        <v/>
      </c>
      <c r="B200" s="40" t="n"/>
      <c r="C200" s="40" t="n"/>
      <c r="D200" s="40" t="n"/>
      <c r="E200" s="40" t="n"/>
      <c r="F200" s="41" t="n"/>
      <c r="G200" s="42">
        <f>IF(B200="","",IFERROR(INDEX('استلام المواقع'!$D$5:$D$304,MATCH(A200,'استلام المواقع'!$B$5:$B$304,0)),""))</f>
        <v/>
      </c>
      <c r="H200" s="43" t="n"/>
      <c r="I200" s="42">
        <f>IF(OR(G200="",H200=""),"",G200+H200)</f>
        <v/>
      </c>
      <c r="J200" s="44" t="n"/>
      <c r="K200" s="45">
        <f>IF(OR(I200="",H200=0),"",MAX(0,MIN(1,(IF(P200&lt;&gt;"",P200,TODAY())-G200)/H200)))</f>
        <v/>
      </c>
      <c r="L200" s="46">
        <f>IF(B200="","",SUMIFS('المستخلصات'!$N$5:$N$304,'المستخلصات'!$B$5:$B$304,A200))</f>
        <v/>
      </c>
      <c r="M200" s="46">
        <f>IF(B200="","",SUMIFS('سندات القبض'!$K$5:$K$304,'سندات القبض'!$D$5:$D$304,A200))</f>
        <v/>
      </c>
      <c r="N200" s="46">
        <f>IF(B200="","",SUMIFS('سندات الصرف'!$L$5:$L$304,'سندات الصرف'!$D$5:$D$304,A200))</f>
        <v/>
      </c>
      <c r="O200" s="46">
        <f>IF(B200="","",M200-N200)</f>
        <v/>
      </c>
      <c r="P200" s="47" t="n"/>
      <c r="Q200" s="47" t="n"/>
      <c r="R200" s="48">
        <f>IF(B200="","",COUNTIFS('اعتماد المواد'!$B$5:$B$304,A200,'اعتماد المواد'!$M$5:$M$304,"قيد المراجعة"))</f>
        <v/>
      </c>
      <c r="S200" s="48">
        <f>IF(B200="","",COUNTIFS('عدم المطابقة'!$C$5:$C$304,A200,'عدم المطابقة'!$L$5:$L$304,"مفتوح*"))</f>
        <v/>
      </c>
      <c r="T200" s="48">
        <f>IF(B200="","",COUNTIFS('ملاحظات التسليم'!$B$5:$B$304,A200,'ملاحظات التسليم'!$K$5:$K$304,"مفتوح*"))</f>
        <v/>
      </c>
      <c r="U200" s="49">
        <f>IF(B200="","",IF(Q200&lt;&gt;"","مسلّم نهائياً",IF(P200&lt;&gt;"","فترة الضمان",IF(G200="","بانتظار استلام الموقع",IF(TODAY()&gt;I200,"متأخر عن التعاقد",IF(J200&lt;K200-0.1,"متأخر عن الخطة","جاري التنفيذ"))))))</f>
        <v/>
      </c>
    </row>
    <row r="201">
      <c r="A201" s="39">
        <f>IF(B201="","","PRJ-"&amp;TEXT(ROW()-4,"000"))</f>
        <v/>
      </c>
      <c r="B201" s="40" t="n"/>
      <c r="C201" s="40" t="n"/>
      <c r="D201" s="40" t="n"/>
      <c r="E201" s="40" t="n"/>
      <c r="F201" s="41" t="n"/>
      <c r="G201" s="42">
        <f>IF(B201="","",IFERROR(INDEX('استلام المواقع'!$D$5:$D$304,MATCH(A201,'استلام المواقع'!$B$5:$B$304,0)),""))</f>
        <v/>
      </c>
      <c r="H201" s="43" t="n"/>
      <c r="I201" s="42">
        <f>IF(OR(G201="",H201=""),"",G201+H201)</f>
        <v/>
      </c>
      <c r="J201" s="44" t="n"/>
      <c r="K201" s="45">
        <f>IF(OR(I201="",H201=0),"",MAX(0,MIN(1,(IF(P201&lt;&gt;"",P201,TODAY())-G201)/H201)))</f>
        <v/>
      </c>
      <c r="L201" s="46">
        <f>IF(B201="","",SUMIFS('المستخلصات'!$N$5:$N$304,'المستخلصات'!$B$5:$B$304,A201))</f>
        <v/>
      </c>
      <c r="M201" s="46">
        <f>IF(B201="","",SUMIFS('سندات القبض'!$K$5:$K$304,'سندات القبض'!$D$5:$D$304,A201))</f>
        <v/>
      </c>
      <c r="N201" s="46">
        <f>IF(B201="","",SUMIFS('سندات الصرف'!$L$5:$L$304,'سندات الصرف'!$D$5:$D$304,A201))</f>
        <v/>
      </c>
      <c r="O201" s="46">
        <f>IF(B201="","",M201-N201)</f>
        <v/>
      </c>
      <c r="P201" s="47" t="n"/>
      <c r="Q201" s="47" t="n"/>
      <c r="R201" s="48">
        <f>IF(B201="","",COUNTIFS('اعتماد المواد'!$B$5:$B$304,A201,'اعتماد المواد'!$M$5:$M$304,"قيد المراجعة"))</f>
        <v/>
      </c>
      <c r="S201" s="48">
        <f>IF(B201="","",COUNTIFS('عدم المطابقة'!$C$5:$C$304,A201,'عدم المطابقة'!$L$5:$L$304,"مفتوح*"))</f>
        <v/>
      </c>
      <c r="T201" s="48">
        <f>IF(B201="","",COUNTIFS('ملاحظات التسليم'!$B$5:$B$304,A201,'ملاحظات التسليم'!$K$5:$K$304,"مفتوح*"))</f>
        <v/>
      </c>
      <c r="U201" s="49">
        <f>IF(B201="","",IF(Q201&lt;&gt;"","مسلّم نهائياً",IF(P201&lt;&gt;"","فترة الضمان",IF(G201="","بانتظار استلام الموقع",IF(TODAY()&gt;I201,"متأخر عن التعاقد",IF(J201&lt;K201-0.1,"متأخر عن الخطة","جاري التنفيذ"))))))</f>
        <v/>
      </c>
    </row>
    <row r="202">
      <c r="A202" s="39">
        <f>IF(B202="","","PRJ-"&amp;TEXT(ROW()-4,"000"))</f>
        <v/>
      </c>
      <c r="B202" s="40" t="n"/>
      <c r="C202" s="40" t="n"/>
      <c r="D202" s="40" t="n"/>
      <c r="E202" s="40" t="n"/>
      <c r="F202" s="41" t="n"/>
      <c r="G202" s="42">
        <f>IF(B202="","",IFERROR(INDEX('استلام المواقع'!$D$5:$D$304,MATCH(A202,'استلام المواقع'!$B$5:$B$304,0)),""))</f>
        <v/>
      </c>
      <c r="H202" s="43" t="n"/>
      <c r="I202" s="42">
        <f>IF(OR(G202="",H202=""),"",G202+H202)</f>
        <v/>
      </c>
      <c r="J202" s="44" t="n"/>
      <c r="K202" s="45">
        <f>IF(OR(I202="",H202=0),"",MAX(0,MIN(1,(IF(P202&lt;&gt;"",P202,TODAY())-G202)/H202)))</f>
        <v/>
      </c>
      <c r="L202" s="46">
        <f>IF(B202="","",SUMIFS('المستخلصات'!$N$5:$N$304,'المستخلصات'!$B$5:$B$304,A202))</f>
        <v/>
      </c>
      <c r="M202" s="46">
        <f>IF(B202="","",SUMIFS('سندات القبض'!$K$5:$K$304,'سندات القبض'!$D$5:$D$304,A202))</f>
        <v/>
      </c>
      <c r="N202" s="46">
        <f>IF(B202="","",SUMIFS('سندات الصرف'!$L$5:$L$304,'سندات الصرف'!$D$5:$D$304,A202))</f>
        <v/>
      </c>
      <c r="O202" s="46">
        <f>IF(B202="","",M202-N202)</f>
        <v/>
      </c>
      <c r="P202" s="47" t="n"/>
      <c r="Q202" s="47" t="n"/>
      <c r="R202" s="48">
        <f>IF(B202="","",COUNTIFS('اعتماد المواد'!$B$5:$B$304,A202,'اعتماد المواد'!$M$5:$M$304,"قيد المراجعة"))</f>
        <v/>
      </c>
      <c r="S202" s="48">
        <f>IF(B202="","",COUNTIFS('عدم المطابقة'!$C$5:$C$304,A202,'عدم المطابقة'!$L$5:$L$304,"مفتوح*"))</f>
        <v/>
      </c>
      <c r="T202" s="48">
        <f>IF(B202="","",COUNTIFS('ملاحظات التسليم'!$B$5:$B$304,A202,'ملاحظات التسليم'!$K$5:$K$304,"مفتوح*"))</f>
        <v/>
      </c>
      <c r="U202" s="49">
        <f>IF(B202="","",IF(Q202&lt;&gt;"","مسلّم نهائياً",IF(P202&lt;&gt;"","فترة الضمان",IF(G202="","بانتظار استلام الموقع",IF(TODAY()&gt;I202,"متأخر عن التعاقد",IF(J202&lt;K202-0.1,"متأخر عن الخطة","جاري التنفيذ"))))))</f>
        <v/>
      </c>
    </row>
    <row r="203">
      <c r="A203" s="39">
        <f>IF(B203="","","PRJ-"&amp;TEXT(ROW()-4,"000"))</f>
        <v/>
      </c>
      <c r="B203" s="40" t="n"/>
      <c r="C203" s="40" t="n"/>
      <c r="D203" s="40" t="n"/>
      <c r="E203" s="40" t="n"/>
      <c r="F203" s="41" t="n"/>
      <c r="G203" s="42">
        <f>IF(B203="","",IFERROR(INDEX('استلام المواقع'!$D$5:$D$304,MATCH(A203,'استلام المواقع'!$B$5:$B$304,0)),""))</f>
        <v/>
      </c>
      <c r="H203" s="43" t="n"/>
      <c r="I203" s="42">
        <f>IF(OR(G203="",H203=""),"",G203+H203)</f>
        <v/>
      </c>
      <c r="J203" s="44" t="n"/>
      <c r="K203" s="45">
        <f>IF(OR(I203="",H203=0),"",MAX(0,MIN(1,(IF(P203&lt;&gt;"",P203,TODAY())-G203)/H203)))</f>
        <v/>
      </c>
      <c r="L203" s="46">
        <f>IF(B203="","",SUMIFS('المستخلصات'!$N$5:$N$304,'المستخلصات'!$B$5:$B$304,A203))</f>
        <v/>
      </c>
      <c r="M203" s="46">
        <f>IF(B203="","",SUMIFS('سندات القبض'!$K$5:$K$304,'سندات القبض'!$D$5:$D$304,A203))</f>
        <v/>
      </c>
      <c r="N203" s="46">
        <f>IF(B203="","",SUMIFS('سندات الصرف'!$L$5:$L$304,'سندات الصرف'!$D$5:$D$304,A203))</f>
        <v/>
      </c>
      <c r="O203" s="46">
        <f>IF(B203="","",M203-N203)</f>
        <v/>
      </c>
      <c r="P203" s="47" t="n"/>
      <c r="Q203" s="47" t="n"/>
      <c r="R203" s="48">
        <f>IF(B203="","",COUNTIFS('اعتماد المواد'!$B$5:$B$304,A203,'اعتماد المواد'!$M$5:$M$304,"قيد المراجعة"))</f>
        <v/>
      </c>
      <c r="S203" s="48">
        <f>IF(B203="","",COUNTIFS('عدم المطابقة'!$C$5:$C$304,A203,'عدم المطابقة'!$L$5:$L$304,"مفتوح*"))</f>
        <v/>
      </c>
      <c r="T203" s="48">
        <f>IF(B203="","",COUNTIFS('ملاحظات التسليم'!$B$5:$B$304,A203,'ملاحظات التسليم'!$K$5:$K$304,"مفتوح*"))</f>
        <v/>
      </c>
      <c r="U203" s="49">
        <f>IF(B203="","",IF(Q203&lt;&gt;"","مسلّم نهائياً",IF(P203&lt;&gt;"","فترة الضمان",IF(G203="","بانتظار استلام الموقع",IF(TODAY()&gt;I203,"متأخر عن التعاقد",IF(J203&lt;K203-0.1,"متأخر عن الخطة","جاري التنفيذ"))))))</f>
        <v/>
      </c>
    </row>
    <row r="204">
      <c r="A204" s="39">
        <f>IF(B204="","","PRJ-"&amp;TEXT(ROW()-4,"000"))</f>
        <v/>
      </c>
      <c r="B204" s="40" t="n"/>
      <c r="C204" s="40" t="n"/>
      <c r="D204" s="40" t="n"/>
      <c r="E204" s="40" t="n"/>
      <c r="F204" s="41" t="n"/>
      <c r="G204" s="42">
        <f>IF(B204="","",IFERROR(INDEX('استلام المواقع'!$D$5:$D$304,MATCH(A204,'استلام المواقع'!$B$5:$B$304,0)),""))</f>
        <v/>
      </c>
      <c r="H204" s="43" t="n"/>
      <c r="I204" s="42">
        <f>IF(OR(G204="",H204=""),"",G204+H204)</f>
        <v/>
      </c>
      <c r="J204" s="44" t="n"/>
      <c r="K204" s="45">
        <f>IF(OR(I204="",H204=0),"",MAX(0,MIN(1,(IF(P204&lt;&gt;"",P204,TODAY())-G204)/H204)))</f>
        <v/>
      </c>
      <c r="L204" s="46">
        <f>IF(B204="","",SUMIFS('المستخلصات'!$N$5:$N$304,'المستخلصات'!$B$5:$B$304,A204))</f>
        <v/>
      </c>
      <c r="M204" s="46">
        <f>IF(B204="","",SUMIFS('سندات القبض'!$K$5:$K$304,'سندات القبض'!$D$5:$D$304,A204))</f>
        <v/>
      </c>
      <c r="N204" s="46">
        <f>IF(B204="","",SUMIFS('سندات الصرف'!$L$5:$L$304,'سندات الصرف'!$D$5:$D$304,A204))</f>
        <v/>
      </c>
      <c r="O204" s="46">
        <f>IF(B204="","",M204-N204)</f>
        <v/>
      </c>
      <c r="P204" s="47" t="n"/>
      <c r="Q204" s="47" t="n"/>
      <c r="R204" s="48">
        <f>IF(B204="","",COUNTIFS('اعتماد المواد'!$B$5:$B$304,A204,'اعتماد المواد'!$M$5:$M$304,"قيد المراجعة"))</f>
        <v/>
      </c>
      <c r="S204" s="48">
        <f>IF(B204="","",COUNTIFS('عدم المطابقة'!$C$5:$C$304,A204,'عدم المطابقة'!$L$5:$L$304,"مفتوح*"))</f>
        <v/>
      </c>
      <c r="T204" s="48">
        <f>IF(B204="","",COUNTIFS('ملاحظات التسليم'!$B$5:$B$304,A204,'ملاحظات التسليم'!$K$5:$K$304,"مفتوح*"))</f>
        <v/>
      </c>
      <c r="U204" s="49">
        <f>IF(B204="","",IF(Q204&lt;&gt;"","مسلّم نهائياً",IF(P204&lt;&gt;"","فترة الضمان",IF(G204="","بانتظار استلام الموقع",IF(TODAY()&gt;I204,"متأخر عن التعاقد",IF(J204&lt;K204-0.1,"متأخر عن الخطة","جاري التنفيذ"))))))</f>
        <v/>
      </c>
    </row>
    <row r="205">
      <c r="A205" s="39">
        <f>IF(B205="","","PRJ-"&amp;TEXT(ROW()-4,"000"))</f>
        <v/>
      </c>
      <c r="B205" s="40" t="n"/>
      <c r="C205" s="40" t="n"/>
      <c r="D205" s="40" t="n"/>
      <c r="E205" s="40" t="n"/>
      <c r="F205" s="41" t="n"/>
      <c r="G205" s="42">
        <f>IF(B205="","",IFERROR(INDEX('استلام المواقع'!$D$5:$D$304,MATCH(A205,'استلام المواقع'!$B$5:$B$304,0)),""))</f>
        <v/>
      </c>
      <c r="H205" s="43" t="n"/>
      <c r="I205" s="42">
        <f>IF(OR(G205="",H205=""),"",G205+H205)</f>
        <v/>
      </c>
      <c r="J205" s="44" t="n"/>
      <c r="K205" s="45">
        <f>IF(OR(I205="",H205=0),"",MAX(0,MIN(1,(IF(P205&lt;&gt;"",P205,TODAY())-G205)/H205)))</f>
        <v/>
      </c>
      <c r="L205" s="46">
        <f>IF(B205="","",SUMIFS('المستخلصات'!$N$5:$N$304,'المستخلصات'!$B$5:$B$304,A205))</f>
        <v/>
      </c>
      <c r="M205" s="46">
        <f>IF(B205="","",SUMIFS('سندات القبض'!$K$5:$K$304,'سندات القبض'!$D$5:$D$304,A205))</f>
        <v/>
      </c>
      <c r="N205" s="46">
        <f>IF(B205="","",SUMIFS('سندات الصرف'!$L$5:$L$304,'سندات الصرف'!$D$5:$D$304,A205))</f>
        <v/>
      </c>
      <c r="O205" s="46">
        <f>IF(B205="","",M205-N205)</f>
        <v/>
      </c>
      <c r="P205" s="47" t="n"/>
      <c r="Q205" s="47" t="n"/>
      <c r="R205" s="48">
        <f>IF(B205="","",COUNTIFS('اعتماد المواد'!$B$5:$B$304,A205,'اعتماد المواد'!$M$5:$M$304,"قيد المراجعة"))</f>
        <v/>
      </c>
      <c r="S205" s="48">
        <f>IF(B205="","",COUNTIFS('عدم المطابقة'!$C$5:$C$304,A205,'عدم المطابقة'!$L$5:$L$304,"مفتوح*"))</f>
        <v/>
      </c>
      <c r="T205" s="48">
        <f>IF(B205="","",COUNTIFS('ملاحظات التسليم'!$B$5:$B$304,A205,'ملاحظات التسليم'!$K$5:$K$304,"مفتوح*"))</f>
        <v/>
      </c>
      <c r="U205" s="49">
        <f>IF(B205="","",IF(Q205&lt;&gt;"","مسلّم نهائياً",IF(P205&lt;&gt;"","فترة الضمان",IF(G205="","بانتظار استلام الموقع",IF(TODAY()&gt;I205,"متأخر عن التعاقد",IF(J205&lt;K205-0.1,"متأخر عن الخطة","جاري التنفيذ"))))))</f>
        <v/>
      </c>
    </row>
    <row r="206">
      <c r="A206" s="39">
        <f>IF(B206="","","PRJ-"&amp;TEXT(ROW()-4,"000"))</f>
        <v/>
      </c>
      <c r="B206" s="40" t="n"/>
      <c r="C206" s="40" t="n"/>
      <c r="D206" s="40" t="n"/>
      <c r="E206" s="40" t="n"/>
      <c r="F206" s="41" t="n"/>
      <c r="G206" s="42">
        <f>IF(B206="","",IFERROR(INDEX('استلام المواقع'!$D$5:$D$304,MATCH(A206,'استلام المواقع'!$B$5:$B$304,0)),""))</f>
        <v/>
      </c>
      <c r="H206" s="43" t="n"/>
      <c r="I206" s="42">
        <f>IF(OR(G206="",H206=""),"",G206+H206)</f>
        <v/>
      </c>
      <c r="J206" s="44" t="n"/>
      <c r="K206" s="45">
        <f>IF(OR(I206="",H206=0),"",MAX(0,MIN(1,(IF(P206&lt;&gt;"",P206,TODAY())-G206)/H206)))</f>
        <v/>
      </c>
      <c r="L206" s="46">
        <f>IF(B206="","",SUMIFS('المستخلصات'!$N$5:$N$304,'المستخلصات'!$B$5:$B$304,A206))</f>
        <v/>
      </c>
      <c r="M206" s="46">
        <f>IF(B206="","",SUMIFS('سندات القبض'!$K$5:$K$304,'سندات القبض'!$D$5:$D$304,A206))</f>
        <v/>
      </c>
      <c r="N206" s="46">
        <f>IF(B206="","",SUMIFS('سندات الصرف'!$L$5:$L$304,'سندات الصرف'!$D$5:$D$304,A206))</f>
        <v/>
      </c>
      <c r="O206" s="46">
        <f>IF(B206="","",M206-N206)</f>
        <v/>
      </c>
      <c r="P206" s="47" t="n"/>
      <c r="Q206" s="47" t="n"/>
      <c r="R206" s="48">
        <f>IF(B206="","",COUNTIFS('اعتماد المواد'!$B$5:$B$304,A206,'اعتماد المواد'!$M$5:$M$304,"قيد المراجعة"))</f>
        <v/>
      </c>
      <c r="S206" s="48">
        <f>IF(B206="","",COUNTIFS('عدم المطابقة'!$C$5:$C$304,A206,'عدم المطابقة'!$L$5:$L$304,"مفتوح*"))</f>
        <v/>
      </c>
      <c r="T206" s="48">
        <f>IF(B206="","",COUNTIFS('ملاحظات التسليم'!$B$5:$B$304,A206,'ملاحظات التسليم'!$K$5:$K$304,"مفتوح*"))</f>
        <v/>
      </c>
      <c r="U206" s="49">
        <f>IF(B206="","",IF(Q206&lt;&gt;"","مسلّم نهائياً",IF(P206&lt;&gt;"","فترة الضمان",IF(G206="","بانتظار استلام الموقع",IF(TODAY()&gt;I206,"متأخر عن التعاقد",IF(J206&lt;K206-0.1,"متأخر عن الخطة","جاري التنفيذ"))))))</f>
        <v/>
      </c>
    </row>
    <row r="207">
      <c r="A207" s="39">
        <f>IF(B207="","","PRJ-"&amp;TEXT(ROW()-4,"000"))</f>
        <v/>
      </c>
      <c r="B207" s="40" t="n"/>
      <c r="C207" s="40" t="n"/>
      <c r="D207" s="40" t="n"/>
      <c r="E207" s="40" t="n"/>
      <c r="F207" s="41" t="n"/>
      <c r="G207" s="42">
        <f>IF(B207="","",IFERROR(INDEX('استلام المواقع'!$D$5:$D$304,MATCH(A207,'استلام المواقع'!$B$5:$B$304,0)),""))</f>
        <v/>
      </c>
      <c r="H207" s="43" t="n"/>
      <c r="I207" s="42">
        <f>IF(OR(G207="",H207=""),"",G207+H207)</f>
        <v/>
      </c>
      <c r="J207" s="44" t="n"/>
      <c r="K207" s="45">
        <f>IF(OR(I207="",H207=0),"",MAX(0,MIN(1,(IF(P207&lt;&gt;"",P207,TODAY())-G207)/H207)))</f>
        <v/>
      </c>
      <c r="L207" s="46">
        <f>IF(B207="","",SUMIFS('المستخلصات'!$N$5:$N$304,'المستخلصات'!$B$5:$B$304,A207))</f>
        <v/>
      </c>
      <c r="M207" s="46">
        <f>IF(B207="","",SUMIFS('سندات القبض'!$K$5:$K$304,'سندات القبض'!$D$5:$D$304,A207))</f>
        <v/>
      </c>
      <c r="N207" s="46">
        <f>IF(B207="","",SUMIFS('سندات الصرف'!$L$5:$L$304,'سندات الصرف'!$D$5:$D$304,A207))</f>
        <v/>
      </c>
      <c r="O207" s="46">
        <f>IF(B207="","",M207-N207)</f>
        <v/>
      </c>
      <c r="P207" s="47" t="n"/>
      <c r="Q207" s="47" t="n"/>
      <c r="R207" s="48">
        <f>IF(B207="","",COUNTIFS('اعتماد المواد'!$B$5:$B$304,A207,'اعتماد المواد'!$M$5:$M$304,"قيد المراجعة"))</f>
        <v/>
      </c>
      <c r="S207" s="48">
        <f>IF(B207="","",COUNTIFS('عدم المطابقة'!$C$5:$C$304,A207,'عدم المطابقة'!$L$5:$L$304,"مفتوح*"))</f>
        <v/>
      </c>
      <c r="T207" s="48">
        <f>IF(B207="","",COUNTIFS('ملاحظات التسليم'!$B$5:$B$304,A207,'ملاحظات التسليم'!$K$5:$K$304,"مفتوح*"))</f>
        <v/>
      </c>
      <c r="U207" s="49">
        <f>IF(B207="","",IF(Q207&lt;&gt;"","مسلّم نهائياً",IF(P207&lt;&gt;"","فترة الضمان",IF(G207="","بانتظار استلام الموقع",IF(TODAY()&gt;I207,"متأخر عن التعاقد",IF(J207&lt;K207-0.1,"متأخر عن الخطة","جاري التنفيذ"))))))</f>
        <v/>
      </c>
    </row>
    <row r="208">
      <c r="A208" s="39">
        <f>IF(B208="","","PRJ-"&amp;TEXT(ROW()-4,"000"))</f>
        <v/>
      </c>
      <c r="B208" s="40" t="n"/>
      <c r="C208" s="40" t="n"/>
      <c r="D208" s="40" t="n"/>
      <c r="E208" s="40" t="n"/>
      <c r="F208" s="41" t="n"/>
      <c r="G208" s="42">
        <f>IF(B208="","",IFERROR(INDEX('استلام المواقع'!$D$5:$D$304,MATCH(A208,'استلام المواقع'!$B$5:$B$304,0)),""))</f>
        <v/>
      </c>
      <c r="H208" s="43" t="n"/>
      <c r="I208" s="42">
        <f>IF(OR(G208="",H208=""),"",G208+H208)</f>
        <v/>
      </c>
      <c r="J208" s="44" t="n"/>
      <c r="K208" s="45">
        <f>IF(OR(I208="",H208=0),"",MAX(0,MIN(1,(IF(P208&lt;&gt;"",P208,TODAY())-G208)/H208)))</f>
        <v/>
      </c>
      <c r="L208" s="46">
        <f>IF(B208="","",SUMIFS('المستخلصات'!$N$5:$N$304,'المستخلصات'!$B$5:$B$304,A208))</f>
        <v/>
      </c>
      <c r="M208" s="46">
        <f>IF(B208="","",SUMIFS('سندات القبض'!$K$5:$K$304,'سندات القبض'!$D$5:$D$304,A208))</f>
        <v/>
      </c>
      <c r="N208" s="46">
        <f>IF(B208="","",SUMIFS('سندات الصرف'!$L$5:$L$304,'سندات الصرف'!$D$5:$D$304,A208))</f>
        <v/>
      </c>
      <c r="O208" s="46">
        <f>IF(B208="","",M208-N208)</f>
        <v/>
      </c>
      <c r="P208" s="47" t="n"/>
      <c r="Q208" s="47" t="n"/>
      <c r="R208" s="48">
        <f>IF(B208="","",COUNTIFS('اعتماد المواد'!$B$5:$B$304,A208,'اعتماد المواد'!$M$5:$M$304,"قيد المراجعة"))</f>
        <v/>
      </c>
      <c r="S208" s="48">
        <f>IF(B208="","",COUNTIFS('عدم المطابقة'!$C$5:$C$304,A208,'عدم المطابقة'!$L$5:$L$304,"مفتوح*"))</f>
        <v/>
      </c>
      <c r="T208" s="48">
        <f>IF(B208="","",COUNTIFS('ملاحظات التسليم'!$B$5:$B$304,A208,'ملاحظات التسليم'!$K$5:$K$304,"مفتوح*"))</f>
        <v/>
      </c>
      <c r="U208" s="49">
        <f>IF(B208="","",IF(Q208&lt;&gt;"","مسلّم نهائياً",IF(P208&lt;&gt;"","فترة الضمان",IF(G208="","بانتظار استلام الموقع",IF(TODAY()&gt;I208,"متأخر عن التعاقد",IF(J208&lt;K208-0.1,"متأخر عن الخطة","جاري التنفيذ"))))))</f>
        <v/>
      </c>
    </row>
    <row r="209">
      <c r="A209" s="39">
        <f>IF(B209="","","PRJ-"&amp;TEXT(ROW()-4,"000"))</f>
        <v/>
      </c>
      <c r="B209" s="40" t="n"/>
      <c r="C209" s="40" t="n"/>
      <c r="D209" s="40" t="n"/>
      <c r="E209" s="40" t="n"/>
      <c r="F209" s="41" t="n"/>
      <c r="G209" s="42">
        <f>IF(B209="","",IFERROR(INDEX('استلام المواقع'!$D$5:$D$304,MATCH(A209,'استلام المواقع'!$B$5:$B$304,0)),""))</f>
        <v/>
      </c>
      <c r="H209" s="43" t="n"/>
      <c r="I209" s="42">
        <f>IF(OR(G209="",H209=""),"",G209+H209)</f>
        <v/>
      </c>
      <c r="J209" s="44" t="n"/>
      <c r="K209" s="45">
        <f>IF(OR(I209="",H209=0),"",MAX(0,MIN(1,(IF(P209&lt;&gt;"",P209,TODAY())-G209)/H209)))</f>
        <v/>
      </c>
      <c r="L209" s="46">
        <f>IF(B209="","",SUMIFS('المستخلصات'!$N$5:$N$304,'المستخلصات'!$B$5:$B$304,A209))</f>
        <v/>
      </c>
      <c r="M209" s="46">
        <f>IF(B209="","",SUMIFS('سندات القبض'!$K$5:$K$304,'سندات القبض'!$D$5:$D$304,A209))</f>
        <v/>
      </c>
      <c r="N209" s="46">
        <f>IF(B209="","",SUMIFS('سندات الصرف'!$L$5:$L$304,'سندات الصرف'!$D$5:$D$304,A209))</f>
        <v/>
      </c>
      <c r="O209" s="46">
        <f>IF(B209="","",M209-N209)</f>
        <v/>
      </c>
      <c r="P209" s="47" t="n"/>
      <c r="Q209" s="47" t="n"/>
      <c r="R209" s="48">
        <f>IF(B209="","",COUNTIFS('اعتماد المواد'!$B$5:$B$304,A209,'اعتماد المواد'!$M$5:$M$304,"قيد المراجعة"))</f>
        <v/>
      </c>
      <c r="S209" s="48">
        <f>IF(B209="","",COUNTIFS('عدم المطابقة'!$C$5:$C$304,A209,'عدم المطابقة'!$L$5:$L$304,"مفتوح*"))</f>
        <v/>
      </c>
      <c r="T209" s="48">
        <f>IF(B209="","",COUNTIFS('ملاحظات التسليم'!$B$5:$B$304,A209,'ملاحظات التسليم'!$K$5:$K$304,"مفتوح*"))</f>
        <v/>
      </c>
      <c r="U209" s="49">
        <f>IF(B209="","",IF(Q209&lt;&gt;"","مسلّم نهائياً",IF(P209&lt;&gt;"","فترة الضمان",IF(G209="","بانتظار استلام الموقع",IF(TODAY()&gt;I209,"متأخر عن التعاقد",IF(J209&lt;K209-0.1,"متأخر عن الخطة","جاري التنفيذ"))))))</f>
        <v/>
      </c>
    </row>
    <row r="210">
      <c r="A210" s="39">
        <f>IF(B210="","","PRJ-"&amp;TEXT(ROW()-4,"000"))</f>
        <v/>
      </c>
      <c r="B210" s="40" t="n"/>
      <c r="C210" s="40" t="n"/>
      <c r="D210" s="40" t="n"/>
      <c r="E210" s="40" t="n"/>
      <c r="F210" s="41" t="n"/>
      <c r="G210" s="42">
        <f>IF(B210="","",IFERROR(INDEX('استلام المواقع'!$D$5:$D$304,MATCH(A210,'استلام المواقع'!$B$5:$B$304,0)),""))</f>
        <v/>
      </c>
      <c r="H210" s="43" t="n"/>
      <c r="I210" s="42">
        <f>IF(OR(G210="",H210=""),"",G210+H210)</f>
        <v/>
      </c>
      <c r="J210" s="44" t="n"/>
      <c r="K210" s="45">
        <f>IF(OR(I210="",H210=0),"",MAX(0,MIN(1,(IF(P210&lt;&gt;"",P210,TODAY())-G210)/H210)))</f>
        <v/>
      </c>
      <c r="L210" s="46">
        <f>IF(B210="","",SUMIFS('المستخلصات'!$N$5:$N$304,'المستخلصات'!$B$5:$B$304,A210))</f>
        <v/>
      </c>
      <c r="M210" s="46">
        <f>IF(B210="","",SUMIFS('سندات القبض'!$K$5:$K$304,'سندات القبض'!$D$5:$D$304,A210))</f>
        <v/>
      </c>
      <c r="N210" s="46">
        <f>IF(B210="","",SUMIFS('سندات الصرف'!$L$5:$L$304,'سندات الصرف'!$D$5:$D$304,A210))</f>
        <v/>
      </c>
      <c r="O210" s="46">
        <f>IF(B210="","",M210-N210)</f>
        <v/>
      </c>
      <c r="P210" s="47" t="n"/>
      <c r="Q210" s="47" t="n"/>
      <c r="R210" s="48">
        <f>IF(B210="","",COUNTIFS('اعتماد المواد'!$B$5:$B$304,A210,'اعتماد المواد'!$M$5:$M$304,"قيد المراجعة"))</f>
        <v/>
      </c>
      <c r="S210" s="48">
        <f>IF(B210="","",COUNTIFS('عدم المطابقة'!$C$5:$C$304,A210,'عدم المطابقة'!$L$5:$L$304,"مفتوح*"))</f>
        <v/>
      </c>
      <c r="T210" s="48">
        <f>IF(B210="","",COUNTIFS('ملاحظات التسليم'!$B$5:$B$304,A210,'ملاحظات التسليم'!$K$5:$K$304,"مفتوح*"))</f>
        <v/>
      </c>
      <c r="U210" s="49">
        <f>IF(B210="","",IF(Q210&lt;&gt;"","مسلّم نهائياً",IF(P210&lt;&gt;"","فترة الضمان",IF(G210="","بانتظار استلام الموقع",IF(TODAY()&gt;I210,"متأخر عن التعاقد",IF(J210&lt;K210-0.1,"متأخر عن الخطة","جاري التنفيذ"))))))</f>
        <v/>
      </c>
    </row>
    <row r="211">
      <c r="A211" s="39">
        <f>IF(B211="","","PRJ-"&amp;TEXT(ROW()-4,"000"))</f>
        <v/>
      </c>
      <c r="B211" s="40" t="n"/>
      <c r="C211" s="40" t="n"/>
      <c r="D211" s="40" t="n"/>
      <c r="E211" s="40" t="n"/>
      <c r="F211" s="41" t="n"/>
      <c r="G211" s="42">
        <f>IF(B211="","",IFERROR(INDEX('استلام المواقع'!$D$5:$D$304,MATCH(A211,'استلام المواقع'!$B$5:$B$304,0)),""))</f>
        <v/>
      </c>
      <c r="H211" s="43" t="n"/>
      <c r="I211" s="42">
        <f>IF(OR(G211="",H211=""),"",G211+H211)</f>
        <v/>
      </c>
      <c r="J211" s="44" t="n"/>
      <c r="K211" s="45">
        <f>IF(OR(I211="",H211=0),"",MAX(0,MIN(1,(IF(P211&lt;&gt;"",P211,TODAY())-G211)/H211)))</f>
        <v/>
      </c>
      <c r="L211" s="46">
        <f>IF(B211="","",SUMIFS('المستخلصات'!$N$5:$N$304,'المستخلصات'!$B$5:$B$304,A211))</f>
        <v/>
      </c>
      <c r="M211" s="46">
        <f>IF(B211="","",SUMIFS('سندات القبض'!$K$5:$K$304,'سندات القبض'!$D$5:$D$304,A211))</f>
        <v/>
      </c>
      <c r="N211" s="46">
        <f>IF(B211="","",SUMIFS('سندات الصرف'!$L$5:$L$304,'سندات الصرف'!$D$5:$D$304,A211))</f>
        <v/>
      </c>
      <c r="O211" s="46">
        <f>IF(B211="","",M211-N211)</f>
        <v/>
      </c>
      <c r="P211" s="47" t="n"/>
      <c r="Q211" s="47" t="n"/>
      <c r="R211" s="48">
        <f>IF(B211="","",COUNTIFS('اعتماد المواد'!$B$5:$B$304,A211,'اعتماد المواد'!$M$5:$M$304,"قيد المراجعة"))</f>
        <v/>
      </c>
      <c r="S211" s="48">
        <f>IF(B211="","",COUNTIFS('عدم المطابقة'!$C$5:$C$304,A211,'عدم المطابقة'!$L$5:$L$304,"مفتوح*"))</f>
        <v/>
      </c>
      <c r="T211" s="48">
        <f>IF(B211="","",COUNTIFS('ملاحظات التسليم'!$B$5:$B$304,A211,'ملاحظات التسليم'!$K$5:$K$304,"مفتوح*"))</f>
        <v/>
      </c>
      <c r="U211" s="49">
        <f>IF(B211="","",IF(Q211&lt;&gt;"","مسلّم نهائياً",IF(P211&lt;&gt;"","فترة الضمان",IF(G211="","بانتظار استلام الموقع",IF(TODAY()&gt;I211,"متأخر عن التعاقد",IF(J211&lt;K211-0.1,"متأخر عن الخطة","جاري التنفيذ"))))))</f>
        <v/>
      </c>
    </row>
    <row r="212">
      <c r="A212" s="39">
        <f>IF(B212="","","PRJ-"&amp;TEXT(ROW()-4,"000"))</f>
        <v/>
      </c>
      <c r="B212" s="40" t="n"/>
      <c r="C212" s="40" t="n"/>
      <c r="D212" s="40" t="n"/>
      <c r="E212" s="40" t="n"/>
      <c r="F212" s="41" t="n"/>
      <c r="G212" s="42">
        <f>IF(B212="","",IFERROR(INDEX('استلام المواقع'!$D$5:$D$304,MATCH(A212,'استلام المواقع'!$B$5:$B$304,0)),""))</f>
        <v/>
      </c>
      <c r="H212" s="43" t="n"/>
      <c r="I212" s="42">
        <f>IF(OR(G212="",H212=""),"",G212+H212)</f>
        <v/>
      </c>
      <c r="J212" s="44" t="n"/>
      <c r="K212" s="45">
        <f>IF(OR(I212="",H212=0),"",MAX(0,MIN(1,(IF(P212&lt;&gt;"",P212,TODAY())-G212)/H212)))</f>
        <v/>
      </c>
      <c r="L212" s="46">
        <f>IF(B212="","",SUMIFS('المستخلصات'!$N$5:$N$304,'المستخلصات'!$B$5:$B$304,A212))</f>
        <v/>
      </c>
      <c r="M212" s="46">
        <f>IF(B212="","",SUMIFS('سندات القبض'!$K$5:$K$304,'سندات القبض'!$D$5:$D$304,A212))</f>
        <v/>
      </c>
      <c r="N212" s="46">
        <f>IF(B212="","",SUMIFS('سندات الصرف'!$L$5:$L$304,'سندات الصرف'!$D$5:$D$304,A212))</f>
        <v/>
      </c>
      <c r="O212" s="46">
        <f>IF(B212="","",M212-N212)</f>
        <v/>
      </c>
      <c r="P212" s="47" t="n"/>
      <c r="Q212" s="47" t="n"/>
      <c r="R212" s="48">
        <f>IF(B212="","",COUNTIFS('اعتماد المواد'!$B$5:$B$304,A212,'اعتماد المواد'!$M$5:$M$304,"قيد المراجعة"))</f>
        <v/>
      </c>
      <c r="S212" s="48">
        <f>IF(B212="","",COUNTIFS('عدم المطابقة'!$C$5:$C$304,A212,'عدم المطابقة'!$L$5:$L$304,"مفتوح*"))</f>
        <v/>
      </c>
      <c r="T212" s="48">
        <f>IF(B212="","",COUNTIFS('ملاحظات التسليم'!$B$5:$B$304,A212,'ملاحظات التسليم'!$K$5:$K$304,"مفتوح*"))</f>
        <v/>
      </c>
      <c r="U212" s="49">
        <f>IF(B212="","",IF(Q212&lt;&gt;"","مسلّم نهائياً",IF(P212&lt;&gt;"","فترة الضمان",IF(G212="","بانتظار استلام الموقع",IF(TODAY()&gt;I212,"متأخر عن التعاقد",IF(J212&lt;K212-0.1,"متأخر عن الخطة","جاري التنفيذ"))))))</f>
        <v/>
      </c>
    </row>
    <row r="213">
      <c r="A213" s="39">
        <f>IF(B213="","","PRJ-"&amp;TEXT(ROW()-4,"000"))</f>
        <v/>
      </c>
      <c r="B213" s="40" t="n"/>
      <c r="C213" s="40" t="n"/>
      <c r="D213" s="40" t="n"/>
      <c r="E213" s="40" t="n"/>
      <c r="F213" s="41" t="n"/>
      <c r="G213" s="42">
        <f>IF(B213="","",IFERROR(INDEX('استلام المواقع'!$D$5:$D$304,MATCH(A213,'استلام المواقع'!$B$5:$B$304,0)),""))</f>
        <v/>
      </c>
      <c r="H213" s="43" t="n"/>
      <c r="I213" s="42">
        <f>IF(OR(G213="",H213=""),"",G213+H213)</f>
        <v/>
      </c>
      <c r="J213" s="44" t="n"/>
      <c r="K213" s="45">
        <f>IF(OR(I213="",H213=0),"",MAX(0,MIN(1,(IF(P213&lt;&gt;"",P213,TODAY())-G213)/H213)))</f>
        <v/>
      </c>
      <c r="L213" s="46">
        <f>IF(B213="","",SUMIFS('المستخلصات'!$N$5:$N$304,'المستخلصات'!$B$5:$B$304,A213))</f>
        <v/>
      </c>
      <c r="M213" s="46">
        <f>IF(B213="","",SUMIFS('سندات القبض'!$K$5:$K$304,'سندات القبض'!$D$5:$D$304,A213))</f>
        <v/>
      </c>
      <c r="N213" s="46">
        <f>IF(B213="","",SUMIFS('سندات الصرف'!$L$5:$L$304,'سندات الصرف'!$D$5:$D$304,A213))</f>
        <v/>
      </c>
      <c r="O213" s="46">
        <f>IF(B213="","",M213-N213)</f>
        <v/>
      </c>
      <c r="P213" s="47" t="n"/>
      <c r="Q213" s="47" t="n"/>
      <c r="R213" s="48">
        <f>IF(B213="","",COUNTIFS('اعتماد المواد'!$B$5:$B$304,A213,'اعتماد المواد'!$M$5:$M$304,"قيد المراجعة"))</f>
        <v/>
      </c>
      <c r="S213" s="48">
        <f>IF(B213="","",COUNTIFS('عدم المطابقة'!$C$5:$C$304,A213,'عدم المطابقة'!$L$5:$L$304,"مفتوح*"))</f>
        <v/>
      </c>
      <c r="T213" s="48">
        <f>IF(B213="","",COUNTIFS('ملاحظات التسليم'!$B$5:$B$304,A213,'ملاحظات التسليم'!$K$5:$K$304,"مفتوح*"))</f>
        <v/>
      </c>
      <c r="U213" s="49">
        <f>IF(B213="","",IF(Q213&lt;&gt;"","مسلّم نهائياً",IF(P213&lt;&gt;"","فترة الضمان",IF(G213="","بانتظار استلام الموقع",IF(TODAY()&gt;I213,"متأخر عن التعاقد",IF(J213&lt;K213-0.1,"متأخر عن الخطة","جاري التنفيذ"))))))</f>
        <v/>
      </c>
    </row>
    <row r="214">
      <c r="A214" s="39">
        <f>IF(B214="","","PRJ-"&amp;TEXT(ROW()-4,"000"))</f>
        <v/>
      </c>
      <c r="B214" s="40" t="n"/>
      <c r="C214" s="40" t="n"/>
      <c r="D214" s="40" t="n"/>
      <c r="E214" s="40" t="n"/>
      <c r="F214" s="41" t="n"/>
      <c r="G214" s="42">
        <f>IF(B214="","",IFERROR(INDEX('استلام المواقع'!$D$5:$D$304,MATCH(A214,'استلام المواقع'!$B$5:$B$304,0)),""))</f>
        <v/>
      </c>
      <c r="H214" s="43" t="n"/>
      <c r="I214" s="42">
        <f>IF(OR(G214="",H214=""),"",G214+H214)</f>
        <v/>
      </c>
      <c r="J214" s="44" t="n"/>
      <c r="K214" s="45">
        <f>IF(OR(I214="",H214=0),"",MAX(0,MIN(1,(IF(P214&lt;&gt;"",P214,TODAY())-G214)/H214)))</f>
        <v/>
      </c>
      <c r="L214" s="46">
        <f>IF(B214="","",SUMIFS('المستخلصات'!$N$5:$N$304,'المستخلصات'!$B$5:$B$304,A214))</f>
        <v/>
      </c>
      <c r="M214" s="46">
        <f>IF(B214="","",SUMIFS('سندات القبض'!$K$5:$K$304,'سندات القبض'!$D$5:$D$304,A214))</f>
        <v/>
      </c>
      <c r="N214" s="46">
        <f>IF(B214="","",SUMIFS('سندات الصرف'!$L$5:$L$304,'سندات الصرف'!$D$5:$D$304,A214))</f>
        <v/>
      </c>
      <c r="O214" s="46">
        <f>IF(B214="","",M214-N214)</f>
        <v/>
      </c>
      <c r="P214" s="47" t="n"/>
      <c r="Q214" s="47" t="n"/>
      <c r="R214" s="48">
        <f>IF(B214="","",COUNTIFS('اعتماد المواد'!$B$5:$B$304,A214,'اعتماد المواد'!$M$5:$M$304,"قيد المراجعة"))</f>
        <v/>
      </c>
      <c r="S214" s="48">
        <f>IF(B214="","",COUNTIFS('عدم المطابقة'!$C$5:$C$304,A214,'عدم المطابقة'!$L$5:$L$304,"مفتوح*"))</f>
        <v/>
      </c>
      <c r="T214" s="48">
        <f>IF(B214="","",COUNTIFS('ملاحظات التسليم'!$B$5:$B$304,A214,'ملاحظات التسليم'!$K$5:$K$304,"مفتوح*"))</f>
        <v/>
      </c>
      <c r="U214" s="49">
        <f>IF(B214="","",IF(Q214&lt;&gt;"","مسلّم نهائياً",IF(P214&lt;&gt;"","فترة الضمان",IF(G214="","بانتظار استلام الموقع",IF(TODAY()&gt;I214,"متأخر عن التعاقد",IF(J214&lt;K214-0.1,"متأخر عن الخطة","جاري التنفيذ"))))))</f>
        <v/>
      </c>
    </row>
    <row r="215">
      <c r="A215" s="39">
        <f>IF(B215="","","PRJ-"&amp;TEXT(ROW()-4,"000"))</f>
        <v/>
      </c>
      <c r="B215" s="40" t="n"/>
      <c r="C215" s="40" t="n"/>
      <c r="D215" s="40" t="n"/>
      <c r="E215" s="40" t="n"/>
      <c r="F215" s="41" t="n"/>
      <c r="G215" s="42">
        <f>IF(B215="","",IFERROR(INDEX('استلام المواقع'!$D$5:$D$304,MATCH(A215,'استلام المواقع'!$B$5:$B$304,0)),""))</f>
        <v/>
      </c>
      <c r="H215" s="43" t="n"/>
      <c r="I215" s="42">
        <f>IF(OR(G215="",H215=""),"",G215+H215)</f>
        <v/>
      </c>
      <c r="J215" s="44" t="n"/>
      <c r="K215" s="45">
        <f>IF(OR(I215="",H215=0),"",MAX(0,MIN(1,(IF(P215&lt;&gt;"",P215,TODAY())-G215)/H215)))</f>
        <v/>
      </c>
      <c r="L215" s="46">
        <f>IF(B215="","",SUMIFS('المستخلصات'!$N$5:$N$304,'المستخلصات'!$B$5:$B$304,A215))</f>
        <v/>
      </c>
      <c r="M215" s="46">
        <f>IF(B215="","",SUMIFS('سندات القبض'!$K$5:$K$304,'سندات القبض'!$D$5:$D$304,A215))</f>
        <v/>
      </c>
      <c r="N215" s="46">
        <f>IF(B215="","",SUMIFS('سندات الصرف'!$L$5:$L$304,'سندات الصرف'!$D$5:$D$304,A215))</f>
        <v/>
      </c>
      <c r="O215" s="46">
        <f>IF(B215="","",M215-N215)</f>
        <v/>
      </c>
      <c r="P215" s="47" t="n"/>
      <c r="Q215" s="47" t="n"/>
      <c r="R215" s="48">
        <f>IF(B215="","",COUNTIFS('اعتماد المواد'!$B$5:$B$304,A215,'اعتماد المواد'!$M$5:$M$304,"قيد المراجعة"))</f>
        <v/>
      </c>
      <c r="S215" s="48">
        <f>IF(B215="","",COUNTIFS('عدم المطابقة'!$C$5:$C$304,A215,'عدم المطابقة'!$L$5:$L$304,"مفتوح*"))</f>
        <v/>
      </c>
      <c r="T215" s="48">
        <f>IF(B215="","",COUNTIFS('ملاحظات التسليم'!$B$5:$B$304,A215,'ملاحظات التسليم'!$K$5:$K$304,"مفتوح*"))</f>
        <v/>
      </c>
      <c r="U215" s="49">
        <f>IF(B215="","",IF(Q215&lt;&gt;"","مسلّم نهائياً",IF(P215&lt;&gt;"","فترة الضمان",IF(G215="","بانتظار استلام الموقع",IF(TODAY()&gt;I215,"متأخر عن التعاقد",IF(J215&lt;K215-0.1,"متأخر عن الخطة","جاري التنفيذ"))))))</f>
        <v/>
      </c>
    </row>
    <row r="216">
      <c r="A216" s="39">
        <f>IF(B216="","","PRJ-"&amp;TEXT(ROW()-4,"000"))</f>
        <v/>
      </c>
      <c r="B216" s="40" t="n"/>
      <c r="C216" s="40" t="n"/>
      <c r="D216" s="40" t="n"/>
      <c r="E216" s="40" t="n"/>
      <c r="F216" s="41" t="n"/>
      <c r="G216" s="42">
        <f>IF(B216="","",IFERROR(INDEX('استلام المواقع'!$D$5:$D$304,MATCH(A216,'استلام المواقع'!$B$5:$B$304,0)),""))</f>
        <v/>
      </c>
      <c r="H216" s="43" t="n"/>
      <c r="I216" s="42">
        <f>IF(OR(G216="",H216=""),"",G216+H216)</f>
        <v/>
      </c>
      <c r="J216" s="44" t="n"/>
      <c r="K216" s="45">
        <f>IF(OR(I216="",H216=0),"",MAX(0,MIN(1,(IF(P216&lt;&gt;"",P216,TODAY())-G216)/H216)))</f>
        <v/>
      </c>
      <c r="L216" s="46">
        <f>IF(B216="","",SUMIFS('المستخلصات'!$N$5:$N$304,'المستخلصات'!$B$5:$B$304,A216))</f>
        <v/>
      </c>
      <c r="M216" s="46">
        <f>IF(B216="","",SUMIFS('سندات القبض'!$K$5:$K$304,'سندات القبض'!$D$5:$D$304,A216))</f>
        <v/>
      </c>
      <c r="N216" s="46">
        <f>IF(B216="","",SUMIFS('سندات الصرف'!$L$5:$L$304,'سندات الصرف'!$D$5:$D$304,A216))</f>
        <v/>
      </c>
      <c r="O216" s="46">
        <f>IF(B216="","",M216-N216)</f>
        <v/>
      </c>
      <c r="P216" s="47" t="n"/>
      <c r="Q216" s="47" t="n"/>
      <c r="R216" s="48">
        <f>IF(B216="","",COUNTIFS('اعتماد المواد'!$B$5:$B$304,A216,'اعتماد المواد'!$M$5:$M$304,"قيد المراجعة"))</f>
        <v/>
      </c>
      <c r="S216" s="48">
        <f>IF(B216="","",COUNTIFS('عدم المطابقة'!$C$5:$C$304,A216,'عدم المطابقة'!$L$5:$L$304,"مفتوح*"))</f>
        <v/>
      </c>
      <c r="T216" s="48">
        <f>IF(B216="","",COUNTIFS('ملاحظات التسليم'!$B$5:$B$304,A216,'ملاحظات التسليم'!$K$5:$K$304,"مفتوح*"))</f>
        <v/>
      </c>
      <c r="U216" s="49">
        <f>IF(B216="","",IF(Q216&lt;&gt;"","مسلّم نهائياً",IF(P216&lt;&gt;"","فترة الضمان",IF(G216="","بانتظار استلام الموقع",IF(TODAY()&gt;I216,"متأخر عن التعاقد",IF(J216&lt;K216-0.1,"متأخر عن الخطة","جاري التنفيذ"))))))</f>
        <v/>
      </c>
    </row>
    <row r="217">
      <c r="A217" s="39">
        <f>IF(B217="","","PRJ-"&amp;TEXT(ROW()-4,"000"))</f>
        <v/>
      </c>
      <c r="B217" s="40" t="n"/>
      <c r="C217" s="40" t="n"/>
      <c r="D217" s="40" t="n"/>
      <c r="E217" s="40" t="n"/>
      <c r="F217" s="41" t="n"/>
      <c r="G217" s="42">
        <f>IF(B217="","",IFERROR(INDEX('استلام المواقع'!$D$5:$D$304,MATCH(A217,'استلام المواقع'!$B$5:$B$304,0)),""))</f>
        <v/>
      </c>
      <c r="H217" s="43" t="n"/>
      <c r="I217" s="42">
        <f>IF(OR(G217="",H217=""),"",G217+H217)</f>
        <v/>
      </c>
      <c r="J217" s="44" t="n"/>
      <c r="K217" s="45">
        <f>IF(OR(I217="",H217=0),"",MAX(0,MIN(1,(IF(P217&lt;&gt;"",P217,TODAY())-G217)/H217)))</f>
        <v/>
      </c>
      <c r="L217" s="46">
        <f>IF(B217="","",SUMIFS('المستخلصات'!$N$5:$N$304,'المستخلصات'!$B$5:$B$304,A217))</f>
        <v/>
      </c>
      <c r="M217" s="46">
        <f>IF(B217="","",SUMIFS('سندات القبض'!$K$5:$K$304,'سندات القبض'!$D$5:$D$304,A217))</f>
        <v/>
      </c>
      <c r="N217" s="46">
        <f>IF(B217="","",SUMIFS('سندات الصرف'!$L$5:$L$304,'سندات الصرف'!$D$5:$D$304,A217))</f>
        <v/>
      </c>
      <c r="O217" s="46">
        <f>IF(B217="","",M217-N217)</f>
        <v/>
      </c>
      <c r="P217" s="47" t="n"/>
      <c r="Q217" s="47" t="n"/>
      <c r="R217" s="48">
        <f>IF(B217="","",COUNTIFS('اعتماد المواد'!$B$5:$B$304,A217,'اعتماد المواد'!$M$5:$M$304,"قيد المراجعة"))</f>
        <v/>
      </c>
      <c r="S217" s="48">
        <f>IF(B217="","",COUNTIFS('عدم المطابقة'!$C$5:$C$304,A217,'عدم المطابقة'!$L$5:$L$304,"مفتوح*"))</f>
        <v/>
      </c>
      <c r="T217" s="48">
        <f>IF(B217="","",COUNTIFS('ملاحظات التسليم'!$B$5:$B$304,A217,'ملاحظات التسليم'!$K$5:$K$304,"مفتوح*"))</f>
        <v/>
      </c>
      <c r="U217" s="49">
        <f>IF(B217="","",IF(Q217&lt;&gt;"","مسلّم نهائياً",IF(P217&lt;&gt;"","فترة الضمان",IF(G217="","بانتظار استلام الموقع",IF(TODAY()&gt;I217,"متأخر عن التعاقد",IF(J217&lt;K217-0.1,"متأخر عن الخطة","جاري التنفيذ"))))))</f>
        <v/>
      </c>
    </row>
    <row r="218">
      <c r="A218" s="39">
        <f>IF(B218="","","PRJ-"&amp;TEXT(ROW()-4,"000"))</f>
        <v/>
      </c>
      <c r="B218" s="40" t="n"/>
      <c r="C218" s="40" t="n"/>
      <c r="D218" s="40" t="n"/>
      <c r="E218" s="40" t="n"/>
      <c r="F218" s="41" t="n"/>
      <c r="G218" s="42">
        <f>IF(B218="","",IFERROR(INDEX('استلام المواقع'!$D$5:$D$304,MATCH(A218,'استلام المواقع'!$B$5:$B$304,0)),""))</f>
        <v/>
      </c>
      <c r="H218" s="43" t="n"/>
      <c r="I218" s="42">
        <f>IF(OR(G218="",H218=""),"",G218+H218)</f>
        <v/>
      </c>
      <c r="J218" s="44" t="n"/>
      <c r="K218" s="45">
        <f>IF(OR(I218="",H218=0),"",MAX(0,MIN(1,(IF(P218&lt;&gt;"",P218,TODAY())-G218)/H218)))</f>
        <v/>
      </c>
      <c r="L218" s="46">
        <f>IF(B218="","",SUMIFS('المستخلصات'!$N$5:$N$304,'المستخلصات'!$B$5:$B$304,A218))</f>
        <v/>
      </c>
      <c r="M218" s="46">
        <f>IF(B218="","",SUMIFS('سندات القبض'!$K$5:$K$304,'سندات القبض'!$D$5:$D$304,A218))</f>
        <v/>
      </c>
      <c r="N218" s="46">
        <f>IF(B218="","",SUMIFS('سندات الصرف'!$L$5:$L$304,'سندات الصرف'!$D$5:$D$304,A218))</f>
        <v/>
      </c>
      <c r="O218" s="46">
        <f>IF(B218="","",M218-N218)</f>
        <v/>
      </c>
      <c r="P218" s="47" t="n"/>
      <c r="Q218" s="47" t="n"/>
      <c r="R218" s="48">
        <f>IF(B218="","",COUNTIFS('اعتماد المواد'!$B$5:$B$304,A218,'اعتماد المواد'!$M$5:$M$304,"قيد المراجعة"))</f>
        <v/>
      </c>
      <c r="S218" s="48">
        <f>IF(B218="","",COUNTIFS('عدم المطابقة'!$C$5:$C$304,A218,'عدم المطابقة'!$L$5:$L$304,"مفتوح*"))</f>
        <v/>
      </c>
      <c r="T218" s="48">
        <f>IF(B218="","",COUNTIFS('ملاحظات التسليم'!$B$5:$B$304,A218,'ملاحظات التسليم'!$K$5:$K$304,"مفتوح*"))</f>
        <v/>
      </c>
      <c r="U218" s="49">
        <f>IF(B218="","",IF(Q218&lt;&gt;"","مسلّم نهائياً",IF(P218&lt;&gt;"","فترة الضمان",IF(G218="","بانتظار استلام الموقع",IF(TODAY()&gt;I218,"متأخر عن التعاقد",IF(J218&lt;K218-0.1,"متأخر عن الخطة","جاري التنفيذ"))))))</f>
        <v/>
      </c>
    </row>
    <row r="219">
      <c r="A219" s="39">
        <f>IF(B219="","","PRJ-"&amp;TEXT(ROW()-4,"000"))</f>
        <v/>
      </c>
      <c r="B219" s="40" t="n"/>
      <c r="C219" s="40" t="n"/>
      <c r="D219" s="40" t="n"/>
      <c r="E219" s="40" t="n"/>
      <c r="F219" s="41" t="n"/>
      <c r="G219" s="42">
        <f>IF(B219="","",IFERROR(INDEX('استلام المواقع'!$D$5:$D$304,MATCH(A219,'استلام المواقع'!$B$5:$B$304,0)),""))</f>
        <v/>
      </c>
      <c r="H219" s="43" t="n"/>
      <c r="I219" s="42">
        <f>IF(OR(G219="",H219=""),"",G219+H219)</f>
        <v/>
      </c>
      <c r="J219" s="44" t="n"/>
      <c r="K219" s="45">
        <f>IF(OR(I219="",H219=0),"",MAX(0,MIN(1,(IF(P219&lt;&gt;"",P219,TODAY())-G219)/H219)))</f>
        <v/>
      </c>
      <c r="L219" s="46">
        <f>IF(B219="","",SUMIFS('المستخلصات'!$N$5:$N$304,'المستخلصات'!$B$5:$B$304,A219))</f>
        <v/>
      </c>
      <c r="M219" s="46">
        <f>IF(B219="","",SUMIFS('سندات القبض'!$K$5:$K$304,'سندات القبض'!$D$5:$D$304,A219))</f>
        <v/>
      </c>
      <c r="N219" s="46">
        <f>IF(B219="","",SUMIFS('سندات الصرف'!$L$5:$L$304,'سندات الصرف'!$D$5:$D$304,A219))</f>
        <v/>
      </c>
      <c r="O219" s="46">
        <f>IF(B219="","",M219-N219)</f>
        <v/>
      </c>
      <c r="P219" s="47" t="n"/>
      <c r="Q219" s="47" t="n"/>
      <c r="R219" s="48">
        <f>IF(B219="","",COUNTIFS('اعتماد المواد'!$B$5:$B$304,A219,'اعتماد المواد'!$M$5:$M$304,"قيد المراجعة"))</f>
        <v/>
      </c>
      <c r="S219" s="48">
        <f>IF(B219="","",COUNTIFS('عدم المطابقة'!$C$5:$C$304,A219,'عدم المطابقة'!$L$5:$L$304,"مفتوح*"))</f>
        <v/>
      </c>
      <c r="T219" s="48">
        <f>IF(B219="","",COUNTIFS('ملاحظات التسليم'!$B$5:$B$304,A219,'ملاحظات التسليم'!$K$5:$K$304,"مفتوح*"))</f>
        <v/>
      </c>
      <c r="U219" s="49">
        <f>IF(B219="","",IF(Q219&lt;&gt;"","مسلّم نهائياً",IF(P219&lt;&gt;"","فترة الضمان",IF(G219="","بانتظار استلام الموقع",IF(TODAY()&gt;I219,"متأخر عن التعاقد",IF(J219&lt;K219-0.1,"متأخر عن الخطة","جاري التنفيذ"))))))</f>
        <v/>
      </c>
    </row>
    <row r="220">
      <c r="A220" s="39">
        <f>IF(B220="","","PRJ-"&amp;TEXT(ROW()-4,"000"))</f>
        <v/>
      </c>
      <c r="B220" s="40" t="n"/>
      <c r="C220" s="40" t="n"/>
      <c r="D220" s="40" t="n"/>
      <c r="E220" s="40" t="n"/>
      <c r="F220" s="41" t="n"/>
      <c r="G220" s="42">
        <f>IF(B220="","",IFERROR(INDEX('استلام المواقع'!$D$5:$D$304,MATCH(A220,'استلام المواقع'!$B$5:$B$304,0)),""))</f>
        <v/>
      </c>
      <c r="H220" s="43" t="n"/>
      <c r="I220" s="42">
        <f>IF(OR(G220="",H220=""),"",G220+H220)</f>
        <v/>
      </c>
      <c r="J220" s="44" t="n"/>
      <c r="K220" s="45">
        <f>IF(OR(I220="",H220=0),"",MAX(0,MIN(1,(IF(P220&lt;&gt;"",P220,TODAY())-G220)/H220)))</f>
        <v/>
      </c>
      <c r="L220" s="46">
        <f>IF(B220="","",SUMIFS('المستخلصات'!$N$5:$N$304,'المستخلصات'!$B$5:$B$304,A220))</f>
        <v/>
      </c>
      <c r="M220" s="46">
        <f>IF(B220="","",SUMIFS('سندات القبض'!$K$5:$K$304,'سندات القبض'!$D$5:$D$304,A220))</f>
        <v/>
      </c>
      <c r="N220" s="46">
        <f>IF(B220="","",SUMIFS('سندات الصرف'!$L$5:$L$304,'سندات الصرف'!$D$5:$D$304,A220))</f>
        <v/>
      </c>
      <c r="O220" s="46">
        <f>IF(B220="","",M220-N220)</f>
        <v/>
      </c>
      <c r="P220" s="47" t="n"/>
      <c r="Q220" s="47" t="n"/>
      <c r="R220" s="48">
        <f>IF(B220="","",COUNTIFS('اعتماد المواد'!$B$5:$B$304,A220,'اعتماد المواد'!$M$5:$M$304,"قيد المراجعة"))</f>
        <v/>
      </c>
      <c r="S220" s="48">
        <f>IF(B220="","",COUNTIFS('عدم المطابقة'!$C$5:$C$304,A220,'عدم المطابقة'!$L$5:$L$304,"مفتوح*"))</f>
        <v/>
      </c>
      <c r="T220" s="48">
        <f>IF(B220="","",COUNTIFS('ملاحظات التسليم'!$B$5:$B$304,A220,'ملاحظات التسليم'!$K$5:$K$304,"مفتوح*"))</f>
        <v/>
      </c>
      <c r="U220" s="49">
        <f>IF(B220="","",IF(Q220&lt;&gt;"","مسلّم نهائياً",IF(P220&lt;&gt;"","فترة الضمان",IF(G220="","بانتظار استلام الموقع",IF(TODAY()&gt;I220,"متأخر عن التعاقد",IF(J220&lt;K220-0.1,"متأخر عن الخطة","جاري التنفيذ"))))))</f>
        <v/>
      </c>
    </row>
    <row r="221">
      <c r="A221" s="39">
        <f>IF(B221="","","PRJ-"&amp;TEXT(ROW()-4,"000"))</f>
        <v/>
      </c>
      <c r="B221" s="40" t="n"/>
      <c r="C221" s="40" t="n"/>
      <c r="D221" s="40" t="n"/>
      <c r="E221" s="40" t="n"/>
      <c r="F221" s="41" t="n"/>
      <c r="G221" s="42">
        <f>IF(B221="","",IFERROR(INDEX('استلام المواقع'!$D$5:$D$304,MATCH(A221,'استلام المواقع'!$B$5:$B$304,0)),""))</f>
        <v/>
      </c>
      <c r="H221" s="43" t="n"/>
      <c r="I221" s="42">
        <f>IF(OR(G221="",H221=""),"",G221+H221)</f>
        <v/>
      </c>
      <c r="J221" s="44" t="n"/>
      <c r="K221" s="45">
        <f>IF(OR(I221="",H221=0),"",MAX(0,MIN(1,(IF(P221&lt;&gt;"",P221,TODAY())-G221)/H221)))</f>
        <v/>
      </c>
      <c r="L221" s="46">
        <f>IF(B221="","",SUMIFS('المستخلصات'!$N$5:$N$304,'المستخلصات'!$B$5:$B$304,A221))</f>
        <v/>
      </c>
      <c r="M221" s="46">
        <f>IF(B221="","",SUMIFS('سندات القبض'!$K$5:$K$304,'سندات القبض'!$D$5:$D$304,A221))</f>
        <v/>
      </c>
      <c r="N221" s="46">
        <f>IF(B221="","",SUMIFS('سندات الصرف'!$L$5:$L$304,'سندات الصرف'!$D$5:$D$304,A221))</f>
        <v/>
      </c>
      <c r="O221" s="46">
        <f>IF(B221="","",M221-N221)</f>
        <v/>
      </c>
      <c r="P221" s="47" t="n"/>
      <c r="Q221" s="47" t="n"/>
      <c r="R221" s="48">
        <f>IF(B221="","",COUNTIFS('اعتماد المواد'!$B$5:$B$304,A221,'اعتماد المواد'!$M$5:$M$304,"قيد المراجعة"))</f>
        <v/>
      </c>
      <c r="S221" s="48">
        <f>IF(B221="","",COUNTIFS('عدم المطابقة'!$C$5:$C$304,A221,'عدم المطابقة'!$L$5:$L$304,"مفتوح*"))</f>
        <v/>
      </c>
      <c r="T221" s="48">
        <f>IF(B221="","",COUNTIFS('ملاحظات التسليم'!$B$5:$B$304,A221,'ملاحظات التسليم'!$K$5:$K$304,"مفتوح*"))</f>
        <v/>
      </c>
      <c r="U221" s="49">
        <f>IF(B221="","",IF(Q221&lt;&gt;"","مسلّم نهائياً",IF(P221&lt;&gt;"","فترة الضمان",IF(G221="","بانتظار استلام الموقع",IF(TODAY()&gt;I221,"متأخر عن التعاقد",IF(J221&lt;K221-0.1,"متأخر عن الخطة","جاري التنفيذ"))))))</f>
        <v/>
      </c>
    </row>
    <row r="222">
      <c r="A222" s="39">
        <f>IF(B222="","","PRJ-"&amp;TEXT(ROW()-4,"000"))</f>
        <v/>
      </c>
      <c r="B222" s="40" t="n"/>
      <c r="C222" s="40" t="n"/>
      <c r="D222" s="40" t="n"/>
      <c r="E222" s="40" t="n"/>
      <c r="F222" s="41" t="n"/>
      <c r="G222" s="42">
        <f>IF(B222="","",IFERROR(INDEX('استلام المواقع'!$D$5:$D$304,MATCH(A222,'استلام المواقع'!$B$5:$B$304,0)),""))</f>
        <v/>
      </c>
      <c r="H222" s="43" t="n"/>
      <c r="I222" s="42">
        <f>IF(OR(G222="",H222=""),"",G222+H222)</f>
        <v/>
      </c>
      <c r="J222" s="44" t="n"/>
      <c r="K222" s="45">
        <f>IF(OR(I222="",H222=0),"",MAX(0,MIN(1,(IF(P222&lt;&gt;"",P222,TODAY())-G222)/H222)))</f>
        <v/>
      </c>
      <c r="L222" s="46">
        <f>IF(B222="","",SUMIFS('المستخلصات'!$N$5:$N$304,'المستخلصات'!$B$5:$B$304,A222))</f>
        <v/>
      </c>
      <c r="M222" s="46">
        <f>IF(B222="","",SUMIFS('سندات القبض'!$K$5:$K$304,'سندات القبض'!$D$5:$D$304,A222))</f>
        <v/>
      </c>
      <c r="N222" s="46">
        <f>IF(B222="","",SUMIFS('سندات الصرف'!$L$5:$L$304,'سندات الصرف'!$D$5:$D$304,A222))</f>
        <v/>
      </c>
      <c r="O222" s="46">
        <f>IF(B222="","",M222-N222)</f>
        <v/>
      </c>
      <c r="P222" s="47" t="n"/>
      <c r="Q222" s="47" t="n"/>
      <c r="R222" s="48">
        <f>IF(B222="","",COUNTIFS('اعتماد المواد'!$B$5:$B$304,A222,'اعتماد المواد'!$M$5:$M$304,"قيد المراجعة"))</f>
        <v/>
      </c>
      <c r="S222" s="48">
        <f>IF(B222="","",COUNTIFS('عدم المطابقة'!$C$5:$C$304,A222,'عدم المطابقة'!$L$5:$L$304,"مفتوح*"))</f>
        <v/>
      </c>
      <c r="T222" s="48">
        <f>IF(B222="","",COUNTIFS('ملاحظات التسليم'!$B$5:$B$304,A222,'ملاحظات التسليم'!$K$5:$K$304,"مفتوح*"))</f>
        <v/>
      </c>
      <c r="U222" s="49">
        <f>IF(B222="","",IF(Q222&lt;&gt;"","مسلّم نهائياً",IF(P222&lt;&gt;"","فترة الضمان",IF(G222="","بانتظار استلام الموقع",IF(TODAY()&gt;I222,"متأخر عن التعاقد",IF(J222&lt;K222-0.1,"متأخر عن الخطة","جاري التنفيذ"))))))</f>
        <v/>
      </c>
    </row>
    <row r="223">
      <c r="A223" s="39">
        <f>IF(B223="","","PRJ-"&amp;TEXT(ROW()-4,"000"))</f>
        <v/>
      </c>
      <c r="B223" s="40" t="n"/>
      <c r="C223" s="40" t="n"/>
      <c r="D223" s="40" t="n"/>
      <c r="E223" s="40" t="n"/>
      <c r="F223" s="41" t="n"/>
      <c r="G223" s="42">
        <f>IF(B223="","",IFERROR(INDEX('استلام المواقع'!$D$5:$D$304,MATCH(A223,'استلام المواقع'!$B$5:$B$304,0)),""))</f>
        <v/>
      </c>
      <c r="H223" s="43" t="n"/>
      <c r="I223" s="42">
        <f>IF(OR(G223="",H223=""),"",G223+H223)</f>
        <v/>
      </c>
      <c r="J223" s="44" t="n"/>
      <c r="K223" s="45">
        <f>IF(OR(I223="",H223=0),"",MAX(0,MIN(1,(IF(P223&lt;&gt;"",P223,TODAY())-G223)/H223)))</f>
        <v/>
      </c>
      <c r="L223" s="46">
        <f>IF(B223="","",SUMIFS('المستخلصات'!$N$5:$N$304,'المستخلصات'!$B$5:$B$304,A223))</f>
        <v/>
      </c>
      <c r="M223" s="46">
        <f>IF(B223="","",SUMIFS('سندات القبض'!$K$5:$K$304,'سندات القبض'!$D$5:$D$304,A223))</f>
        <v/>
      </c>
      <c r="N223" s="46">
        <f>IF(B223="","",SUMIFS('سندات الصرف'!$L$5:$L$304,'سندات الصرف'!$D$5:$D$304,A223))</f>
        <v/>
      </c>
      <c r="O223" s="46">
        <f>IF(B223="","",M223-N223)</f>
        <v/>
      </c>
      <c r="P223" s="47" t="n"/>
      <c r="Q223" s="47" t="n"/>
      <c r="R223" s="48">
        <f>IF(B223="","",COUNTIFS('اعتماد المواد'!$B$5:$B$304,A223,'اعتماد المواد'!$M$5:$M$304,"قيد المراجعة"))</f>
        <v/>
      </c>
      <c r="S223" s="48">
        <f>IF(B223="","",COUNTIFS('عدم المطابقة'!$C$5:$C$304,A223,'عدم المطابقة'!$L$5:$L$304,"مفتوح*"))</f>
        <v/>
      </c>
      <c r="T223" s="48">
        <f>IF(B223="","",COUNTIFS('ملاحظات التسليم'!$B$5:$B$304,A223,'ملاحظات التسليم'!$K$5:$K$304,"مفتوح*"))</f>
        <v/>
      </c>
      <c r="U223" s="49">
        <f>IF(B223="","",IF(Q223&lt;&gt;"","مسلّم نهائياً",IF(P223&lt;&gt;"","فترة الضمان",IF(G223="","بانتظار استلام الموقع",IF(TODAY()&gt;I223,"متأخر عن التعاقد",IF(J223&lt;K223-0.1,"متأخر عن الخطة","جاري التنفيذ"))))))</f>
        <v/>
      </c>
    </row>
    <row r="224">
      <c r="A224" s="39">
        <f>IF(B224="","","PRJ-"&amp;TEXT(ROW()-4,"000"))</f>
        <v/>
      </c>
      <c r="B224" s="40" t="n"/>
      <c r="C224" s="40" t="n"/>
      <c r="D224" s="40" t="n"/>
      <c r="E224" s="40" t="n"/>
      <c r="F224" s="41" t="n"/>
      <c r="G224" s="42">
        <f>IF(B224="","",IFERROR(INDEX('استلام المواقع'!$D$5:$D$304,MATCH(A224,'استلام المواقع'!$B$5:$B$304,0)),""))</f>
        <v/>
      </c>
      <c r="H224" s="43" t="n"/>
      <c r="I224" s="42">
        <f>IF(OR(G224="",H224=""),"",G224+H224)</f>
        <v/>
      </c>
      <c r="J224" s="44" t="n"/>
      <c r="K224" s="45">
        <f>IF(OR(I224="",H224=0),"",MAX(0,MIN(1,(IF(P224&lt;&gt;"",P224,TODAY())-G224)/H224)))</f>
        <v/>
      </c>
      <c r="L224" s="46">
        <f>IF(B224="","",SUMIFS('المستخلصات'!$N$5:$N$304,'المستخلصات'!$B$5:$B$304,A224))</f>
        <v/>
      </c>
      <c r="M224" s="46">
        <f>IF(B224="","",SUMIFS('سندات القبض'!$K$5:$K$304,'سندات القبض'!$D$5:$D$304,A224))</f>
        <v/>
      </c>
      <c r="N224" s="46">
        <f>IF(B224="","",SUMIFS('سندات الصرف'!$L$5:$L$304,'سندات الصرف'!$D$5:$D$304,A224))</f>
        <v/>
      </c>
      <c r="O224" s="46">
        <f>IF(B224="","",M224-N224)</f>
        <v/>
      </c>
      <c r="P224" s="47" t="n"/>
      <c r="Q224" s="47" t="n"/>
      <c r="R224" s="48">
        <f>IF(B224="","",COUNTIFS('اعتماد المواد'!$B$5:$B$304,A224,'اعتماد المواد'!$M$5:$M$304,"قيد المراجعة"))</f>
        <v/>
      </c>
      <c r="S224" s="48">
        <f>IF(B224="","",COUNTIFS('عدم المطابقة'!$C$5:$C$304,A224,'عدم المطابقة'!$L$5:$L$304,"مفتوح*"))</f>
        <v/>
      </c>
      <c r="T224" s="48">
        <f>IF(B224="","",COUNTIFS('ملاحظات التسليم'!$B$5:$B$304,A224,'ملاحظات التسليم'!$K$5:$K$304,"مفتوح*"))</f>
        <v/>
      </c>
      <c r="U224" s="49">
        <f>IF(B224="","",IF(Q224&lt;&gt;"","مسلّم نهائياً",IF(P224&lt;&gt;"","فترة الضمان",IF(G224="","بانتظار استلام الموقع",IF(TODAY()&gt;I224,"متأخر عن التعاقد",IF(J224&lt;K224-0.1,"متأخر عن الخطة","جاري التنفيذ"))))))</f>
        <v/>
      </c>
    </row>
    <row r="225">
      <c r="A225" s="39">
        <f>IF(B225="","","PRJ-"&amp;TEXT(ROW()-4,"000"))</f>
        <v/>
      </c>
      <c r="B225" s="40" t="n"/>
      <c r="C225" s="40" t="n"/>
      <c r="D225" s="40" t="n"/>
      <c r="E225" s="40" t="n"/>
      <c r="F225" s="41" t="n"/>
      <c r="G225" s="42">
        <f>IF(B225="","",IFERROR(INDEX('استلام المواقع'!$D$5:$D$304,MATCH(A225,'استلام المواقع'!$B$5:$B$304,0)),""))</f>
        <v/>
      </c>
      <c r="H225" s="43" t="n"/>
      <c r="I225" s="42">
        <f>IF(OR(G225="",H225=""),"",G225+H225)</f>
        <v/>
      </c>
      <c r="J225" s="44" t="n"/>
      <c r="K225" s="45">
        <f>IF(OR(I225="",H225=0),"",MAX(0,MIN(1,(IF(P225&lt;&gt;"",P225,TODAY())-G225)/H225)))</f>
        <v/>
      </c>
      <c r="L225" s="46">
        <f>IF(B225="","",SUMIFS('المستخلصات'!$N$5:$N$304,'المستخلصات'!$B$5:$B$304,A225))</f>
        <v/>
      </c>
      <c r="M225" s="46">
        <f>IF(B225="","",SUMIFS('سندات القبض'!$K$5:$K$304,'سندات القبض'!$D$5:$D$304,A225))</f>
        <v/>
      </c>
      <c r="N225" s="46">
        <f>IF(B225="","",SUMIFS('سندات الصرف'!$L$5:$L$304,'سندات الصرف'!$D$5:$D$304,A225))</f>
        <v/>
      </c>
      <c r="O225" s="46">
        <f>IF(B225="","",M225-N225)</f>
        <v/>
      </c>
      <c r="P225" s="47" t="n"/>
      <c r="Q225" s="47" t="n"/>
      <c r="R225" s="48">
        <f>IF(B225="","",COUNTIFS('اعتماد المواد'!$B$5:$B$304,A225,'اعتماد المواد'!$M$5:$M$304,"قيد المراجعة"))</f>
        <v/>
      </c>
      <c r="S225" s="48">
        <f>IF(B225="","",COUNTIFS('عدم المطابقة'!$C$5:$C$304,A225,'عدم المطابقة'!$L$5:$L$304,"مفتوح*"))</f>
        <v/>
      </c>
      <c r="T225" s="48">
        <f>IF(B225="","",COUNTIFS('ملاحظات التسليم'!$B$5:$B$304,A225,'ملاحظات التسليم'!$K$5:$K$304,"مفتوح*"))</f>
        <v/>
      </c>
      <c r="U225" s="49">
        <f>IF(B225="","",IF(Q225&lt;&gt;"","مسلّم نهائياً",IF(P225&lt;&gt;"","فترة الضمان",IF(G225="","بانتظار استلام الموقع",IF(TODAY()&gt;I225,"متأخر عن التعاقد",IF(J225&lt;K225-0.1,"متأخر عن الخطة","جاري التنفيذ"))))))</f>
        <v/>
      </c>
    </row>
    <row r="226">
      <c r="A226" s="39">
        <f>IF(B226="","","PRJ-"&amp;TEXT(ROW()-4,"000"))</f>
        <v/>
      </c>
      <c r="B226" s="40" t="n"/>
      <c r="C226" s="40" t="n"/>
      <c r="D226" s="40" t="n"/>
      <c r="E226" s="40" t="n"/>
      <c r="F226" s="41" t="n"/>
      <c r="G226" s="42">
        <f>IF(B226="","",IFERROR(INDEX('استلام المواقع'!$D$5:$D$304,MATCH(A226,'استلام المواقع'!$B$5:$B$304,0)),""))</f>
        <v/>
      </c>
      <c r="H226" s="43" t="n"/>
      <c r="I226" s="42">
        <f>IF(OR(G226="",H226=""),"",G226+H226)</f>
        <v/>
      </c>
      <c r="J226" s="44" t="n"/>
      <c r="K226" s="45">
        <f>IF(OR(I226="",H226=0),"",MAX(0,MIN(1,(IF(P226&lt;&gt;"",P226,TODAY())-G226)/H226)))</f>
        <v/>
      </c>
      <c r="L226" s="46">
        <f>IF(B226="","",SUMIFS('المستخلصات'!$N$5:$N$304,'المستخلصات'!$B$5:$B$304,A226))</f>
        <v/>
      </c>
      <c r="M226" s="46">
        <f>IF(B226="","",SUMIFS('سندات القبض'!$K$5:$K$304,'سندات القبض'!$D$5:$D$304,A226))</f>
        <v/>
      </c>
      <c r="N226" s="46">
        <f>IF(B226="","",SUMIFS('سندات الصرف'!$L$5:$L$304,'سندات الصرف'!$D$5:$D$304,A226))</f>
        <v/>
      </c>
      <c r="O226" s="46">
        <f>IF(B226="","",M226-N226)</f>
        <v/>
      </c>
      <c r="P226" s="47" t="n"/>
      <c r="Q226" s="47" t="n"/>
      <c r="R226" s="48">
        <f>IF(B226="","",COUNTIFS('اعتماد المواد'!$B$5:$B$304,A226,'اعتماد المواد'!$M$5:$M$304,"قيد المراجعة"))</f>
        <v/>
      </c>
      <c r="S226" s="48">
        <f>IF(B226="","",COUNTIFS('عدم المطابقة'!$C$5:$C$304,A226,'عدم المطابقة'!$L$5:$L$304,"مفتوح*"))</f>
        <v/>
      </c>
      <c r="T226" s="48">
        <f>IF(B226="","",COUNTIFS('ملاحظات التسليم'!$B$5:$B$304,A226,'ملاحظات التسليم'!$K$5:$K$304,"مفتوح*"))</f>
        <v/>
      </c>
      <c r="U226" s="49">
        <f>IF(B226="","",IF(Q226&lt;&gt;"","مسلّم نهائياً",IF(P226&lt;&gt;"","فترة الضمان",IF(G226="","بانتظار استلام الموقع",IF(TODAY()&gt;I226,"متأخر عن التعاقد",IF(J226&lt;K226-0.1,"متأخر عن الخطة","جاري التنفيذ"))))))</f>
        <v/>
      </c>
    </row>
    <row r="227">
      <c r="A227" s="39">
        <f>IF(B227="","","PRJ-"&amp;TEXT(ROW()-4,"000"))</f>
        <v/>
      </c>
      <c r="B227" s="40" t="n"/>
      <c r="C227" s="40" t="n"/>
      <c r="D227" s="40" t="n"/>
      <c r="E227" s="40" t="n"/>
      <c r="F227" s="41" t="n"/>
      <c r="G227" s="42">
        <f>IF(B227="","",IFERROR(INDEX('استلام المواقع'!$D$5:$D$304,MATCH(A227,'استلام المواقع'!$B$5:$B$304,0)),""))</f>
        <v/>
      </c>
      <c r="H227" s="43" t="n"/>
      <c r="I227" s="42">
        <f>IF(OR(G227="",H227=""),"",G227+H227)</f>
        <v/>
      </c>
      <c r="J227" s="44" t="n"/>
      <c r="K227" s="45">
        <f>IF(OR(I227="",H227=0),"",MAX(0,MIN(1,(IF(P227&lt;&gt;"",P227,TODAY())-G227)/H227)))</f>
        <v/>
      </c>
      <c r="L227" s="46">
        <f>IF(B227="","",SUMIFS('المستخلصات'!$N$5:$N$304,'المستخلصات'!$B$5:$B$304,A227))</f>
        <v/>
      </c>
      <c r="M227" s="46">
        <f>IF(B227="","",SUMIFS('سندات القبض'!$K$5:$K$304,'سندات القبض'!$D$5:$D$304,A227))</f>
        <v/>
      </c>
      <c r="N227" s="46">
        <f>IF(B227="","",SUMIFS('سندات الصرف'!$L$5:$L$304,'سندات الصرف'!$D$5:$D$304,A227))</f>
        <v/>
      </c>
      <c r="O227" s="46">
        <f>IF(B227="","",M227-N227)</f>
        <v/>
      </c>
      <c r="P227" s="47" t="n"/>
      <c r="Q227" s="47" t="n"/>
      <c r="R227" s="48">
        <f>IF(B227="","",COUNTIFS('اعتماد المواد'!$B$5:$B$304,A227,'اعتماد المواد'!$M$5:$M$304,"قيد المراجعة"))</f>
        <v/>
      </c>
      <c r="S227" s="48">
        <f>IF(B227="","",COUNTIFS('عدم المطابقة'!$C$5:$C$304,A227,'عدم المطابقة'!$L$5:$L$304,"مفتوح*"))</f>
        <v/>
      </c>
      <c r="T227" s="48">
        <f>IF(B227="","",COUNTIFS('ملاحظات التسليم'!$B$5:$B$304,A227,'ملاحظات التسليم'!$K$5:$K$304,"مفتوح*"))</f>
        <v/>
      </c>
      <c r="U227" s="49">
        <f>IF(B227="","",IF(Q227&lt;&gt;"","مسلّم نهائياً",IF(P227&lt;&gt;"","فترة الضمان",IF(G227="","بانتظار استلام الموقع",IF(TODAY()&gt;I227,"متأخر عن التعاقد",IF(J227&lt;K227-0.1,"متأخر عن الخطة","جاري التنفيذ"))))))</f>
        <v/>
      </c>
    </row>
    <row r="228">
      <c r="A228" s="39">
        <f>IF(B228="","","PRJ-"&amp;TEXT(ROW()-4,"000"))</f>
        <v/>
      </c>
      <c r="B228" s="40" t="n"/>
      <c r="C228" s="40" t="n"/>
      <c r="D228" s="40" t="n"/>
      <c r="E228" s="40" t="n"/>
      <c r="F228" s="41" t="n"/>
      <c r="G228" s="42">
        <f>IF(B228="","",IFERROR(INDEX('استلام المواقع'!$D$5:$D$304,MATCH(A228,'استلام المواقع'!$B$5:$B$304,0)),""))</f>
        <v/>
      </c>
      <c r="H228" s="43" t="n"/>
      <c r="I228" s="42">
        <f>IF(OR(G228="",H228=""),"",G228+H228)</f>
        <v/>
      </c>
      <c r="J228" s="44" t="n"/>
      <c r="K228" s="45">
        <f>IF(OR(I228="",H228=0),"",MAX(0,MIN(1,(IF(P228&lt;&gt;"",P228,TODAY())-G228)/H228)))</f>
        <v/>
      </c>
      <c r="L228" s="46">
        <f>IF(B228="","",SUMIFS('المستخلصات'!$N$5:$N$304,'المستخلصات'!$B$5:$B$304,A228))</f>
        <v/>
      </c>
      <c r="M228" s="46">
        <f>IF(B228="","",SUMIFS('سندات القبض'!$K$5:$K$304,'سندات القبض'!$D$5:$D$304,A228))</f>
        <v/>
      </c>
      <c r="N228" s="46">
        <f>IF(B228="","",SUMIFS('سندات الصرف'!$L$5:$L$304,'سندات الصرف'!$D$5:$D$304,A228))</f>
        <v/>
      </c>
      <c r="O228" s="46">
        <f>IF(B228="","",M228-N228)</f>
        <v/>
      </c>
      <c r="P228" s="47" t="n"/>
      <c r="Q228" s="47" t="n"/>
      <c r="R228" s="48">
        <f>IF(B228="","",COUNTIFS('اعتماد المواد'!$B$5:$B$304,A228,'اعتماد المواد'!$M$5:$M$304,"قيد المراجعة"))</f>
        <v/>
      </c>
      <c r="S228" s="48">
        <f>IF(B228="","",COUNTIFS('عدم المطابقة'!$C$5:$C$304,A228,'عدم المطابقة'!$L$5:$L$304,"مفتوح*"))</f>
        <v/>
      </c>
      <c r="T228" s="48">
        <f>IF(B228="","",COUNTIFS('ملاحظات التسليم'!$B$5:$B$304,A228,'ملاحظات التسليم'!$K$5:$K$304,"مفتوح*"))</f>
        <v/>
      </c>
      <c r="U228" s="49">
        <f>IF(B228="","",IF(Q228&lt;&gt;"","مسلّم نهائياً",IF(P228&lt;&gt;"","فترة الضمان",IF(G228="","بانتظار استلام الموقع",IF(TODAY()&gt;I228,"متأخر عن التعاقد",IF(J228&lt;K228-0.1,"متأخر عن الخطة","جاري التنفيذ"))))))</f>
        <v/>
      </c>
    </row>
    <row r="229">
      <c r="A229" s="39">
        <f>IF(B229="","","PRJ-"&amp;TEXT(ROW()-4,"000"))</f>
        <v/>
      </c>
      <c r="B229" s="40" t="n"/>
      <c r="C229" s="40" t="n"/>
      <c r="D229" s="40" t="n"/>
      <c r="E229" s="40" t="n"/>
      <c r="F229" s="41" t="n"/>
      <c r="G229" s="42">
        <f>IF(B229="","",IFERROR(INDEX('استلام المواقع'!$D$5:$D$304,MATCH(A229,'استلام المواقع'!$B$5:$B$304,0)),""))</f>
        <v/>
      </c>
      <c r="H229" s="43" t="n"/>
      <c r="I229" s="42">
        <f>IF(OR(G229="",H229=""),"",G229+H229)</f>
        <v/>
      </c>
      <c r="J229" s="44" t="n"/>
      <c r="K229" s="45">
        <f>IF(OR(I229="",H229=0),"",MAX(0,MIN(1,(IF(P229&lt;&gt;"",P229,TODAY())-G229)/H229)))</f>
        <v/>
      </c>
      <c r="L229" s="46">
        <f>IF(B229="","",SUMIFS('المستخلصات'!$N$5:$N$304,'المستخلصات'!$B$5:$B$304,A229))</f>
        <v/>
      </c>
      <c r="M229" s="46">
        <f>IF(B229="","",SUMIFS('سندات القبض'!$K$5:$K$304,'سندات القبض'!$D$5:$D$304,A229))</f>
        <v/>
      </c>
      <c r="N229" s="46">
        <f>IF(B229="","",SUMIFS('سندات الصرف'!$L$5:$L$304,'سندات الصرف'!$D$5:$D$304,A229))</f>
        <v/>
      </c>
      <c r="O229" s="46">
        <f>IF(B229="","",M229-N229)</f>
        <v/>
      </c>
      <c r="P229" s="47" t="n"/>
      <c r="Q229" s="47" t="n"/>
      <c r="R229" s="48">
        <f>IF(B229="","",COUNTIFS('اعتماد المواد'!$B$5:$B$304,A229,'اعتماد المواد'!$M$5:$M$304,"قيد المراجعة"))</f>
        <v/>
      </c>
      <c r="S229" s="48">
        <f>IF(B229="","",COUNTIFS('عدم المطابقة'!$C$5:$C$304,A229,'عدم المطابقة'!$L$5:$L$304,"مفتوح*"))</f>
        <v/>
      </c>
      <c r="T229" s="48">
        <f>IF(B229="","",COUNTIFS('ملاحظات التسليم'!$B$5:$B$304,A229,'ملاحظات التسليم'!$K$5:$K$304,"مفتوح*"))</f>
        <v/>
      </c>
      <c r="U229" s="49">
        <f>IF(B229="","",IF(Q229&lt;&gt;"","مسلّم نهائياً",IF(P229&lt;&gt;"","فترة الضمان",IF(G229="","بانتظار استلام الموقع",IF(TODAY()&gt;I229,"متأخر عن التعاقد",IF(J229&lt;K229-0.1,"متأخر عن الخطة","جاري التنفيذ"))))))</f>
        <v/>
      </c>
    </row>
    <row r="230">
      <c r="A230" s="39">
        <f>IF(B230="","","PRJ-"&amp;TEXT(ROW()-4,"000"))</f>
        <v/>
      </c>
      <c r="B230" s="40" t="n"/>
      <c r="C230" s="40" t="n"/>
      <c r="D230" s="40" t="n"/>
      <c r="E230" s="40" t="n"/>
      <c r="F230" s="41" t="n"/>
      <c r="G230" s="42">
        <f>IF(B230="","",IFERROR(INDEX('استلام المواقع'!$D$5:$D$304,MATCH(A230,'استلام المواقع'!$B$5:$B$304,0)),""))</f>
        <v/>
      </c>
      <c r="H230" s="43" t="n"/>
      <c r="I230" s="42">
        <f>IF(OR(G230="",H230=""),"",G230+H230)</f>
        <v/>
      </c>
      <c r="J230" s="44" t="n"/>
      <c r="K230" s="45">
        <f>IF(OR(I230="",H230=0),"",MAX(0,MIN(1,(IF(P230&lt;&gt;"",P230,TODAY())-G230)/H230)))</f>
        <v/>
      </c>
      <c r="L230" s="46">
        <f>IF(B230="","",SUMIFS('المستخلصات'!$N$5:$N$304,'المستخلصات'!$B$5:$B$304,A230))</f>
        <v/>
      </c>
      <c r="M230" s="46">
        <f>IF(B230="","",SUMIFS('سندات القبض'!$K$5:$K$304,'سندات القبض'!$D$5:$D$304,A230))</f>
        <v/>
      </c>
      <c r="N230" s="46">
        <f>IF(B230="","",SUMIFS('سندات الصرف'!$L$5:$L$304,'سندات الصرف'!$D$5:$D$304,A230))</f>
        <v/>
      </c>
      <c r="O230" s="46">
        <f>IF(B230="","",M230-N230)</f>
        <v/>
      </c>
      <c r="P230" s="47" t="n"/>
      <c r="Q230" s="47" t="n"/>
      <c r="R230" s="48">
        <f>IF(B230="","",COUNTIFS('اعتماد المواد'!$B$5:$B$304,A230,'اعتماد المواد'!$M$5:$M$304,"قيد المراجعة"))</f>
        <v/>
      </c>
      <c r="S230" s="48">
        <f>IF(B230="","",COUNTIFS('عدم المطابقة'!$C$5:$C$304,A230,'عدم المطابقة'!$L$5:$L$304,"مفتوح*"))</f>
        <v/>
      </c>
      <c r="T230" s="48">
        <f>IF(B230="","",COUNTIFS('ملاحظات التسليم'!$B$5:$B$304,A230,'ملاحظات التسليم'!$K$5:$K$304,"مفتوح*"))</f>
        <v/>
      </c>
      <c r="U230" s="49">
        <f>IF(B230="","",IF(Q230&lt;&gt;"","مسلّم نهائياً",IF(P230&lt;&gt;"","فترة الضمان",IF(G230="","بانتظار استلام الموقع",IF(TODAY()&gt;I230,"متأخر عن التعاقد",IF(J230&lt;K230-0.1,"متأخر عن الخطة","جاري التنفيذ"))))))</f>
        <v/>
      </c>
    </row>
    <row r="231">
      <c r="A231" s="39">
        <f>IF(B231="","","PRJ-"&amp;TEXT(ROW()-4,"000"))</f>
        <v/>
      </c>
      <c r="B231" s="40" t="n"/>
      <c r="C231" s="40" t="n"/>
      <c r="D231" s="40" t="n"/>
      <c r="E231" s="40" t="n"/>
      <c r="F231" s="41" t="n"/>
      <c r="G231" s="42">
        <f>IF(B231="","",IFERROR(INDEX('استلام المواقع'!$D$5:$D$304,MATCH(A231,'استلام المواقع'!$B$5:$B$304,0)),""))</f>
        <v/>
      </c>
      <c r="H231" s="43" t="n"/>
      <c r="I231" s="42">
        <f>IF(OR(G231="",H231=""),"",G231+H231)</f>
        <v/>
      </c>
      <c r="J231" s="44" t="n"/>
      <c r="K231" s="45">
        <f>IF(OR(I231="",H231=0),"",MAX(0,MIN(1,(IF(P231&lt;&gt;"",P231,TODAY())-G231)/H231)))</f>
        <v/>
      </c>
      <c r="L231" s="46">
        <f>IF(B231="","",SUMIFS('المستخلصات'!$N$5:$N$304,'المستخلصات'!$B$5:$B$304,A231))</f>
        <v/>
      </c>
      <c r="M231" s="46">
        <f>IF(B231="","",SUMIFS('سندات القبض'!$K$5:$K$304,'سندات القبض'!$D$5:$D$304,A231))</f>
        <v/>
      </c>
      <c r="N231" s="46">
        <f>IF(B231="","",SUMIFS('سندات الصرف'!$L$5:$L$304,'سندات الصرف'!$D$5:$D$304,A231))</f>
        <v/>
      </c>
      <c r="O231" s="46">
        <f>IF(B231="","",M231-N231)</f>
        <v/>
      </c>
      <c r="P231" s="47" t="n"/>
      <c r="Q231" s="47" t="n"/>
      <c r="R231" s="48">
        <f>IF(B231="","",COUNTIFS('اعتماد المواد'!$B$5:$B$304,A231,'اعتماد المواد'!$M$5:$M$304,"قيد المراجعة"))</f>
        <v/>
      </c>
      <c r="S231" s="48">
        <f>IF(B231="","",COUNTIFS('عدم المطابقة'!$C$5:$C$304,A231,'عدم المطابقة'!$L$5:$L$304,"مفتوح*"))</f>
        <v/>
      </c>
      <c r="T231" s="48">
        <f>IF(B231="","",COUNTIFS('ملاحظات التسليم'!$B$5:$B$304,A231,'ملاحظات التسليم'!$K$5:$K$304,"مفتوح*"))</f>
        <v/>
      </c>
      <c r="U231" s="49">
        <f>IF(B231="","",IF(Q231&lt;&gt;"","مسلّم نهائياً",IF(P231&lt;&gt;"","فترة الضمان",IF(G231="","بانتظار استلام الموقع",IF(TODAY()&gt;I231,"متأخر عن التعاقد",IF(J231&lt;K231-0.1,"متأخر عن الخطة","جاري التنفيذ"))))))</f>
        <v/>
      </c>
    </row>
    <row r="232">
      <c r="A232" s="39">
        <f>IF(B232="","","PRJ-"&amp;TEXT(ROW()-4,"000"))</f>
        <v/>
      </c>
      <c r="B232" s="40" t="n"/>
      <c r="C232" s="40" t="n"/>
      <c r="D232" s="40" t="n"/>
      <c r="E232" s="40" t="n"/>
      <c r="F232" s="41" t="n"/>
      <c r="G232" s="42">
        <f>IF(B232="","",IFERROR(INDEX('استلام المواقع'!$D$5:$D$304,MATCH(A232,'استلام المواقع'!$B$5:$B$304,0)),""))</f>
        <v/>
      </c>
      <c r="H232" s="43" t="n"/>
      <c r="I232" s="42">
        <f>IF(OR(G232="",H232=""),"",G232+H232)</f>
        <v/>
      </c>
      <c r="J232" s="44" t="n"/>
      <c r="K232" s="45">
        <f>IF(OR(I232="",H232=0),"",MAX(0,MIN(1,(IF(P232&lt;&gt;"",P232,TODAY())-G232)/H232)))</f>
        <v/>
      </c>
      <c r="L232" s="46">
        <f>IF(B232="","",SUMIFS('المستخلصات'!$N$5:$N$304,'المستخلصات'!$B$5:$B$304,A232))</f>
        <v/>
      </c>
      <c r="M232" s="46">
        <f>IF(B232="","",SUMIFS('سندات القبض'!$K$5:$K$304,'سندات القبض'!$D$5:$D$304,A232))</f>
        <v/>
      </c>
      <c r="N232" s="46">
        <f>IF(B232="","",SUMIFS('سندات الصرف'!$L$5:$L$304,'سندات الصرف'!$D$5:$D$304,A232))</f>
        <v/>
      </c>
      <c r="O232" s="46">
        <f>IF(B232="","",M232-N232)</f>
        <v/>
      </c>
      <c r="P232" s="47" t="n"/>
      <c r="Q232" s="47" t="n"/>
      <c r="R232" s="48">
        <f>IF(B232="","",COUNTIFS('اعتماد المواد'!$B$5:$B$304,A232,'اعتماد المواد'!$M$5:$M$304,"قيد المراجعة"))</f>
        <v/>
      </c>
      <c r="S232" s="48">
        <f>IF(B232="","",COUNTIFS('عدم المطابقة'!$C$5:$C$304,A232,'عدم المطابقة'!$L$5:$L$304,"مفتوح*"))</f>
        <v/>
      </c>
      <c r="T232" s="48">
        <f>IF(B232="","",COUNTIFS('ملاحظات التسليم'!$B$5:$B$304,A232,'ملاحظات التسليم'!$K$5:$K$304,"مفتوح*"))</f>
        <v/>
      </c>
      <c r="U232" s="49">
        <f>IF(B232="","",IF(Q232&lt;&gt;"","مسلّم نهائياً",IF(P232&lt;&gt;"","فترة الضمان",IF(G232="","بانتظار استلام الموقع",IF(TODAY()&gt;I232,"متأخر عن التعاقد",IF(J232&lt;K232-0.1,"متأخر عن الخطة","جاري التنفيذ"))))))</f>
        <v/>
      </c>
    </row>
    <row r="233">
      <c r="A233" s="39">
        <f>IF(B233="","","PRJ-"&amp;TEXT(ROW()-4,"000"))</f>
        <v/>
      </c>
      <c r="B233" s="40" t="n"/>
      <c r="C233" s="40" t="n"/>
      <c r="D233" s="40" t="n"/>
      <c r="E233" s="40" t="n"/>
      <c r="F233" s="41" t="n"/>
      <c r="G233" s="42">
        <f>IF(B233="","",IFERROR(INDEX('استلام المواقع'!$D$5:$D$304,MATCH(A233,'استلام المواقع'!$B$5:$B$304,0)),""))</f>
        <v/>
      </c>
      <c r="H233" s="43" t="n"/>
      <c r="I233" s="42">
        <f>IF(OR(G233="",H233=""),"",G233+H233)</f>
        <v/>
      </c>
      <c r="J233" s="44" t="n"/>
      <c r="K233" s="45">
        <f>IF(OR(I233="",H233=0),"",MAX(0,MIN(1,(IF(P233&lt;&gt;"",P233,TODAY())-G233)/H233)))</f>
        <v/>
      </c>
      <c r="L233" s="46">
        <f>IF(B233="","",SUMIFS('المستخلصات'!$N$5:$N$304,'المستخلصات'!$B$5:$B$304,A233))</f>
        <v/>
      </c>
      <c r="M233" s="46">
        <f>IF(B233="","",SUMIFS('سندات القبض'!$K$5:$K$304,'سندات القبض'!$D$5:$D$304,A233))</f>
        <v/>
      </c>
      <c r="N233" s="46">
        <f>IF(B233="","",SUMIFS('سندات الصرف'!$L$5:$L$304,'سندات الصرف'!$D$5:$D$304,A233))</f>
        <v/>
      </c>
      <c r="O233" s="46">
        <f>IF(B233="","",M233-N233)</f>
        <v/>
      </c>
      <c r="P233" s="47" t="n"/>
      <c r="Q233" s="47" t="n"/>
      <c r="R233" s="48">
        <f>IF(B233="","",COUNTIFS('اعتماد المواد'!$B$5:$B$304,A233,'اعتماد المواد'!$M$5:$M$304,"قيد المراجعة"))</f>
        <v/>
      </c>
      <c r="S233" s="48">
        <f>IF(B233="","",COUNTIFS('عدم المطابقة'!$C$5:$C$304,A233,'عدم المطابقة'!$L$5:$L$304,"مفتوح*"))</f>
        <v/>
      </c>
      <c r="T233" s="48">
        <f>IF(B233="","",COUNTIFS('ملاحظات التسليم'!$B$5:$B$304,A233,'ملاحظات التسليم'!$K$5:$K$304,"مفتوح*"))</f>
        <v/>
      </c>
      <c r="U233" s="49">
        <f>IF(B233="","",IF(Q233&lt;&gt;"","مسلّم نهائياً",IF(P233&lt;&gt;"","فترة الضمان",IF(G233="","بانتظار استلام الموقع",IF(TODAY()&gt;I233,"متأخر عن التعاقد",IF(J233&lt;K233-0.1,"متأخر عن الخطة","جاري التنفيذ"))))))</f>
        <v/>
      </c>
    </row>
    <row r="234">
      <c r="A234" s="39">
        <f>IF(B234="","","PRJ-"&amp;TEXT(ROW()-4,"000"))</f>
        <v/>
      </c>
      <c r="B234" s="40" t="n"/>
      <c r="C234" s="40" t="n"/>
      <c r="D234" s="40" t="n"/>
      <c r="E234" s="40" t="n"/>
      <c r="F234" s="41" t="n"/>
      <c r="G234" s="42">
        <f>IF(B234="","",IFERROR(INDEX('استلام المواقع'!$D$5:$D$304,MATCH(A234,'استلام المواقع'!$B$5:$B$304,0)),""))</f>
        <v/>
      </c>
      <c r="H234" s="43" t="n"/>
      <c r="I234" s="42">
        <f>IF(OR(G234="",H234=""),"",G234+H234)</f>
        <v/>
      </c>
      <c r="J234" s="44" t="n"/>
      <c r="K234" s="45">
        <f>IF(OR(I234="",H234=0),"",MAX(0,MIN(1,(IF(P234&lt;&gt;"",P234,TODAY())-G234)/H234)))</f>
        <v/>
      </c>
      <c r="L234" s="46">
        <f>IF(B234="","",SUMIFS('المستخلصات'!$N$5:$N$304,'المستخلصات'!$B$5:$B$304,A234))</f>
        <v/>
      </c>
      <c r="M234" s="46">
        <f>IF(B234="","",SUMIFS('سندات القبض'!$K$5:$K$304,'سندات القبض'!$D$5:$D$304,A234))</f>
        <v/>
      </c>
      <c r="N234" s="46">
        <f>IF(B234="","",SUMIFS('سندات الصرف'!$L$5:$L$304,'سندات الصرف'!$D$5:$D$304,A234))</f>
        <v/>
      </c>
      <c r="O234" s="46">
        <f>IF(B234="","",M234-N234)</f>
        <v/>
      </c>
      <c r="P234" s="47" t="n"/>
      <c r="Q234" s="47" t="n"/>
      <c r="R234" s="48">
        <f>IF(B234="","",COUNTIFS('اعتماد المواد'!$B$5:$B$304,A234,'اعتماد المواد'!$M$5:$M$304,"قيد المراجعة"))</f>
        <v/>
      </c>
      <c r="S234" s="48">
        <f>IF(B234="","",COUNTIFS('عدم المطابقة'!$C$5:$C$304,A234,'عدم المطابقة'!$L$5:$L$304,"مفتوح*"))</f>
        <v/>
      </c>
      <c r="T234" s="48">
        <f>IF(B234="","",COUNTIFS('ملاحظات التسليم'!$B$5:$B$304,A234,'ملاحظات التسليم'!$K$5:$K$304,"مفتوح*"))</f>
        <v/>
      </c>
      <c r="U234" s="49">
        <f>IF(B234="","",IF(Q234&lt;&gt;"","مسلّم نهائياً",IF(P234&lt;&gt;"","فترة الضمان",IF(G234="","بانتظار استلام الموقع",IF(TODAY()&gt;I234,"متأخر عن التعاقد",IF(J234&lt;K234-0.1,"متأخر عن الخطة","جاري التنفيذ"))))))</f>
        <v/>
      </c>
    </row>
    <row r="235">
      <c r="A235" s="39">
        <f>IF(B235="","","PRJ-"&amp;TEXT(ROW()-4,"000"))</f>
        <v/>
      </c>
      <c r="B235" s="40" t="n"/>
      <c r="C235" s="40" t="n"/>
      <c r="D235" s="40" t="n"/>
      <c r="E235" s="40" t="n"/>
      <c r="F235" s="41" t="n"/>
      <c r="G235" s="42">
        <f>IF(B235="","",IFERROR(INDEX('استلام المواقع'!$D$5:$D$304,MATCH(A235,'استلام المواقع'!$B$5:$B$304,0)),""))</f>
        <v/>
      </c>
      <c r="H235" s="43" t="n"/>
      <c r="I235" s="42">
        <f>IF(OR(G235="",H235=""),"",G235+H235)</f>
        <v/>
      </c>
      <c r="J235" s="44" t="n"/>
      <c r="K235" s="45">
        <f>IF(OR(I235="",H235=0),"",MAX(0,MIN(1,(IF(P235&lt;&gt;"",P235,TODAY())-G235)/H235)))</f>
        <v/>
      </c>
      <c r="L235" s="46">
        <f>IF(B235="","",SUMIFS('المستخلصات'!$N$5:$N$304,'المستخلصات'!$B$5:$B$304,A235))</f>
        <v/>
      </c>
      <c r="M235" s="46">
        <f>IF(B235="","",SUMIFS('سندات القبض'!$K$5:$K$304,'سندات القبض'!$D$5:$D$304,A235))</f>
        <v/>
      </c>
      <c r="N235" s="46">
        <f>IF(B235="","",SUMIFS('سندات الصرف'!$L$5:$L$304,'سندات الصرف'!$D$5:$D$304,A235))</f>
        <v/>
      </c>
      <c r="O235" s="46">
        <f>IF(B235="","",M235-N235)</f>
        <v/>
      </c>
      <c r="P235" s="47" t="n"/>
      <c r="Q235" s="47" t="n"/>
      <c r="R235" s="48">
        <f>IF(B235="","",COUNTIFS('اعتماد المواد'!$B$5:$B$304,A235,'اعتماد المواد'!$M$5:$M$304,"قيد المراجعة"))</f>
        <v/>
      </c>
      <c r="S235" s="48">
        <f>IF(B235="","",COUNTIFS('عدم المطابقة'!$C$5:$C$304,A235,'عدم المطابقة'!$L$5:$L$304,"مفتوح*"))</f>
        <v/>
      </c>
      <c r="T235" s="48">
        <f>IF(B235="","",COUNTIFS('ملاحظات التسليم'!$B$5:$B$304,A235,'ملاحظات التسليم'!$K$5:$K$304,"مفتوح*"))</f>
        <v/>
      </c>
      <c r="U235" s="49">
        <f>IF(B235="","",IF(Q235&lt;&gt;"","مسلّم نهائياً",IF(P235&lt;&gt;"","فترة الضمان",IF(G235="","بانتظار استلام الموقع",IF(TODAY()&gt;I235,"متأخر عن التعاقد",IF(J235&lt;K235-0.1,"متأخر عن الخطة","جاري التنفيذ"))))))</f>
        <v/>
      </c>
    </row>
    <row r="236">
      <c r="A236" s="39">
        <f>IF(B236="","","PRJ-"&amp;TEXT(ROW()-4,"000"))</f>
        <v/>
      </c>
      <c r="B236" s="40" t="n"/>
      <c r="C236" s="40" t="n"/>
      <c r="D236" s="40" t="n"/>
      <c r="E236" s="40" t="n"/>
      <c r="F236" s="41" t="n"/>
      <c r="G236" s="42">
        <f>IF(B236="","",IFERROR(INDEX('استلام المواقع'!$D$5:$D$304,MATCH(A236,'استلام المواقع'!$B$5:$B$304,0)),""))</f>
        <v/>
      </c>
      <c r="H236" s="43" t="n"/>
      <c r="I236" s="42">
        <f>IF(OR(G236="",H236=""),"",G236+H236)</f>
        <v/>
      </c>
      <c r="J236" s="44" t="n"/>
      <c r="K236" s="45">
        <f>IF(OR(I236="",H236=0),"",MAX(0,MIN(1,(IF(P236&lt;&gt;"",P236,TODAY())-G236)/H236)))</f>
        <v/>
      </c>
      <c r="L236" s="46">
        <f>IF(B236="","",SUMIFS('المستخلصات'!$N$5:$N$304,'المستخلصات'!$B$5:$B$304,A236))</f>
        <v/>
      </c>
      <c r="M236" s="46">
        <f>IF(B236="","",SUMIFS('سندات القبض'!$K$5:$K$304,'سندات القبض'!$D$5:$D$304,A236))</f>
        <v/>
      </c>
      <c r="N236" s="46">
        <f>IF(B236="","",SUMIFS('سندات الصرف'!$L$5:$L$304,'سندات الصرف'!$D$5:$D$304,A236))</f>
        <v/>
      </c>
      <c r="O236" s="46">
        <f>IF(B236="","",M236-N236)</f>
        <v/>
      </c>
      <c r="P236" s="47" t="n"/>
      <c r="Q236" s="47" t="n"/>
      <c r="R236" s="48">
        <f>IF(B236="","",COUNTIFS('اعتماد المواد'!$B$5:$B$304,A236,'اعتماد المواد'!$M$5:$M$304,"قيد المراجعة"))</f>
        <v/>
      </c>
      <c r="S236" s="48">
        <f>IF(B236="","",COUNTIFS('عدم المطابقة'!$C$5:$C$304,A236,'عدم المطابقة'!$L$5:$L$304,"مفتوح*"))</f>
        <v/>
      </c>
      <c r="T236" s="48">
        <f>IF(B236="","",COUNTIFS('ملاحظات التسليم'!$B$5:$B$304,A236,'ملاحظات التسليم'!$K$5:$K$304,"مفتوح*"))</f>
        <v/>
      </c>
      <c r="U236" s="49">
        <f>IF(B236="","",IF(Q236&lt;&gt;"","مسلّم نهائياً",IF(P236&lt;&gt;"","فترة الضمان",IF(G236="","بانتظار استلام الموقع",IF(TODAY()&gt;I236,"متأخر عن التعاقد",IF(J236&lt;K236-0.1,"متأخر عن الخطة","جاري التنفيذ"))))))</f>
        <v/>
      </c>
    </row>
    <row r="237">
      <c r="A237" s="39">
        <f>IF(B237="","","PRJ-"&amp;TEXT(ROW()-4,"000"))</f>
        <v/>
      </c>
      <c r="B237" s="40" t="n"/>
      <c r="C237" s="40" t="n"/>
      <c r="D237" s="40" t="n"/>
      <c r="E237" s="40" t="n"/>
      <c r="F237" s="41" t="n"/>
      <c r="G237" s="42">
        <f>IF(B237="","",IFERROR(INDEX('استلام المواقع'!$D$5:$D$304,MATCH(A237,'استلام المواقع'!$B$5:$B$304,0)),""))</f>
        <v/>
      </c>
      <c r="H237" s="43" t="n"/>
      <c r="I237" s="42">
        <f>IF(OR(G237="",H237=""),"",G237+H237)</f>
        <v/>
      </c>
      <c r="J237" s="44" t="n"/>
      <c r="K237" s="45">
        <f>IF(OR(I237="",H237=0),"",MAX(0,MIN(1,(IF(P237&lt;&gt;"",P237,TODAY())-G237)/H237)))</f>
        <v/>
      </c>
      <c r="L237" s="46">
        <f>IF(B237="","",SUMIFS('المستخلصات'!$N$5:$N$304,'المستخلصات'!$B$5:$B$304,A237))</f>
        <v/>
      </c>
      <c r="M237" s="46">
        <f>IF(B237="","",SUMIFS('سندات القبض'!$K$5:$K$304,'سندات القبض'!$D$5:$D$304,A237))</f>
        <v/>
      </c>
      <c r="N237" s="46">
        <f>IF(B237="","",SUMIFS('سندات الصرف'!$L$5:$L$304,'سندات الصرف'!$D$5:$D$304,A237))</f>
        <v/>
      </c>
      <c r="O237" s="46">
        <f>IF(B237="","",M237-N237)</f>
        <v/>
      </c>
      <c r="P237" s="47" t="n"/>
      <c r="Q237" s="47" t="n"/>
      <c r="R237" s="48">
        <f>IF(B237="","",COUNTIFS('اعتماد المواد'!$B$5:$B$304,A237,'اعتماد المواد'!$M$5:$M$304,"قيد المراجعة"))</f>
        <v/>
      </c>
      <c r="S237" s="48">
        <f>IF(B237="","",COUNTIFS('عدم المطابقة'!$C$5:$C$304,A237,'عدم المطابقة'!$L$5:$L$304,"مفتوح*"))</f>
        <v/>
      </c>
      <c r="T237" s="48">
        <f>IF(B237="","",COUNTIFS('ملاحظات التسليم'!$B$5:$B$304,A237,'ملاحظات التسليم'!$K$5:$K$304,"مفتوح*"))</f>
        <v/>
      </c>
      <c r="U237" s="49">
        <f>IF(B237="","",IF(Q237&lt;&gt;"","مسلّم نهائياً",IF(P237&lt;&gt;"","فترة الضمان",IF(G237="","بانتظار استلام الموقع",IF(TODAY()&gt;I237,"متأخر عن التعاقد",IF(J237&lt;K237-0.1,"متأخر عن الخطة","جاري التنفيذ"))))))</f>
        <v/>
      </c>
    </row>
    <row r="238">
      <c r="A238" s="39">
        <f>IF(B238="","","PRJ-"&amp;TEXT(ROW()-4,"000"))</f>
        <v/>
      </c>
      <c r="B238" s="40" t="n"/>
      <c r="C238" s="40" t="n"/>
      <c r="D238" s="40" t="n"/>
      <c r="E238" s="40" t="n"/>
      <c r="F238" s="41" t="n"/>
      <c r="G238" s="42">
        <f>IF(B238="","",IFERROR(INDEX('استلام المواقع'!$D$5:$D$304,MATCH(A238,'استلام المواقع'!$B$5:$B$304,0)),""))</f>
        <v/>
      </c>
      <c r="H238" s="43" t="n"/>
      <c r="I238" s="42">
        <f>IF(OR(G238="",H238=""),"",G238+H238)</f>
        <v/>
      </c>
      <c r="J238" s="44" t="n"/>
      <c r="K238" s="45">
        <f>IF(OR(I238="",H238=0),"",MAX(0,MIN(1,(IF(P238&lt;&gt;"",P238,TODAY())-G238)/H238)))</f>
        <v/>
      </c>
      <c r="L238" s="46">
        <f>IF(B238="","",SUMIFS('المستخلصات'!$N$5:$N$304,'المستخلصات'!$B$5:$B$304,A238))</f>
        <v/>
      </c>
      <c r="M238" s="46">
        <f>IF(B238="","",SUMIFS('سندات القبض'!$K$5:$K$304,'سندات القبض'!$D$5:$D$304,A238))</f>
        <v/>
      </c>
      <c r="N238" s="46">
        <f>IF(B238="","",SUMIFS('سندات الصرف'!$L$5:$L$304,'سندات الصرف'!$D$5:$D$304,A238))</f>
        <v/>
      </c>
      <c r="O238" s="46">
        <f>IF(B238="","",M238-N238)</f>
        <v/>
      </c>
      <c r="P238" s="47" t="n"/>
      <c r="Q238" s="47" t="n"/>
      <c r="R238" s="48">
        <f>IF(B238="","",COUNTIFS('اعتماد المواد'!$B$5:$B$304,A238,'اعتماد المواد'!$M$5:$M$304,"قيد المراجعة"))</f>
        <v/>
      </c>
      <c r="S238" s="48">
        <f>IF(B238="","",COUNTIFS('عدم المطابقة'!$C$5:$C$304,A238,'عدم المطابقة'!$L$5:$L$304,"مفتوح*"))</f>
        <v/>
      </c>
      <c r="T238" s="48">
        <f>IF(B238="","",COUNTIFS('ملاحظات التسليم'!$B$5:$B$304,A238,'ملاحظات التسليم'!$K$5:$K$304,"مفتوح*"))</f>
        <v/>
      </c>
      <c r="U238" s="49">
        <f>IF(B238="","",IF(Q238&lt;&gt;"","مسلّم نهائياً",IF(P238&lt;&gt;"","فترة الضمان",IF(G238="","بانتظار استلام الموقع",IF(TODAY()&gt;I238,"متأخر عن التعاقد",IF(J238&lt;K238-0.1,"متأخر عن الخطة","جاري التنفيذ"))))))</f>
        <v/>
      </c>
    </row>
    <row r="239">
      <c r="A239" s="39">
        <f>IF(B239="","","PRJ-"&amp;TEXT(ROW()-4,"000"))</f>
        <v/>
      </c>
      <c r="B239" s="40" t="n"/>
      <c r="C239" s="40" t="n"/>
      <c r="D239" s="40" t="n"/>
      <c r="E239" s="40" t="n"/>
      <c r="F239" s="41" t="n"/>
      <c r="G239" s="42">
        <f>IF(B239="","",IFERROR(INDEX('استلام المواقع'!$D$5:$D$304,MATCH(A239,'استلام المواقع'!$B$5:$B$304,0)),""))</f>
        <v/>
      </c>
      <c r="H239" s="43" t="n"/>
      <c r="I239" s="42">
        <f>IF(OR(G239="",H239=""),"",G239+H239)</f>
        <v/>
      </c>
      <c r="J239" s="44" t="n"/>
      <c r="K239" s="45">
        <f>IF(OR(I239="",H239=0),"",MAX(0,MIN(1,(IF(P239&lt;&gt;"",P239,TODAY())-G239)/H239)))</f>
        <v/>
      </c>
      <c r="L239" s="46">
        <f>IF(B239="","",SUMIFS('المستخلصات'!$N$5:$N$304,'المستخلصات'!$B$5:$B$304,A239))</f>
        <v/>
      </c>
      <c r="M239" s="46">
        <f>IF(B239="","",SUMIFS('سندات القبض'!$K$5:$K$304,'سندات القبض'!$D$5:$D$304,A239))</f>
        <v/>
      </c>
      <c r="N239" s="46">
        <f>IF(B239="","",SUMIFS('سندات الصرف'!$L$5:$L$304,'سندات الصرف'!$D$5:$D$304,A239))</f>
        <v/>
      </c>
      <c r="O239" s="46">
        <f>IF(B239="","",M239-N239)</f>
        <v/>
      </c>
      <c r="P239" s="47" t="n"/>
      <c r="Q239" s="47" t="n"/>
      <c r="R239" s="48">
        <f>IF(B239="","",COUNTIFS('اعتماد المواد'!$B$5:$B$304,A239,'اعتماد المواد'!$M$5:$M$304,"قيد المراجعة"))</f>
        <v/>
      </c>
      <c r="S239" s="48">
        <f>IF(B239="","",COUNTIFS('عدم المطابقة'!$C$5:$C$304,A239,'عدم المطابقة'!$L$5:$L$304,"مفتوح*"))</f>
        <v/>
      </c>
      <c r="T239" s="48">
        <f>IF(B239="","",COUNTIFS('ملاحظات التسليم'!$B$5:$B$304,A239,'ملاحظات التسليم'!$K$5:$K$304,"مفتوح*"))</f>
        <v/>
      </c>
      <c r="U239" s="49">
        <f>IF(B239="","",IF(Q239&lt;&gt;"","مسلّم نهائياً",IF(P239&lt;&gt;"","فترة الضمان",IF(G239="","بانتظار استلام الموقع",IF(TODAY()&gt;I239,"متأخر عن التعاقد",IF(J239&lt;K239-0.1,"متأخر عن الخطة","جاري التنفيذ"))))))</f>
        <v/>
      </c>
    </row>
    <row r="240">
      <c r="A240" s="39">
        <f>IF(B240="","","PRJ-"&amp;TEXT(ROW()-4,"000"))</f>
        <v/>
      </c>
      <c r="B240" s="40" t="n"/>
      <c r="C240" s="40" t="n"/>
      <c r="D240" s="40" t="n"/>
      <c r="E240" s="40" t="n"/>
      <c r="F240" s="41" t="n"/>
      <c r="G240" s="42">
        <f>IF(B240="","",IFERROR(INDEX('استلام المواقع'!$D$5:$D$304,MATCH(A240,'استلام المواقع'!$B$5:$B$304,0)),""))</f>
        <v/>
      </c>
      <c r="H240" s="43" t="n"/>
      <c r="I240" s="42">
        <f>IF(OR(G240="",H240=""),"",G240+H240)</f>
        <v/>
      </c>
      <c r="J240" s="44" t="n"/>
      <c r="K240" s="45">
        <f>IF(OR(I240="",H240=0),"",MAX(0,MIN(1,(IF(P240&lt;&gt;"",P240,TODAY())-G240)/H240)))</f>
        <v/>
      </c>
      <c r="L240" s="46">
        <f>IF(B240="","",SUMIFS('المستخلصات'!$N$5:$N$304,'المستخلصات'!$B$5:$B$304,A240))</f>
        <v/>
      </c>
      <c r="M240" s="46">
        <f>IF(B240="","",SUMIFS('سندات القبض'!$K$5:$K$304,'سندات القبض'!$D$5:$D$304,A240))</f>
        <v/>
      </c>
      <c r="N240" s="46">
        <f>IF(B240="","",SUMIFS('سندات الصرف'!$L$5:$L$304,'سندات الصرف'!$D$5:$D$304,A240))</f>
        <v/>
      </c>
      <c r="O240" s="46">
        <f>IF(B240="","",M240-N240)</f>
        <v/>
      </c>
      <c r="P240" s="47" t="n"/>
      <c r="Q240" s="47" t="n"/>
      <c r="R240" s="48">
        <f>IF(B240="","",COUNTIFS('اعتماد المواد'!$B$5:$B$304,A240,'اعتماد المواد'!$M$5:$M$304,"قيد المراجعة"))</f>
        <v/>
      </c>
      <c r="S240" s="48">
        <f>IF(B240="","",COUNTIFS('عدم المطابقة'!$C$5:$C$304,A240,'عدم المطابقة'!$L$5:$L$304,"مفتوح*"))</f>
        <v/>
      </c>
      <c r="T240" s="48">
        <f>IF(B240="","",COUNTIFS('ملاحظات التسليم'!$B$5:$B$304,A240,'ملاحظات التسليم'!$K$5:$K$304,"مفتوح*"))</f>
        <v/>
      </c>
      <c r="U240" s="49">
        <f>IF(B240="","",IF(Q240&lt;&gt;"","مسلّم نهائياً",IF(P240&lt;&gt;"","فترة الضمان",IF(G240="","بانتظار استلام الموقع",IF(TODAY()&gt;I240,"متأخر عن التعاقد",IF(J240&lt;K240-0.1,"متأخر عن الخطة","جاري التنفيذ"))))))</f>
        <v/>
      </c>
    </row>
    <row r="241">
      <c r="A241" s="39">
        <f>IF(B241="","","PRJ-"&amp;TEXT(ROW()-4,"000"))</f>
        <v/>
      </c>
      <c r="B241" s="40" t="n"/>
      <c r="C241" s="40" t="n"/>
      <c r="D241" s="40" t="n"/>
      <c r="E241" s="40" t="n"/>
      <c r="F241" s="41" t="n"/>
      <c r="G241" s="42">
        <f>IF(B241="","",IFERROR(INDEX('استلام المواقع'!$D$5:$D$304,MATCH(A241,'استلام المواقع'!$B$5:$B$304,0)),""))</f>
        <v/>
      </c>
      <c r="H241" s="43" t="n"/>
      <c r="I241" s="42">
        <f>IF(OR(G241="",H241=""),"",G241+H241)</f>
        <v/>
      </c>
      <c r="J241" s="44" t="n"/>
      <c r="K241" s="45">
        <f>IF(OR(I241="",H241=0),"",MAX(0,MIN(1,(IF(P241&lt;&gt;"",P241,TODAY())-G241)/H241)))</f>
        <v/>
      </c>
      <c r="L241" s="46">
        <f>IF(B241="","",SUMIFS('المستخلصات'!$N$5:$N$304,'المستخلصات'!$B$5:$B$304,A241))</f>
        <v/>
      </c>
      <c r="M241" s="46">
        <f>IF(B241="","",SUMIFS('سندات القبض'!$K$5:$K$304,'سندات القبض'!$D$5:$D$304,A241))</f>
        <v/>
      </c>
      <c r="N241" s="46">
        <f>IF(B241="","",SUMIFS('سندات الصرف'!$L$5:$L$304,'سندات الصرف'!$D$5:$D$304,A241))</f>
        <v/>
      </c>
      <c r="O241" s="46">
        <f>IF(B241="","",M241-N241)</f>
        <v/>
      </c>
      <c r="P241" s="47" t="n"/>
      <c r="Q241" s="47" t="n"/>
      <c r="R241" s="48">
        <f>IF(B241="","",COUNTIFS('اعتماد المواد'!$B$5:$B$304,A241,'اعتماد المواد'!$M$5:$M$304,"قيد المراجعة"))</f>
        <v/>
      </c>
      <c r="S241" s="48">
        <f>IF(B241="","",COUNTIFS('عدم المطابقة'!$C$5:$C$304,A241,'عدم المطابقة'!$L$5:$L$304,"مفتوح*"))</f>
        <v/>
      </c>
      <c r="T241" s="48">
        <f>IF(B241="","",COUNTIFS('ملاحظات التسليم'!$B$5:$B$304,A241,'ملاحظات التسليم'!$K$5:$K$304,"مفتوح*"))</f>
        <v/>
      </c>
      <c r="U241" s="49">
        <f>IF(B241="","",IF(Q241&lt;&gt;"","مسلّم نهائياً",IF(P241&lt;&gt;"","فترة الضمان",IF(G241="","بانتظار استلام الموقع",IF(TODAY()&gt;I241,"متأخر عن التعاقد",IF(J241&lt;K241-0.1,"متأخر عن الخطة","جاري التنفيذ"))))))</f>
        <v/>
      </c>
    </row>
    <row r="242">
      <c r="A242" s="39">
        <f>IF(B242="","","PRJ-"&amp;TEXT(ROW()-4,"000"))</f>
        <v/>
      </c>
      <c r="B242" s="40" t="n"/>
      <c r="C242" s="40" t="n"/>
      <c r="D242" s="40" t="n"/>
      <c r="E242" s="40" t="n"/>
      <c r="F242" s="41" t="n"/>
      <c r="G242" s="42">
        <f>IF(B242="","",IFERROR(INDEX('استلام المواقع'!$D$5:$D$304,MATCH(A242,'استلام المواقع'!$B$5:$B$304,0)),""))</f>
        <v/>
      </c>
      <c r="H242" s="43" t="n"/>
      <c r="I242" s="42">
        <f>IF(OR(G242="",H242=""),"",G242+H242)</f>
        <v/>
      </c>
      <c r="J242" s="44" t="n"/>
      <c r="K242" s="45">
        <f>IF(OR(I242="",H242=0),"",MAX(0,MIN(1,(IF(P242&lt;&gt;"",P242,TODAY())-G242)/H242)))</f>
        <v/>
      </c>
      <c r="L242" s="46">
        <f>IF(B242="","",SUMIFS('المستخلصات'!$N$5:$N$304,'المستخلصات'!$B$5:$B$304,A242))</f>
        <v/>
      </c>
      <c r="M242" s="46">
        <f>IF(B242="","",SUMIFS('سندات القبض'!$K$5:$K$304,'سندات القبض'!$D$5:$D$304,A242))</f>
        <v/>
      </c>
      <c r="N242" s="46">
        <f>IF(B242="","",SUMIFS('سندات الصرف'!$L$5:$L$304,'سندات الصرف'!$D$5:$D$304,A242))</f>
        <v/>
      </c>
      <c r="O242" s="46">
        <f>IF(B242="","",M242-N242)</f>
        <v/>
      </c>
      <c r="P242" s="47" t="n"/>
      <c r="Q242" s="47" t="n"/>
      <c r="R242" s="48">
        <f>IF(B242="","",COUNTIFS('اعتماد المواد'!$B$5:$B$304,A242,'اعتماد المواد'!$M$5:$M$304,"قيد المراجعة"))</f>
        <v/>
      </c>
      <c r="S242" s="48">
        <f>IF(B242="","",COUNTIFS('عدم المطابقة'!$C$5:$C$304,A242,'عدم المطابقة'!$L$5:$L$304,"مفتوح*"))</f>
        <v/>
      </c>
      <c r="T242" s="48">
        <f>IF(B242="","",COUNTIFS('ملاحظات التسليم'!$B$5:$B$304,A242,'ملاحظات التسليم'!$K$5:$K$304,"مفتوح*"))</f>
        <v/>
      </c>
      <c r="U242" s="49">
        <f>IF(B242="","",IF(Q242&lt;&gt;"","مسلّم نهائياً",IF(P242&lt;&gt;"","فترة الضمان",IF(G242="","بانتظار استلام الموقع",IF(TODAY()&gt;I242,"متأخر عن التعاقد",IF(J242&lt;K242-0.1,"متأخر عن الخطة","جاري التنفيذ"))))))</f>
        <v/>
      </c>
    </row>
    <row r="243">
      <c r="A243" s="39">
        <f>IF(B243="","","PRJ-"&amp;TEXT(ROW()-4,"000"))</f>
        <v/>
      </c>
      <c r="B243" s="40" t="n"/>
      <c r="C243" s="40" t="n"/>
      <c r="D243" s="40" t="n"/>
      <c r="E243" s="40" t="n"/>
      <c r="F243" s="41" t="n"/>
      <c r="G243" s="42">
        <f>IF(B243="","",IFERROR(INDEX('استلام المواقع'!$D$5:$D$304,MATCH(A243,'استلام المواقع'!$B$5:$B$304,0)),""))</f>
        <v/>
      </c>
      <c r="H243" s="43" t="n"/>
      <c r="I243" s="42">
        <f>IF(OR(G243="",H243=""),"",G243+H243)</f>
        <v/>
      </c>
      <c r="J243" s="44" t="n"/>
      <c r="K243" s="45">
        <f>IF(OR(I243="",H243=0),"",MAX(0,MIN(1,(IF(P243&lt;&gt;"",P243,TODAY())-G243)/H243)))</f>
        <v/>
      </c>
      <c r="L243" s="46">
        <f>IF(B243="","",SUMIFS('المستخلصات'!$N$5:$N$304,'المستخلصات'!$B$5:$B$304,A243))</f>
        <v/>
      </c>
      <c r="M243" s="46">
        <f>IF(B243="","",SUMIFS('سندات القبض'!$K$5:$K$304,'سندات القبض'!$D$5:$D$304,A243))</f>
        <v/>
      </c>
      <c r="N243" s="46">
        <f>IF(B243="","",SUMIFS('سندات الصرف'!$L$5:$L$304,'سندات الصرف'!$D$5:$D$304,A243))</f>
        <v/>
      </c>
      <c r="O243" s="46">
        <f>IF(B243="","",M243-N243)</f>
        <v/>
      </c>
      <c r="P243" s="47" t="n"/>
      <c r="Q243" s="47" t="n"/>
      <c r="R243" s="48">
        <f>IF(B243="","",COUNTIFS('اعتماد المواد'!$B$5:$B$304,A243,'اعتماد المواد'!$M$5:$M$304,"قيد المراجعة"))</f>
        <v/>
      </c>
      <c r="S243" s="48">
        <f>IF(B243="","",COUNTIFS('عدم المطابقة'!$C$5:$C$304,A243,'عدم المطابقة'!$L$5:$L$304,"مفتوح*"))</f>
        <v/>
      </c>
      <c r="T243" s="48">
        <f>IF(B243="","",COUNTIFS('ملاحظات التسليم'!$B$5:$B$304,A243,'ملاحظات التسليم'!$K$5:$K$304,"مفتوح*"))</f>
        <v/>
      </c>
      <c r="U243" s="49">
        <f>IF(B243="","",IF(Q243&lt;&gt;"","مسلّم نهائياً",IF(P243&lt;&gt;"","فترة الضمان",IF(G243="","بانتظار استلام الموقع",IF(TODAY()&gt;I243,"متأخر عن التعاقد",IF(J243&lt;K243-0.1,"متأخر عن الخطة","جاري التنفيذ"))))))</f>
        <v/>
      </c>
    </row>
    <row r="244">
      <c r="A244" s="39">
        <f>IF(B244="","","PRJ-"&amp;TEXT(ROW()-4,"000"))</f>
        <v/>
      </c>
      <c r="B244" s="40" t="n"/>
      <c r="C244" s="40" t="n"/>
      <c r="D244" s="40" t="n"/>
      <c r="E244" s="40" t="n"/>
      <c r="F244" s="41" t="n"/>
      <c r="G244" s="42">
        <f>IF(B244="","",IFERROR(INDEX('استلام المواقع'!$D$5:$D$304,MATCH(A244,'استلام المواقع'!$B$5:$B$304,0)),""))</f>
        <v/>
      </c>
      <c r="H244" s="43" t="n"/>
      <c r="I244" s="42">
        <f>IF(OR(G244="",H244=""),"",G244+H244)</f>
        <v/>
      </c>
      <c r="J244" s="44" t="n"/>
      <c r="K244" s="45">
        <f>IF(OR(I244="",H244=0),"",MAX(0,MIN(1,(IF(P244&lt;&gt;"",P244,TODAY())-G244)/H244)))</f>
        <v/>
      </c>
      <c r="L244" s="46">
        <f>IF(B244="","",SUMIFS('المستخلصات'!$N$5:$N$304,'المستخلصات'!$B$5:$B$304,A244))</f>
        <v/>
      </c>
      <c r="M244" s="46">
        <f>IF(B244="","",SUMIFS('سندات القبض'!$K$5:$K$304,'سندات القبض'!$D$5:$D$304,A244))</f>
        <v/>
      </c>
      <c r="N244" s="46">
        <f>IF(B244="","",SUMIFS('سندات الصرف'!$L$5:$L$304,'سندات الصرف'!$D$5:$D$304,A244))</f>
        <v/>
      </c>
      <c r="O244" s="46">
        <f>IF(B244="","",M244-N244)</f>
        <v/>
      </c>
      <c r="P244" s="47" t="n"/>
      <c r="Q244" s="47" t="n"/>
      <c r="R244" s="48">
        <f>IF(B244="","",COUNTIFS('اعتماد المواد'!$B$5:$B$304,A244,'اعتماد المواد'!$M$5:$M$304,"قيد المراجعة"))</f>
        <v/>
      </c>
      <c r="S244" s="48">
        <f>IF(B244="","",COUNTIFS('عدم المطابقة'!$C$5:$C$304,A244,'عدم المطابقة'!$L$5:$L$304,"مفتوح*"))</f>
        <v/>
      </c>
      <c r="T244" s="48">
        <f>IF(B244="","",COUNTIFS('ملاحظات التسليم'!$B$5:$B$304,A244,'ملاحظات التسليم'!$K$5:$K$304,"مفتوح*"))</f>
        <v/>
      </c>
      <c r="U244" s="49">
        <f>IF(B244="","",IF(Q244&lt;&gt;"","مسلّم نهائياً",IF(P244&lt;&gt;"","فترة الضمان",IF(G244="","بانتظار استلام الموقع",IF(TODAY()&gt;I244,"متأخر عن التعاقد",IF(J244&lt;K244-0.1,"متأخر عن الخطة","جاري التنفيذ"))))))</f>
        <v/>
      </c>
    </row>
    <row r="245">
      <c r="A245" s="39">
        <f>IF(B245="","","PRJ-"&amp;TEXT(ROW()-4,"000"))</f>
        <v/>
      </c>
      <c r="B245" s="40" t="n"/>
      <c r="C245" s="40" t="n"/>
      <c r="D245" s="40" t="n"/>
      <c r="E245" s="40" t="n"/>
      <c r="F245" s="41" t="n"/>
      <c r="G245" s="42">
        <f>IF(B245="","",IFERROR(INDEX('استلام المواقع'!$D$5:$D$304,MATCH(A245,'استلام المواقع'!$B$5:$B$304,0)),""))</f>
        <v/>
      </c>
      <c r="H245" s="43" t="n"/>
      <c r="I245" s="42">
        <f>IF(OR(G245="",H245=""),"",G245+H245)</f>
        <v/>
      </c>
      <c r="J245" s="44" t="n"/>
      <c r="K245" s="45">
        <f>IF(OR(I245="",H245=0),"",MAX(0,MIN(1,(IF(P245&lt;&gt;"",P245,TODAY())-G245)/H245)))</f>
        <v/>
      </c>
      <c r="L245" s="46">
        <f>IF(B245="","",SUMIFS('المستخلصات'!$N$5:$N$304,'المستخلصات'!$B$5:$B$304,A245))</f>
        <v/>
      </c>
      <c r="M245" s="46">
        <f>IF(B245="","",SUMIFS('سندات القبض'!$K$5:$K$304,'سندات القبض'!$D$5:$D$304,A245))</f>
        <v/>
      </c>
      <c r="N245" s="46">
        <f>IF(B245="","",SUMIFS('سندات الصرف'!$L$5:$L$304,'سندات الصرف'!$D$5:$D$304,A245))</f>
        <v/>
      </c>
      <c r="O245" s="46">
        <f>IF(B245="","",M245-N245)</f>
        <v/>
      </c>
      <c r="P245" s="47" t="n"/>
      <c r="Q245" s="47" t="n"/>
      <c r="R245" s="48">
        <f>IF(B245="","",COUNTIFS('اعتماد المواد'!$B$5:$B$304,A245,'اعتماد المواد'!$M$5:$M$304,"قيد المراجعة"))</f>
        <v/>
      </c>
      <c r="S245" s="48">
        <f>IF(B245="","",COUNTIFS('عدم المطابقة'!$C$5:$C$304,A245,'عدم المطابقة'!$L$5:$L$304,"مفتوح*"))</f>
        <v/>
      </c>
      <c r="T245" s="48">
        <f>IF(B245="","",COUNTIFS('ملاحظات التسليم'!$B$5:$B$304,A245,'ملاحظات التسليم'!$K$5:$K$304,"مفتوح*"))</f>
        <v/>
      </c>
      <c r="U245" s="49">
        <f>IF(B245="","",IF(Q245&lt;&gt;"","مسلّم نهائياً",IF(P245&lt;&gt;"","فترة الضمان",IF(G245="","بانتظار استلام الموقع",IF(TODAY()&gt;I245,"متأخر عن التعاقد",IF(J245&lt;K245-0.1,"متأخر عن الخطة","جاري التنفيذ"))))))</f>
        <v/>
      </c>
    </row>
    <row r="246">
      <c r="A246" s="39">
        <f>IF(B246="","","PRJ-"&amp;TEXT(ROW()-4,"000"))</f>
        <v/>
      </c>
      <c r="B246" s="40" t="n"/>
      <c r="C246" s="40" t="n"/>
      <c r="D246" s="40" t="n"/>
      <c r="E246" s="40" t="n"/>
      <c r="F246" s="41" t="n"/>
      <c r="G246" s="42">
        <f>IF(B246="","",IFERROR(INDEX('استلام المواقع'!$D$5:$D$304,MATCH(A246,'استلام المواقع'!$B$5:$B$304,0)),""))</f>
        <v/>
      </c>
      <c r="H246" s="43" t="n"/>
      <c r="I246" s="42">
        <f>IF(OR(G246="",H246=""),"",G246+H246)</f>
        <v/>
      </c>
      <c r="J246" s="44" t="n"/>
      <c r="K246" s="45">
        <f>IF(OR(I246="",H246=0),"",MAX(0,MIN(1,(IF(P246&lt;&gt;"",P246,TODAY())-G246)/H246)))</f>
        <v/>
      </c>
      <c r="L246" s="46">
        <f>IF(B246="","",SUMIFS('المستخلصات'!$N$5:$N$304,'المستخلصات'!$B$5:$B$304,A246))</f>
        <v/>
      </c>
      <c r="M246" s="46">
        <f>IF(B246="","",SUMIFS('سندات القبض'!$K$5:$K$304,'سندات القبض'!$D$5:$D$304,A246))</f>
        <v/>
      </c>
      <c r="N246" s="46">
        <f>IF(B246="","",SUMIFS('سندات الصرف'!$L$5:$L$304,'سندات الصرف'!$D$5:$D$304,A246))</f>
        <v/>
      </c>
      <c r="O246" s="46">
        <f>IF(B246="","",M246-N246)</f>
        <v/>
      </c>
      <c r="P246" s="47" t="n"/>
      <c r="Q246" s="47" t="n"/>
      <c r="R246" s="48">
        <f>IF(B246="","",COUNTIFS('اعتماد المواد'!$B$5:$B$304,A246,'اعتماد المواد'!$M$5:$M$304,"قيد المراجعة"))</f>
        <v/>
      </c>
      <c r="S246" s="48">
        <f>IF(B246="","",COUNTIFS('عدم المطابقة'!$C$5:$C$304,A246,'عدم المطابقة'!$L$5:$L$304,"مفتوح*"))</f>
        <v/>
      </c>
      <c r="T246" s="48">
        <f>IF(B246="","",COUNTIFS('ملاحظات التسليم'!$B$5:$B$304,A246,'ملاحظات التسليم'!$K$5:$K$304,"مفتوح*"))</f>
        <v/>
      </c>
      <c r="U246" s="49">
        <f>IF(B246="","",IF(Q246&lt;&gt;"","مسلّم نهائياً",IF(P246&lt;&gt;"","فترة الضمان",IF(G246="","بانتظار استلام الموقع",IF(TODAY()&gt;I246,"متأخر عن التعاقد",IF(J246&lt;K246-0.1,"متأخر عن الخطة","جاري التنفيذ"))))))</f>
        <v/>
      </c>
    </row>
    <row r="247">
      <c r="A247" s="39">
        <f>IF(B247="","","PRJ-"&amp;TEXT(ROW()-4,"000"))</f>
        <v/>
      </c>
      <c r="B247" s="40" t="n"/>
      <c r="C247" s="40" t="n"/>
      <c r="D247" s="40" t="n"/>
      <c r="E247" s="40" t="n"/>
      <c r="F247" s="41" t="n"/>
      <c r="G247" s="42">
        <f>IF(B247="","",IFERROR(INDEX('استلام المواقع'!$D$5:$D$304,MATCH(A247,'استلام المواقع'!$B$5:$B$304,0)),""))</f>
        <v/>
      </c>
      <c r="H247" s="43" t="n"/>
      <c r="I247" s="42">
        <f>IF(OR(G247="",H247=""),"",G247+H247)</f>
        <v/>
      </c>
      <c r="J247" s="44" t="n"/>
      <c r="K247" s="45">
        <f>IF(OR(I247="",H247=0),"",MAX(0,MIN(1,(IF(P247&lt;&gt;"",P247,TODAY())-G247)/H247)))</f>
        <v/>
      </c>
      <c r="L247" s="46">
        <f>IF(B247="","",SUMIFS('المستخلصات'!$N$5:$N$304,'المستخلصات'!$B$5:$B$304,A247))</f>
        <v/>
      </c>
      <c r="M247" s="46">
        <f>IF(B247="","",SUMIFS('سندات القبض'!$K$5:$K$304,'سندات القبض'!$D$5:$D$304,A247))</f>
        <v/>
      </c>
      <c r="N247" s="46">
        <f>IF(B247="","",SUMIFS('سندات الصرف'!$L$5:$L$304,'سندات الصرف'!$D$5:$D$304,A247))</f>
        <v/>
      </c>
      <c r="O247" s="46">
        <f>IF(B247="","",M247-N247)</f>
        <v/>
      </c>
      <c r="P247" s="47" t="n"/>
      <c r="Q247" s="47" t="n"/>
      <c r="R247" s="48">
        <f>IF(B247="","",COUNTIFS('اعتماد المواد'!$B$5:$B$304,A247,'اعتماد المواد'!$M$5:$M$304,"قيد المراجعة"))</f>
        <v/>
      </c>
      <c r="S247" s="48">
        <f>IF(B247="","",COUNTIFS('عدم المطابقة'!$C$5:$C$304,A247,'عدم المطابقة'!$L$5:$L$304,"مفتوح*"))</f>
        <v/>
      </c>
      <c r="T247" s="48">
        <f>IF(B247="","",COUNTIFS('ملاحظات التسليم'!$B$5:$B$304,A247,'ملاحظات التسليم'!$K$5:$K$304,"مفتوح*"))</f>
        <v/>
      </c>
      <c r="U247" s="49">
        <f>IF(B247="","",IF(Q247&lt;&gt;"","مسلّم نهائياً",IF(P247&lt;&gt;"","فترة الضمان",IF(G247="","بانتظار استلام الموقع",IF(TODAY()&gt;I247,"متأخر عن التعاقد",IF(J247&lt;K247-0.1,"متأخر عن الخطة","جاري التنفيذ"))))))</f>
        <v/>
      </c>
    </row>
    <row r="248">
      <c r="A248" s="39">
        <f>IF(B248="","","PRJ-"&amp;TEXT(ROW()-4,"000"))</f>
        <v/>
      </c>
      <c r="B248" s="40" t="n"/>
      <c r="C248" s="40" t="n"/>
      <c r="D248" s="40" t="n"/>
      <c r="E248" s="40" t="n"/>
      <c r="F248" s="41" t="n"/>
      <c r="G248" s="42">
        <f>IF(B248="","",IFERROR(INDEX('استلام المواقع'!$D$5:$D$304,MATCH(A248,'استلام المواقع'!$B$5:$B$304,0)),""))</f>
        <v/>
      </c>
      <c r="H248" s="43" t="n"/>
      <c r="I248" s="42">
        <f>IF(OR(G248="",H248=""),"",G248+H248)</f>
        <v/>
      </c>
      <c r="J248" s="44" t="n"/>
      <c r="K248" s="45">
        <f>IF(OR(I248="",H248=0),"",MAX(0,MIN(1,(IF(P248&lt;&gt;"",P248,TODAY())-G248)/H248)))</f>
        <v/>
      </c>
      <c r="L248" s="46">
        <f>IF(B248="","",SUMIFS('المستخلصات'!$N$5:$N$304,'المستخلصات'!$B$5:$B$304,A248))</f>
        <v/>
      </c>
      <c r="M248" s="46">
        <f>IF(B248="","",SUMIFS('سندات القبض'!$K$5:$K$304,'سندات القبض'!$D$5:$D$304,A248))</f>
        <v/>
      </c>
      <c r="N248" s="46">
        <f>IF(B248="","",SUMIFS('سندات الصرف'!$L$5:$L$304,'سندات الصرف'!$D$5:$D$304,A248))</f>
        <v/>
      </c>
      <c r="O248" s="46">
        <f>IF(B248="","",M248-N248)</f>
        <v/>
      </c>
      <c r="P248" s="47" t="n"/>
      <c r="Q248" s="47" t="n"/>
      <c r="R248" s="48">
        <f>IF(B248="","",COUNTIFS('اعتماد المواد'!$B$5:$B$304,A248,'اعتماد المواد'!$M$5:$M$304,"قيد المراجعة"))</f>
        <v/>
      </c>
      <c r="S248" s="48">
        <f>IF(B248="","",COUNTIFS('عدم المطابقة'!$C$5:$C$304,A248,'عدم المطابقة'!$L$5:$L$304,"مفتوح*"))</f>
        <v/>
      </c>
      <c r="T248" s="48">
        <f>IF(B248="","",COUNTIFS('ملاحظات التسليم'!$B$5:$B$304,A248,'ملاحظات التسليم'!$K$5:$K$304,"مفتوح*"))</f>
        <v/>
      </c>
      <c r="U248" s="49">
        <f>IF(B248="","",IF(Q248&lt;&gt;"","مسلّم نهائياً",IF(P248&lt;&gt;"","فترة الضمان",IF(G248="","بانتظار استلام الموقع",IF(TODAY()&gt;I248,"متأخر عن التعاقد",IF(J248&lt;K248-0.1,"متأخر عن الخطة","جاري التنفيذ"))))))</f>
        <v/>
      </c>
    </row>
    <row r="249">
      <c r="A249" s="39">
        <f>IF(B249="","","PRJ-"&amp;TEXT(ROW()-4,"000"))</f>
        <v/>
      </c>
      <c r="B249" s="40" t="n"/>
      <c r="C249" s="40" t="n"/>
      <c r="D249" s="40" t="n"/>
      <c r="E249" s="40" t="n"/>
      <c r="F249" s="41" t="n"/>
      <c r="G249" s="42">
        <f>IF(B249="","",IFERROR(INDEX('استلام المواقع'!$D$5:$D$304,MATCH(A249,'استلام المواقع'!$B$5:$B$304,0)),""))</f>
        <v/>
      </c>
      <c r="H249" s="43" t="n"/>
      <c r="I249" s="42">
        <f>IF(OR(G249="",H249=""),"",G249+H249)</f>
        <v/>
      </c>
      <c r="J249" s="44" t="n"/>
      <c r="K249" s="45">
        <f>IF(OR(I249="",H249=0),"",MAX(0,MIN(1,(IF(P249&lt;&gt;"",P249,TODAY())-G249)/H249)))</f>
        <v/>
      </c>
      <c r="L249" s="46">
        <f>IF(B249="","",SUMIFS('المستخلصات'!$N$5:$N$304,'المستخلصات'!$B$5:$B$304,A249))</f>
        <v/>
      </c>
      <c r="M249" s="46">
        <f>IF(B249="","",SUMIFS('سندات القبض'!$K$5:$K$304,'سندات القبض'!$D$5:$D$304,A249))</f>
        <v/>
      </c>
      <c r="N249" s="46">
        <f>IF(B249="","",SUMIFS('سندات الصرف'!$L$5:$L$304,'سندات الصرف'!$D$5:$D$304,A249))</f>
        <v/>
      </c>
      <c r="O249" s="46">
        <f>IF(B249="","",M249-N249)</f>
        <v/>
      </c>
      <c r="P249" s="47" t="n"/>
      <c r="Q249" s="47" t="n"/>
      <c r="R249" s="48">
        <f>IF(B249="","",COUNTIFS('اعتماد المواد'!$B$5:$B$304,A249,'اعتماد المواد'!$M$5:$M$304,"قيد المراجعة"))</f>
        <v/>
      </c>
      <c r="S249" s="48">
        <f>IF(B249="","",COUNTIFS('عدم المطابقة'!$C$5:$C$304,A249,'عدم المطابقة'!$L$5:$L$304,"مفتوح*"))</f>
        <v/>
      </c>
      <c r="T249" s="48">
        <f>IF(B249="","",COUNTIFS('ملاحظات التسليم'!$B$5:$B$304,A249,'ملاحظات التسليم'!$K$5:$K$304,"مفتوح*"))</f>
        <v/>
      </c>
      <c r="U249" s="49">
        <f>IF(B249="","",IF(Q249&lt;&gt;"","مسلّم نهائياً",IF(P249&lt;&gt;"","فترة الضمان",IF(G249="","بانتظار استلام الموقع",IF(TODAY()&gt;I249,"متأخر عن التعاقد",IF(J249&lt;K249-0.1,"متأخر عن الخطة","جاري التنفيذ"))))))</f>
        <v/>
      </c>
    </row>
    <row r="250">
      <c r="A250" s="39">
        <f>IF(B250="","","PRJ-"&amp;TEXT(ROW()-4,"000"))</f>
        <v/>
      </c>
      <c r="B250" s="40" t="n"/>
      <c r="C250" s="40" t="n"/>
      <c r="D250" s="40" t="n"/>
      <c r="E250" s="40" t="n"/>
      <c r="F250" s="41" t="n"/>
      <c r="G250" s="42">
        <f>IF(B250="","",IFERROR(INDEX('استلام المواقع'!$D$5:$D$304,MATCH(A250,'استلام المواقع'!$B$5:$B$304,0)),""))</f>
        <v/>
      </c>
      <c r="H250" s="43" t="n"/>
      <c r="I250" s="42">
        <f>IF(OR(G250="",H250=""),"",G250+H250)</f>
        <v/>
      </c>
      <c r="J250" s="44" t="n"/>
      <c r="K250" s="45">
        <f>IF(OR(I250="",H250=0),"",MAX(0,MIN(1,(IF(P250&lt;&gt;"",P250,TODAY())-G250)/H250)))</f>
        <v/>
      </c>
      <c r="L250" s="46">
        <f>IF(B250="","",SUMIFS('المستخلصات'!$N$5:$N$304,'المستخلصات'!$B$5:$B$304,A250))</f>
        <v/>
      </c>
      <c r="M250" s="46">
        <f>IF(B250="","",SUMIFS('سندات القبض'!$K$5:$K$304,'سندات القبض'!$D$5:$D$304,A250))</f>
        <v/>
      </c>
      <c r="N250" s="46">
        <f>IF(B250="","",SUMIFS('سندات الصرف'!$L$5:$L$304,'سندات الصرف'!$D$5:$D$304,A250))</f>
        <v/>
      </c>
      <c r="O250" s="46">
        <f>IF(B250="","",M250-N250)</f>
        <v/>
      </c>
      <c r="P250" s="47" t="n"/>
      <c r="Q250" s="47" t="n"/>
      <c r="R250" s="48">
        <f>IF(B250="","",COUNTIFS('اعتماد المواد'!$B$5:$B$304,A250,'اعتماد المواد'!$M$5:$M$304,"قيد المراجعة"))</f>
        <v/>
      </c>
      <c r="S250" s="48">
        <f>IF(B250="","",COUNTIFS('عدم المطابقة'!$C$5:$C$304,A250,'عدم المطابقة'!$L$5:$L$304,"مفتوح*"))</f>
        <v/>
      </c>
      <c r="T250" s="48">
        <f>IF(B250="","",COUNTIFS('ملاحظات التسليم'!$B$5:$B$304,A250,'ملاحظات التسليم'!$K$5:$K$304,"مفتوح*"))</f>
        <v/>
      </c>
      <c r="U250" s="49">
        <f>IF(B250="","",IF(Q250&lt;&gt;"","مسلّم نهائياً",IF(P250&lt;&gt;"","فترة الضمان",IF(G250="","بانتظار استلام الموقع",IF(TODAY()&gt;I250,"متأخر عن التعاقد",IF(J250&lt;K250-0.1,"متأخر عن الخطة","جاري التنفيذ"))))))</f>
        <v/>
      </c>
    </row>
    <row r="251">
      <c r="A251" s="39">
        <f>IF(B251="","","PRJ-"&amp;TEXT(ROW()-4,"000"))</f>
        <v/>
      </c>
      <c r="B251" s="40" t="n"/>
      <c r="C251" s="40" t="n"/>
      <c r="D251" s="40" t="n"/>
      <c r="E251" s="40" t="n"/>
      <c r="F251" s="41" t="n"/>
      <c r="G251" s="42">
        <f>IF(B251="","",IFERROR(INDEX('استلام المواقع'!$D$5:$D$304,MATCH(A251,'استلام المواقع'!$B$5:$B$304,0)),""))</f>
        <v/>
      </c>
      <c r="H251" s="43" t="n"/>
      <c r="I251" s="42">
        <f>IF(OR(G251="",H251=""),"",G251+H251)</f>
        <v/>
      </c>
      <c r="J251" s="44" t="n"/>
      <c r="K251" s="45">
        <f>IF(OR(I251="",H251=0),"",MAX(0,MIN(1,(IF(P251&lt;&gt;"",P251,TODAY())-G251)/H251)))</f>
        <v/>
      </c>
      <c r="L251" s="46">
        <f>IF(B251="","",SUMIFS('المستخلصات'!$N$5:$N$304,'المستخلصات'!$B$5:$B$304,A251))</f>
        <v/>
      </c>
      <c r="M251" s="46">
        <f>IF(B251="","",SUMIFS('سندات القبض'!$K$5:$K$304,'سندات القبض'!$D$5:$D$304,A251))</f>
        <v/>
      </c>
      <c r="N251" s="46">
        <f>IF(B251="","",SUMIFS('سندات الصرف'!$L$5:$L$304,'سندات الصرف'!$D$5:$D$304,A251))</f>
        <v/>
      </c>
      <c r="O251" s="46">
        <f>IF(B251="","",M251-N251)</f>
        <v/>
      </c>
      <c r="P251" s="47" t="n"/>
      <c r="Q251" s="47" t="n"/>
      <c r="R251" s="48">
        <f>IF(B251="","",COUNTIFS('اعتماد المواد'!$B$5:$B$304,A251,'اعتماد المواد'!$M$5:$M$304,"قيد المراجعة"))</f>
        <v/>
      </c>
      <c r="S251" s="48">
        <f>IF(B251="","",COUNTIFS('عدم المطابقة'!$C$5:$C$304,A251,'عدم المطابقة'!$L$5:$L$304,"مفتوح*"))</f>
        <v/>
      </c>
      <c r="T251" s="48">
        <f>IF(B251="","",COUNTIFS('ملاحظات التسليم'!$B$5:$B$304,A251,'ملاحظات التسليم'!$K$5:$K$304,"مفتوح*"))</f>
        <v/>
      </c>
      <c r="U251" s="49">
        <f>IF(B251="","",IF(Q251&lt;&gt;"","مسلّم نهائياً",IF(P251&lt;&gt;"","فترة الضمان",IF(G251="","بانتظار استلام الموقع",IF(TODAY()&gt;I251,"متأخر عن التعاقد",IF(J251&lt;K251-0.1,"متأخر عن الخطة","جاري التنفيذ"))))))</f>
        <v/>
      </c>
    </row>
    <row r="252">
      <c r="A252" s="39">
        <f>IF(B252="","","PRJ-"&amp;TEXT(ROW()-4,"000"))</f>
        <v/>
      </c>
      <c r="B252" s="40" t="n"/>
      <c r="C252" s="40" t="n"/>
      <c r="D252" s="40" t="n"/>
      <c r="E252" s="40" t="n"/>
      <c r="F252" s="41" t="n"/>
      <c r="G252" s="42">
        <f>IF(B252="","",IFERROR(INDEX('استلام المواقع'!$D$5:$D$304,MATCH(A252,'استلام المواقع'!$B$5:$B$304,0)),""))</f>
        <v/>
      </c>
      <c r="H252" s="43" t="n"/>
      <c r="I252" s="42">
        <f>IF(OR(G252="",H252=""),"",G252+H252)</f>
        <v/>
      </c>
      <c r="J252" s="44" t="n"/>
      <c r="K252" s="45">
        <f>IF(OR(I252="",H252=0),"",MAX(0,MIN(1,(IF(P252&lt;&gt;"",P252,TODAY())-G252)/H252)))</f>
        <v/>
      </c>
      <c r="L252" s="46">
        <f>IF(B252="","",SUMIFS('المستخلصات'!$N$5:$N$304,'المستخلصات'!$B$5:$B$304,A252))</f>
        <v/>
      </c>
      <c r="M252" s="46">
        <f>IF(B252="","",SUMIFS('سندات القبض'!$K$5:$K$304,'سندات القبض'!$D$5:$D$304,A252))</f>
        <v/>
      </c>
      <c r="N252" s="46">
        <f>IF(B252="","",SUMIFS('سندات الصرف'!$L$5:$L$304,'سندات الصرف'!$D$5:$D$304,A252))</f>
        <v/>
      </c>
      <c r="O252" s="46">
        <f>IF(B252="","",M252-N252)</f>
        <v/>
      </c>
      <c r="P252" s="47" t="n"/>
      <c r="Q252" s="47" t="n"/>
      <c r="R252" s="48">
        <f>IF(B252="","",COUNTIFS('اعتماد المواد'!$B$5:$B$304,A252,'اعتماد المواد'!$M$5:$M$304,"قيد المراجعة"))</f>
        <v/>
      </c>
      <c r="S252" s="48">
        <f>IF(B252="","",COUNTIFS('عدم المطابقة'!$C$5:$C$304,A252,'عدم المطابقة'!$L$5:$L$304,"مفتوح*"))</f>
        <v/>
      </c>
      <c r="T252" s="48">
        <f>IF(B252="","",COUNTIFS('ملاحظات التسليم'!$B$5:$B$304,A252,'ملاحظات التسليم'!$K$5:$K$304,"مفتوح*"))</f>
        <v/>
      </c>
      <c r="U252" s="49">
        <f>IF(B252="","",IF(Q252&lt;&gt;"","مسلّم نهائياً",IF(P252&lt;&gt;"","فترة الضمان",IF(G252="","بانتظار استلام الموقع",IF(TODAY()&gt;I252,"متأخر عن التعاقد",IF(J252&lt;K252-0.1,"متأخر عن الخطة","جاري التنفيذ"))))))</f>
        <v/>
      </c>
    </row>
    <row r="253">
      <c r="A253" s="39">
        <f>IF(B253="","","PRJ-"&amp;TEXT(ROW()-4,"000"))</f>
        <v/>
      </c>
      <c r="B253" s="40" t="n"/>
      <c r="C253" s="40" t="n"/>
      <c r="D253" s="40" t="n"/>
      <c r="E253" s="40" t="n"/>
      <c r="F253" s="41" t="n"/>
      <c r="G253" s="42">
        <f>IF(B253="","",IFERROR(INDEX('استلام المواقع'!$D$5:$D$304,MATCH(A253,'استلام المواقع'!$B$5:$B$304,0)),""))</f>
        <v/>
      </c>
      <c r="H253" s="43" t="n"/>
      <c r="I253" s="42">
        <f>IF(OR(G253="",H253=""),"",G253+H253)</f>
        <v/>
      </c>
      <c r="J253" s="44" t="n"/>
      <c r="K253" s="45">
        <f>IF(OR(I253="",H253=0),"",MAX(0,MIN(1,(IF(P253&lt;&gt;"",P253,TODAY())-G253)/H253)))</f>
        <v/>
      </c>
      <c r="L253" s="46">
        <f>IF(B253="","",SUMIFS('المستخلصات'!$N$5:$N$304,'المستخلصات'!$B$5:$B$304,A253))</f>
        <v/>
      </c>
      <c r="M253" s="46">
        <f>IF(B253="","",SUMIFS('سندات القبض'!$K$5:$K$304,'سندات القبض'!$D$5:$D$304,A253))</f>
        <v/>
      </c>
      <c r="N253" s="46">
        <f>IF(B253="","",SUMIFS('سندات الصرف'!$L$5:$L$304,'سندات الصرف'!$D$5:$D$304,A253))</f>
        <v/>
      </c>
      <c r="O253" s="46">
        <f>IF(B253="","",M253-N253)</f>
        <v/>
      </c>
      <c r="P253" s="47" t="n"/>
      <c r="Q253" s="47" t="n"/>
      <c r="R253" s="48">
        <f>IF(B253="","",COUNTIFS('اعتماد المواد'!$B$5:$B$304,A253,'اعتماد المواد'!$M$5:$M$304,"قيد المراجعة"))</f>
        <v/>
      </c>
      <c r="S253" s="48">
        <f>IF(B253="","",COUNTIFS('عدم المطابقة'!$C$5:$C$304,A253,'عدم المطابقة'!$L$5:$L$304,"مفتوح*"))</f>
        <v/>
      </c>
      <c r="T253" s="48">
        <f>IF(B253="","",COUNTIFS('ملاحظات التسليم'!$B$5:$B$304,A253,'ملاحظات التسليم'!$K$5:$K$304,"مفتوح*"))</f>
        <v/>
      </c>
      <c r="U253" s="49">
        <f>IF(B253="","",IF(Q253&lt;&gt;"","مسلّم نهائياً",IF(P253&lt;&gt;"","فترة الضمان",IF(G253="","بانتظار استلام الموقع",IF(TODAY()&gt;I253,"متأخر عن التعاقد",IF(J253&lt;K253-0.1,"متأخر عن الخطة","جاري التنفيذ"))))))</f>
        <v/>
      </c>
    </row>
    <row r="254">
      <c r="A254" s="39">
        <f>IF(B254="","","PRJ-"&amp;TEXT(ROW()-4,"000"))</f>
        <v/>
      </c>
      <c r="B254" s="40" t="n"/>
      <c r="C254" s="40" t="n"/>
      <c r="D254" s="40" t="n"/>
      <c r="E254" s="40" t="n"/>
      <c r="F254" s="41" t="n"/>
      <c r="G254" s="42">
        <f>IF(B254="","",IFERROR(INDEX('استلام المواقع'!$D$5:$D$304,MATCH(A254,'استلام المواقع'!$B$5:$B$304,0)),""))</f>
        <v/>
      </c>
      <c r="H254" s="43" t="n"/>
      <c r="I254" s="42">
        <f>IF(OR(G254="",H254=""),"",G254+H254)</f>
        <v/>
      </c>
      <c r="J254" s="44" t="n"/>
      <c r="K254" s="45">
        <f>IF(OR(I254="",H254=0),"",MAX(0,MIN(1,(IF(P254&lt;&gt;"",P254,TODAY())-G254)/H254)))</f>
        <v/>
      </c>
      <c r="L254" s="46">
        <f>IF(B254="","",SUMIFS('المستخلصات'!$N$5:$N$304,'المستخلصات'!$B$5:$B$304,A254))</f>
        <v/>
      </c>
      <c r="M254" s="46">
        <f>IF(B254="","",SUMIFS('سندات القبض'!$K$5:$K$304,'سندات القبض'!$D$5:$D$304,A254))</f>
        <v/>
      </c>
      <c r="N254" s="46">
        <f>IF(B254="","",SUMIFS('سندات الصرف'!$L$5:$L$304,'سندات الصرف'!$D$5:$D$304,A254))</f>
        <v/>
      </c>
      <c r="O254" s="46">
        <f>IF(B254="","",M254-N254)</f>
        <v/>
      </c>
      <c r="P254" s="47" t="n"/>
      <c r="Q254" s="47" t="n"/>
      <c r="R254" s="48">
        <f>IF(B254="","",COUNTIFS('اعتماد المواد'!$B$5:$B$304,A254,'اعتماد المواد'!$M$5:$M$304,"قيد المراجعة"))</f>
        <v/>
      </c>
      <c r="S254" s="48">
        <f>IF(B254="","",COUNTIFS('عدم المطابقة'!$C$5:$C$304,A254,'عدم المطابقة'!$L$5:$L$304,"مفتوح*"))</f>
        <v/>
      </c>
      <c r="T254" s="48">
        <f>IF(B254="","",COUNTIFS('ملاحظات التسليم'!$B$5:$B$304,A254,'ملاحظات التسليم'!$K$5:$K$304,"مفتوح*"))</f>
        <v/>
      </c>
      <c r="U254" s="49">
        <f>IF(B254="","",IF(Q254&lt;&gt;"","مسلّم نهائياً",IF(P254&lt;&gt;"","فترة الضمان",IF(G254="","بانتظار استلام الموقع",IF(TODAY()&gt;I254,"متأخر عن التعاقد",IF(J254&lt;K254-0.1,"متأخر عن الخطة","جاري التنفيذ"))))))</f>
        <v/>
      </c>
    </row>
    <row r="255">
      <c r="A255" s="39">
        <f>IF(B255="","","PRJ-"&amp;TEXT(ROW()-4,"000"))</f>
        <v/>
      </c>
      <c r="B255" s="40" t="n"/>
      <c r="C255" s="40" t="n"/>
      <c r="D255" s="40" t="n"/>
      <c r="E255" s="40" t="n"/>
      <c r="F255" s="41" t="n"/>
      <c r="G255" s="42">
        <f>IF(B255="","",IFERROR(INDEX('استلام المواقع'!$D$5:$D$304,MATCH(A255,'استلام المواقع'!$B$5:$B$304,0)),""))</f>
        <v/>
      </c>
      <c r="H255" s="43" t="n"/>
      <c r="I255" s="42">
        <f>IF(OR(G255="",H255=""),"",G255+H255)</f>
        <v/>
      </c>
      <c r="J255" s="44" t="n"/>
      <c r="K255" s="45">
        <f>IF(OR(I255="",H255=0),"",MAX(0,MIN(1,(IF(P255&lt;&gt;"",P255,TODAY())-G255)/H255)))</f>
        <v/>
      </c>
      <c r="L255" s="46">
        <f>IF(B255="","",SUMIFS('المستخلصات'!$N$5:$N$304,'المستخلصات'!$B$5:$B$304,A255))</f>
        <v/>
      </c>
      <c r="M255" s="46">
        <f>IF(B255="","",SUMIFS('سندات القبض'!$K$5:$K$304,'سندات القبض'!$D$5:$D$304,A255))</f>
        <v/>
      </c>
      <c r="N255" s="46">
        <f>IF(B255="","",SUMIFS('سندات الصرف'!$L$5:$L$304,'سندات الصرف'!$D$5:$D$304,A255))</f>
        <v/>
      </c>
      <c r="O255" s="46">
        <f>IF(B255="","",M255-N255)</f>
        <v/>
      </c>
      <c r="P255" s="47" t="n"/>
      <c r="Q255" s="47" t="n"/>
      <c r="R255" s="48">
        <f>IF(B255="","",COUNTIFS('اعتماد المواد'!$B$5:$B$304,A255,'اعتماد المواد'!$M$5:$M$304,"قيد المراجعة"))</f>
        <v/>
      </c>
      <c r="S255" s="48">
        <f>IF(B255="","",COUNTIFS('عدم المطابقة'!$C$5:$C$304,A255,'عدم المطابقة'!$L$5:$L$304,"مفتوح*"))</f>
        <v/>
      </c>
      <c r="T255" s="48">
        <f>IF(B255="","",COUNTIFS('ملاحظات التسليم'!$B$5:$B$304,A255,'ملاحظات التسليم'!$K$5:$K$304,"مفتوح*"))</f>
        <v/>
      </c>
      <c r="U255" s="49">
        <f>IF(B255="","",IF(Q255&lt;&gt;"","مسلّم نهائياً",IF(P255&lt;&gt;"","فترة الضمان",IF(G255="","بانتظار استلام الموقع",IF(TODAY()&gt;I255,"متأخر عن التعاقد",IF(J255&lt;K255-0.1,"متأخر عن الخطة","جاري التنفيذ"))))))</f>
        <v/>
      </c>
    </row>
    <row r="256">
      <c r="A256" s="39">
        <f>IF(B256="","","PRJ-"&amp;TEXT(ROW()-4,"000"))</f>
        <v/>
      </c>
      <c r="B256" s="40" t="n"/>
      <c r="C256" s="40" t="n"/>
      <c r="D256" s="40" t="n"/>
      <c r="E256" s="40" t="n"/>
      <c r="F256" s="41" t="n"/>
      <c r="G256" s="42">
        <f>IF(B256="","",IFERROR(INDEX('استلام المواقع'!$D$5:$D$304,MATCH(A256,'استلام المواقع'!$B$5:$B$304,0)),""))</f>
        <v/>
      </c>
      <c r="H256" s="43" t="n"/>
      <c r="I256" s="42">
        <f>IF(OR(G256="",H256=""),"",G256+H256)</f>
        <v/>
      </c>
      <c r="J256" s="44" t="n"/>
      <c r="K256" s="45">
        <f>IF(OR(I256="",H256=0),"",MAX(0,MIN(1,(IF(P256&lt;&gt;"",P256,TODAY())-G256)/H256)))</f>
        <v/>
      </c>
      <c r="L256" s="46">
        <f>IF(B256="","",SUMIFS('المستخلصات'!$N$5:$N$304,'المستخلصات'!$B$5:$B$304,A256))</f>
        <v/>
      </c>
      <c r="M256" s="46">
        <f>IF(B256="","",SUMIFS('سندات القبض'!$K$5:$K$304,'سندات القبض'!$D$5:$D$304,A256))</f>
        <v/>
      </c>
      <c r="N256" s="46">
        <f>IF(B256="","",SUMIFS('سندات الصرف'!$L$5:$L$304,'سندات الصرف'!$D$5:$D$304,A256))</f>
        <v/>
      </c>
      <c r="O256" s="46">
        <f>IF(B256="","",M256-N256)</f>
        <v/>
      </c>
      <c r="P256" s="47" t="n"/>
      <c r="Q256" s="47" t="n"/>
      <c r="R256" s="48">
        <f>IF(B256="","",COUNTIFS('اعتماد المواد'!$B$5:$B$304,A256,'اعتماد المواد'!$M$5:$M$304,"قيد المراجعة"))</f>
        <v/>
      </c>
      <c r="S256" s="48">
        <f>IF(B256="","",COUNTIFS('عدم المطابقة'!$C$5:$C$304,A256,'عدم المطابقة'!$L$5:$L$304,"مفتوح*"))</f>
        <v/>
      </c>
      <c r="T256" s="48">
        <f>IF(B256="","",COUNTIFS('ملاحظات التسليم'!$B$5:$B$304,A256,'ملاحظات التسليم'!$K$5:$K$304,"مفتوح*"))</f>
        <v/>
      </c>
      <c r="U256" s="49">
        <f>IF(B256="","",IF(Q256&lt;&gt;"","مسلّم نهائياً",IF(P256&lt;&gt;"","فترة الضمان",IF(G256="","بانتظار استلام الموقع",IF(TODAY()&gt;I256,"متأخر عن التعاقد",IF(J256&lt;K256-0.1,"متأخر عن الخطة","جاري التنفيذ"))))))</f>
        <v/>
      </c>
    </row>
    <row r="257">
      <c r="A257" s="39">
        <f>IF(B257="","","PRJ-"&amp;TEXT(ROW()-4,"000"))</f>
        <v/>
      </c>
      <c r="B257" s="40" t="n"/>
      <c r="C257" s="40" t="n"/>
      <c r="D257" s="40" t="n"/>
      <c r="E257" s="40" t="n"/>
      <c r="F257" s="41" t="n"/>
      <c r="G257" s="42">
        <f>IF(B257="","",IFERROR(INDEX('استلام المواقع'!$D$5:$D$304,MATCH(A257,'استلام المواقع'!$B$5:$B$304,0)),""))</f>
        <v/>
      </c>
      <c r="H257" s="43" t="n"/>
      <c r="I257" s="42">
        <f>IF(OR(G257="",H257=""),"",G257+H257)</f>
        <v/>
      </c>
      <c r="J257" s="44" t="n"/>
      <c r="K257" s="45">
        <f>IF(OR(I257="",H257=0),"",MAX(0,MIN(1,(IF(P257&lt;&gt;"",P257,TODAY())-G257)/H257)))</f>
        <v/>
      </c>
      <c r="L257" s="46">
        <f>IF(B257="","",SUMIFS('المستخلصات'!$N$5:$N$304,'المستخلصات'!$B$5:$B$304,A257))</f>
        <v/>
      </c>
      <c r="M257" s="46">
        <f>IF(B257="","",SUMIFS('سندات القبض'!$K$5:$K$304,'سندات القبض'!$D$5:$D$304,A257))</f>
        <v/>
      </c>
      <c r="N257" s="46">
        <f>IF(B257="","",SUMIFS('سندات الصرف'!$L$5:$L$304,'سندات الصرف'!$D$5:$D$304,A257))</f>
        <v/>
      </c>
      <c r="O257" s="46">
        <f>IF(B257="","",M257-N257)</f>
        <v/>
      </c>
      <c r="P257" s="47" t="n"/>
      <c r="Q257" s="47" t="n"/>
      <c r="R257" s="48">
        <f>IF(B257="","",COUNTIFS('اعتماد المواد'!$B$5:$B$304,A257,'اعتماد المواد'!$M$5:$M$304,"قيد المراجعة"))</f>
        <v/>
      </c>
      <c r="S257" s="48">
        <f>IF(B257="","",COUNTIFS('عدم المطابقة'!$C$5:$C$304,A257,'عدم المطابقة'!$L$5:$L$304,"مفتوح*"))</f>
        <v/>
      </c>
      <c r="T257" s="48">
        <f>IF(B257="","",COUNTIFS('ملاحظات التسليم'!$B$5:$B$304,A257,'ملاحظات التسليم'!$K$5:$K$304,"مفتوح*"))</f>
        <v/>
      </c>
      <c r="U257" s="49">
        <f>IF(B257="","",IF(Q257&lt;&gt;"","مسلّم نهائياً",IF(P257&lt;&gt;"","فترة الضمان",IF(G257="","بانتظار استلام الموقع",IF(TODAY()&gt;I257,"متأخر عن التعاقد",IF(J257&lt;K257-0.1,"متأخر عن الخطة","جاري التنفيذ"))))))</f>
        <v/>
      </c>
    </row>
    <row r="258">
      <c r="A258" s="39">
        <f>IF(B258="","","PRJ-"&amp;TEXT(ROW()-4,"000"))</f>
        <v/>
      </c>
      <c r="B258" s="40" t="n"/>
      <c r="C258" s="40" t="n"/>
      <c r="D258" s="40" t="n"/>
      <c r="E258" s="40" t="n"/>
      <c r="F258" s="41" t="n"/>
      <c r="G258" s="42">
        <f>IF(B258="","",IFERROR(INDEX('استلام المواقع'!$D$5:$D$304,MATCH(A258,'استلام المواقع'!$B$5:$B$304,0)),""))</f>
        <v/>
      </c>
      <c r="H258" s="43" t="n"/>
      <c r="I258" s="42">
        <f>IF(OR(G258="",H258=""),"",G258+H258)</f>
        <v/>
      </c>
      <c r="J258" s="44" t="n"/>
      <c r="K258" s="45">
        <f>IF(OR(I258="",H258=0),"",MAX(0,MIN(1,(IF(P258&lt;&gt;"",P258,TODAY())-G258)/H258)))</f>
        <v/>
      </c>
      <c r="L258" s="46">
        <f>IF(B258="","",SUMIFS('المستخلصات'!$N$5:$N$304,'المستخلصات'!$B$5:$B$304,A258))</f>
        <v/>
      </c>
      <c r="M258" s="46">
        <f>IF(B258="","",SUMIFS('سندات القبض'!$K$5:$K$304,'سندات القبض'!$D$5:$D$304,A258))</f>
        <v/>
      </c>
      <c r="N258" s="46">
        <f>IF(B258="","",SUMIFS('سندات الصرف'!$L$5:$L$304,'سندات الصرف'!$D$5:$D$304,A258))</f>
        <v/>
      </c>
      <c r="O258" s="46">
        <f>IF(B258="","",M258-N258)</f>
        <v/>
      </c>
      <c r="P258" s="47" t="n"/>
      <c r="Q258" s="47" t="n"/>
      <c r="R258" s="48">
        <f>IF(B258="","",COUNTIFS('اعتماد المواد'!$B$5:$B$304,A258,'اعتماد المواد'!$M$5:$M$304,"قيد المراجعة"))</f>
        <v/>
      </c>
      <c r="S258" s="48">
        <f>IF(B258="","",COUNTIFS('عدم المطابقة'!$C$5:$C$304,A258,'عدم المطابقة'!$L$5:$L$304,"مفتوح*"))</f>
        <v/>
      </c>
      <c r="T258" s="48">
        <f>IF(B258="","",COUNTIFS('ملاحظات التسليم'!$B$5:$B$304,A258,'ملاحظات التسليم'!$K$5:$K$304,"مفتوح*"))</f>
        <v/>
      </c>
      <c r="U258" s="49">
        <f>IF(B258="","",IF(Q258&lt;&gt;"","مسلّم نهائياً",IF(P258&lt;&gt;"","فترة الضمان",IF(G258="","بانتظار استلام الموقع",IF(TODAY()&gt;I258,"متأخر عن التعاقد",IF(J258&lt;K258-0.1,"متأخر عن الخطة","جاري التنفيذ"))))))</f>
        <v/>
      </c>
    </row>
    <row r="259">
      <c r="A259" s="39">
        <f>IF(B259="","","PRJ-"&amp;TEXT(ROW()-4,"000"))</f>
        <v/>
      </c>
      <c r="B259" s="40" t="n"/>
      <c r="C259" s="40" t="n"/>
      <c r="D259" s="40" t="n"/>
      <c r="E259" s="40" t="n"/>
      <c r="F259" s="41" t="n"/>
      <c r="G259" s="42">
        <f>IF(B259="","",IFERROR(INDEX('استلام المواقع'!$D$5:$D$304,MATCH(A259,'استلام المواقع'!$B$5:$B$304,0)),""))</f>
        <v/>
      </c>
      <c r="H259" s="43" t="n"/>
      <c r="I259" s="42">
        <f>IF(OR(G259="",H259=""),"",G259+H259)</f>
        <v/>
      </c>
      <c r="J259" s="44" t="n"/>
      <c r="K259" s="45">
        <f>IF(OR(I259="",H259=0),"",MAX(0,MIN(1,(IF(P259&lt;&gt;"",P259,TODAY())-G259)/H259)))</f>
        <v/>
      </c>
      <c r="L259" s="46">
        <f>IF(B259="","",SUMIFS('المستخلصات'!$N$5:$N$304,'المستخلصات'!$B$5:$B$304,A259))</f>
        <v/>
      </c>
      <c r="M259" s="46">
        <f>IF(B259="","",SUMIFS('سندات القبض'!$K$5:$K$304,'سندات القبض'!$D$5:$D$304,A259))</f>
        <v/>
      </c>
      <c r="N259" s="46">
        <f>IF(B259="","",SUMIFS('سندات الصرف'!$L$5:$L$304,'سندات الصرف'!$D$5:$D$304,A259))</f>
        <v/>
      </c>
      <c r="O259" s="46">
        <f>IF(B259="","",M259-N259)</f>
        <v/>
      </c>
      <c r="P259" s="47" t="n"/>
      <c r="Q259" s="47" t="n"/>
      <c r="R259" s="48">
        <f>IF(B259="","",COUNTIFS('اعتماد المواد'!$B$5:$B$304,A259,'اعتماد المواد'!$M$5:$M$304,"قيد المراجعة"))</f>
        <v/>
      </c>
      <c r="S259" s="48">
        <f>IF(B259="","",COUNTIFS('عدم المطابقة'!$C$5:$C$304,A259,'عدم المطابقة'!$L$5:$L$304,"مفتوح*"))</f>
        <v/>
      </c>
      <c r="T259" s="48">
        <f>IF(B259="","",COUNTIFS('ملاحظات التسليم'!$B$5:$B$304,A259,'ملاحظات التسليم'!$K$5:$K$304,"مفتوح*"))</f>
        <v/>
      </c>
      <c r="U259" s="49">
        <f>IF(B259="","",IF(Q259&lt;&gt;"","مسلّم نهائياً",IF(P259&lt;&gt;"","فترة الضمان",IF(G259="","بانتظار استلام الموقع",IF(TODAY()&gt;I259,"متأخر عن التعاقد",IF(J259&lt;K259-0.1,"متأخر عن الخطة","جاري التنفيذ"))))))</f>
        <v/>
      </c>
    </row>
    <row r="260">
      <c r="A260" s="39">
        <f>IF(B260="","","PRJ-"&amp;TEXT(ROW()-4,"000"))</f>
        <v/>
      </c>
      <c r="B260" s="40" t="n"/>
      <c r="C260" s="40" t="n"/>
      <c r="D260" s="40" t="n"/>
      <c r="E260" s="40" t="n"/>
      <c r="F260" s="41" t="n"/>
      <c r="G260" s="42">
        <f>IF(B260="","",IFERROR(INDEX('استلام المواقع'!$D$5:$D$304,MATCH(A260,'استلام المواقع'!$B$5:$B$304,0)),""))</f>
        <v/>
      </c>
      <c r="H260" s="43" t="n"/>
      <c r="I260" s="42">
        <f>IF(OR(G260="",H260=""),"",G260+H260)</f>
        <v/>
      </c>
      <c r="J260" s="44" t="n"/>
      <c r="K260" s="45">
        <f>IF(OR(I260="",H260=0),"",MAX(0,MIN(1,(IF(P260&lt;&gt;"",P260,TODAY())-G260)/H260)))</f>
        <v/>
      </c>
      <c r="L260" s="46">
        <f>IF(B260="","",SUMIFS('المستخلصات'!$N$5:$N$304,'المستخلصات'!$B$5:$B$304,A260))</f>
        <v/>
      </c>
      <c r="M260" s="46">
        <f>IF(B260="","",SUMIFS('سندات القبض'!$K$5:$K$304,'سندات القبض'!$D$5:$D$304,A260))</f>
        <v/>
      </c>
      <c r="N260" s="46">
        <f>IF(B260="","",SUMIFS('سندات الصرف'!$L$5:$L$304,'سندات الصرف'!$D$5:$D$304,A260))</f>
        <v/>
      </c>
      <c r="O260" s="46">
        <f>IF(B260="","",M260-N260)</f>
        <v/>
      </c>
      <c r="P260" s="47" t="n"/>
      <c r="Q260" s="47" t="n"/>
      <c r="R260" s="48">
        <f>IF(B260="","",COUNTIFS('اعتماد المواد'!$B$5:$B$304,A260,'اعتماد المواد'!$M$5:$M$304,"قيد المراجعة"))</f>
        <v/>
      </c>
      <c r="S260" s="48">
        <f>IF(B260="","",COUNTIFS('عدم المطابقة'!$C$5:$C$304,A260,'عدم المطابقة'!$L$5:$L$304,"مفتوح*"))</f>
        <v/>
      </c>
      <c r="T260" s="48">
        <f>IF(B260="","",COUNTIFS('ملاحظات التسليم'!$B$5:$B$304,A260,'ملاحظات التسليم'!$K$5:$K$304,"مفتوح*"))</f>
        <v/>
      </c>
      <c r="U260" s="49">
        <f>IF(B260="","",IF(Q260&lt;&gt;"","مسلّم نهائياً",IF(P260&lt;&gt;"","فترة الضمان",IF(G260="","بانتظار استلام الموقع",IF(TODAY()&gt;I260,"متأخر عن التعاقد",IF(J260&lt;K260-0.1,"متأخر عن الخطة","جاري التنفيذ"))))))</f>
        <v/>
      </c>
    </row>
    <row r="261">
      <c r="A261" s="39">
        <f>IF(B261="","","PRJ-"&amp;TEXT(ROW()-4,"000"))</f>
        <v/>
      </c>
      <c r="B261" s="40" t="n"/>
      <c r="C261" s="40" t="n"/>
      <c r="D261" s="40" t="n"/>
      <c r="E261" s="40" t="n"/>
      <c r="F261" s="41" t="n"/>
      <c r="G261" s="42">
        <f>IF(B261="","",IFERROR(INDEX('استلام المواقع'!$D$5:$D$304,MATCH(A261,'استلام المواقع'!$B$5:$B$304,0)),""))</f>
        <v/>
      </c>
      <c r="H261" s="43" t="n"/>
      <c r="I261" s="42">
        <f>IF(OR(G261="",H261=""),"",G261+H261)</f>
        <v/>
      </c>
      <c r="J261" s="44" t="n"/>
      <c r="K261" s="45">
        <f>IF(OR(I261="",H261=0),"",MAX(0,MIN(1,(IF(P261&lt;&gt;"",P261,TODAY())-G261)/H261)))</f>
        <v/>
      </c>
      <c r="L261" s="46">
        <f>IF(B261="","",SUMIFS('المستخلصات'!$N$5:$N$304,'المستخلصات'!$B$5:$B$304,A261))</f>
        <v/>
      </c>
      <c r="M261" s="46">
        <f>IF(B261="","",SUMIFS('سندات القبض'!$K$5:$K$304,'سندات القبض'!$D$5:$D$304,A261))</f>
        <v/>
      </c>
      <c r="N261" s="46">
        <f>IF(B261="","",SUMIFS('سندات الصرف'!$L$5:$L$304,'سندات الصرف'!$D$5:$D$304,A261))</f>
        <v/>
      </c>
      <c r="O261" s="46">
        <f>IF(B261="","",M261-N261)</f>
        <v/>
      </c>
      <c r="P261" s="47" t="n"/>
      <c r="Q261" s="47" t="n"/>
      <c r="R261" s="48">
        <f>IF(B261="","",COUNTIFS('اعتماد المواد'!$B$5:$B$304,A261,'اعتماد المواد'!$M$5:$M$304,"قيد المراجعة"))</f>
        <v/>
      </c>
      <c r="S261" s="48">
        <f>IF(B261="","",COUNTIFS('عدم المطابقة'!$C$5:$C$304,A261,'عدم المطابقة'!$L$5:$L$304,"مفتوح*"))</f>
        <v/>
      </c>
      <c r="T261" s="48">
        <f>IF(B261="","",COUNTIFS('ملاحظات التسليم'!$B$5:$B$304,A261,'ملاحظات التسليم'!$K$5:$K$304,"مفتوح*"))</f>
        <v/>
      </c>
      <c r="U261" s="49">
        <f>IF(B261="","",IF(Q261&lt;&gt;"","مسلّم نهائياً",IF(P261&lt;&gt;"","فترة الضمان",IF(G261="","بانتظار استلام الموقع",IF(TODAY()&gt;I261,"متأخر عن التعاقد",IF(J261&lt;K261-0.1,"متأخر عن الخطة","جاري التنفيذ"))))))</f>
        <v/>
      </c>
    </row>
    <row r="262">
      <c r="A262" s="39">
        <f>IF(B262="","","PRJ-"&amp;TEXT(ROW()-4,"000"))</f>
        <v/>
      </c>
      <c r="B262" s="40" t="n"/>
      <c r="C262" s="40" t="n"/>
      <c r="D262" s="40" t="n"/>
      <c r="E262" s="40" t="n"/>
      <c r="F262" s="41" t="n"/>
      <c r="G262" s="42">
        <f>IF(B262="","",IFERROR(INDEX('استلام المواقع'!$D$5:$D$304,MATCH(A262,'استلام المواقع'!$B$5:$B$304,0)),""))</f>
        <v/>
      </c>
      <c r="H262" s="43" t="n"/>
      <c r="I262" s="42">
        <f>IF(OR(G262="",H262=""),"",G262+H262)</f>
        <v/>
      </c>
      <c r="J262" s="44" t="n"/>
      <c r="K262" s="45">
        <f>IF(OR(I262="",H262=0),"",MAX(0,MIN(1,(IF(P262&lt;&gt;"",P262,TODAY())-G262)/H262)))</f>
        <v/>
      </c>
      <c r="L262" s="46">
        <f>IF(B262="","",SUMIFS('المستخلصات'!$N$5:$N$304,'المستخلصات'!$B$5:$B$304,A262))</f>
        <v/>
      </c>
      <c r="M262" s="46">
        <f>IF(B262="","",SUMIFS('سندات القبض'!$K$5:$K$304,'سندات القبض'!$D$5:$D$304,A262))</f>
        <v/>
      </c>
      <c r="N262" s="46">
        <f>IF(B262="","",SUMIFS('سندات الصرف'!$L$5:$L$304,'سندات الصرف'!$D$5:$D$304,A262))</f>
        <v/>
      </c>
      <c r="O262" s="46">
        <f>IF(B262="","",M262-N262)</f>
        <v/>
      </c>
      <c r="P262" s="47" t="n"/>
      <c r="Q262" s="47" t="n"/>
      <c r="R262" s="48">
        <f>IF(B262="","",COUNTIFS('اعتماد المواد'!$B$5:$B$304,A262,'اعتماد المواد'!$M$5:$M$304,"قيد المراجعة"))</f>
        <v/>
      </c>
      <c r="S262" s="48">
        <f>IF(B262="","",COUNTIFS('عدم المطابقة'!$C$5:$C$304,A262,'عدم المطابقة'!$L$5:$L$304,"مفتوح*"))</f>
        <v/>
      </c>
      <c r="T262" s="48">
        <f>IF(B262="","",COUNTIFS('ملاحظات التسليم'!$B$5:$B$304,A262,'ملاحظات التسليم'!$K$5:$K$304,"مفتوح*"))</f>
        <v/>
      </c>
      <c r="U262" s="49">
        <f>IF(B262="","",IF(Q262&lt;&gt;"","مسلّم نهائياً",IF(P262&lt;&gt;"","فترة الضمان",IF(G262="","بانتظار استلام الموقع",IF(TODAY()&gt;I262,"متأخر عن التعاقد",IF(J262&lt;K262-0.1,"متأخر عن الخطة","جاري التنفيذ"))))))</f>
        <v/>
      </c>
    </row>
    <row r="263">
      <c r="A263" s="39">
        <f>IF(B263="","","PRJ-"&amp;TEXT(ROW()-4,"000"))</f>
        <v/>
      </c>
      <c r="B263" s="40" t="n"/>
      <c r="C263" s="40" t="n"/>
      <c r="D263" s="40" t="n"/>
      <c r="E263" s="40" t="n"/>
      <c r="F263" s="41" t="n"/>
      <c r="G263" s="42">
        <f>IF(B263="","",IFERROR(INDEX('استلام المواقع'!$D$5:$D$304,MATCH(A263,'استلام المواقع'!$B$5:$B$304,0)),""))</f>
        <v/>
      </c>
      <c r="H263" s="43" t="n"/>
      <c r="I263" s="42">
        <f>IF(OR(G263="",H263=""),"",G263+H263)</f>
        <v/>
      </c>
      <c r="J263" s="44" t="n"/>
      <c r="K263" s="45">
        <f>IF(OR(I263="",H263=0),"",MAX(0,MIN(1,(IF(P263&lt;&gt;"",P263,TODAY())-G263)/H263)))</f>
        <v/>
      </c>
      <c r="L263" s="46">
        <f>IF(B263="","",SUMIFS('المستخلصات'!$N$5:$N$304,'المستخلصات'!$B$5:$B$304,A263))</f>
        <v/>
      </c>
      <c r="M263" s="46">
        <f>IF(B263="","",SUMIFS('سندات القبض'!$K$5:$K$304,'سندات القبض'!$D$5:$D$304,A263))</f>
        <v/>
      </c>
      <c r="N263" s="46">
        <f>IF(B263="","",SUMIFS('سندات الصرف'!$L$5:$L$304,'سندات الصرف'!$D$5:$D$304,A263))</f>
        <v/>
      </c>
      <c r="O263" s="46">
        <f>IF(B263="","",M263-N263)</f>
        <v/>
      </c>
      <c r="P263" s="47" t="n"/>
      <c r="Q263" s="47" t="n"/>
      <c r="R263" s="48">
        <f>IF(B263="","",COUNTIFS('اعتماد المواد'!$B$5:$B$304,A263,'اعتماد المواد'!$M$5:$M$304,"قيد المراجعة"))</f>
        <v/>
      </c>
      <c r="S263" s="48">
        <f>IF(B263="","",COUNTIFS('عدم المطابقة'!$C$5:$C$304,A263,'عدم المطابقة'!$L$5:$L$304,"مفتوح*"))</f>
        <v/>
      </c>
      <c r="T263" s="48">
        <f>IF(B263="","",COUNTIFS('ملاحظات التسليم'!$B$5:$B$304,A263,'ملاحظات التسليم'!$K$5:$K$304,"مفتوح*"))</f>
        <v/>
      </c>
      <c r="U263" s="49">
        <f>IF(B263="","",IF(Q263&lt;&gt;"","مسلّم نهائياً",IF(P263&lt;&gt;"","فترة الضمان",IF(G263="","بانتظار استلام الموقع",IF(TODAY()&gt;I263,"متأخر عن التعاقد",IF(J263&lt;K263-0.1,"متأخر عن الخطة","جاري التنفيذ"))))))</f>
        <v/>
      </c>
    </row>
    <row r="264">
      <c r="A264" s="39">
        <f>IF(B264="","","PRJ-"&amp;TEXT(ROW()-4,"000"))</f>
        <v/>
      </c>
      <c r="B264" s="40" t="n"/>
      <c r="C264" s="40" t="n"/>
      <c r="D264" s="40" t="n"/>
      <c r="E264" s="40" t="n"/>
      <c r="F264" s="41" t="n"/>
      <c r="G264" s="42">
        <f>IF(B264="","",IFERROR(INDEX('استلام المواقع'!$D$5:$D$304,MATCH(A264,'استلام المواقع'!$B$5:$B$304,0)),""))</f>
        <v/>
      </c>
      <c r="H264" s="43" t="n"/>
      <c r="I264" s="42">
        <f>IF(OR(G264="",H264=""),"",G264+H264)</f>
        <v/>
      </c>
      <c r="J264" s="44" t="n"/>
      <c r="K264" s="45">
        <f>IF(OR(I264="",H264=0),"",MAX(0,MIN(1,(IF(P264&lt;&gt;"",P264,TODAY())-G264)/H264)))</f>
        <v/>
      </c>
      <c r="L264" s="46">
        <f>IF(B264="","",SUMIFS('المستخلصات'!$N$5:$N$304,'المستخلصات'!$B$5:$B$304,A264))</f>
        <v/>
      </c>
      <c r="M264" s="46">
        <f>IF(B264="","",SUMIFS('سندات القبض'!$K$5:$K$304,'سندات القبض'!$D$5:$D$304,A264))</f>
        <v/>
      </c>
      <c r="N264" s="46">
        <f>IF(B264="","",SUMIFS('سندات الصرف'!$L$5:$L$304,'سندات الصرف'!$D$5:$D$304,A264))</f>
        <v/>
      </c>
      <c r="O264" s="46">
        <f>IF(B264="","",M264-N264)</f>
        <v/>
      </c>
      <c r="P264" s="47" t="n"/>
      <c r="Q264" s="47" t="n"/>
      <c r="R264" s="48">
        <f>IF(B264="","",COUNTIFS('اعتماد المواد'!$B$5:$B$304,A264,'اعتماد المواد'!$M$5:$M$304,"قيد المراجعة"))</f>
        <v/>
      </c>
      <c r="S264" s="48">
        <f>IF(B264="","",COUNTIFS('عدم المطابقة'!$C$5:$C$304,A264,'عدم المطابقة'!$L$5:$L$304,"مفتوح*"))</f>
        <v/>
      </c>
      <c r="T264" s="48">
        <f>IF(B264="","",COUNTIFS('ملاحظات التسليم'!$B$5:$B$304,A264,'ملاحظات التسليم'!$K$5:$K$304,"مفتوح*"))</f>
        <v/>
      </c>
      <c r="U264" s="49">
        <f>IF(B264="","",IF(Q264&lt;&gt;"","مسلّم نهائياً",IF(P264&lt;&gt;"","فترة الضمان",IF(G264="","بانتظار استلام الموقع",IF(TODAY()&gt;I264,"متأخر عن التعاقد",IF(J264&lt;K264-0.1,"متأخر عن الخطة","جاري التنفيذ"))))))</f>
        <v/>
      </c>
    </row>
    <row r="265">
      <c r="A265" s="39">
        <f>IF(B265="","","PRJ-"&amp;TEXT(ROW()-4,"000"))</f>
        <v/>
      </c>
      <c r="B265" s="40" t="n"/>
      <c r="C265" s="40" t="n"/>
      <c r="D265" s="40" t="n"/>
      <c r="E265" s="40" t="n"/>
      <c r="F265" s="41" t="n"/>
      <c r="G265" s="42">
        <f>IF(B265="","",IFERROR(INDEX('استلام المواقع'!$D$5:$D$304,MATCH(A265,'استلام المواقع'!$B$5:$B$304,0)),""))</f>
        <v/>
      </c>
      <c r="H265" s="43" t="n"/>
      <c r="I265" s="42">
        <f>IF(OR(G265="",H265=""),"",G265+H265)</f>
        <v/>
      </c>
      <c r="J265" s="44" t="n"/>
      <c r="K265" s="45">
        <f>IF(OR(I265="",H265=0),"",MAX(0,MIN(1,(IF(P265&lt;&gt;"",P265,TODAY())-G265)/H265)))</f>
        <v/>
      </c>
      <c r="L265" s="46">
        <f>IF(B265="","",SUMIFS('المستخلصات'!$N$5:$N$304,'المستخلصات'!$B$5:$B$304,A265))</f>
        <v/>
      </c>
      <c r="M265" s="46">
        <f>IF(B265="","",SUMIFS('سندات القبض'!$K$5:$K$304,'سندات القبض'!$D$5:$D$304,A265))</f>
        <v/>
      </c>
      <c r="N265" s="46">
        <f>IF(B265="","",SUMIFS('سندات الصرف'!$L$5:$L$304,'سندات الصرف'!$D$5:$D$304,A265))</f>
        <v/>
      </c>
      <c r="O265" s="46">
        <f>IF(B265="","",M265-N265)</f>
        <v/>
      </c>
      <c r="P265" s="47" t="n"/>
      <c r="Q265" s="47" t="n"/>
      <c r="R265" s="48">
        <f>IF(B265="","",COUNTIFS('اعتماد المواد'!$B$5:$B$304,A265,'اعتماد المواد'!$M$5:$M$304,"قيد المراجعة"))</f>
        <v/>
      </c>
      <c r="S265" s="48">
        <f>IF(B265="","",COUNTIFS('عدم المطابقة'!$C$5:$C$304,A265,'عدم المطابقة'!$L$5:$L$304,"مفتوح*"))</f>
        <v/>
      </c>
      <c r="T265" s="48">
        <f>IF(B265="","",COUNTIFS('ملاحظات التسليم'!$B$5:$B$304,A265,'ملاحظات التسليم'!$K$5:$K$304,"مفتوح*"))</f>
        <v/>
      </c>
      <c r="U265" s="49">
        <f>IF(B265="","",IF(Q265&lt;&gt;"","مسلّم نهائياً",IF(P265&lt;&gt;"","فترة الضمان",IF(G265="","بانتظار استلام الموقع",IF(TODAY()&gt;I265,"متأخر عن التعاقد",IF(J265&lt;K265-0.1,"متأخر عن الخطة","جاري التنفيذ"))))))</f>
        <v/>
      </c>
    </row>
    <row r="266">
      <c r="A266" s="39">
        <f>IF(B266="","","PRJ-"&amp;TEXT(ROW()-4,"000"))</f>
        <v/>
      </c>
      <c r="B266" s="40" t="n"/>
      <c r="C266" s="40" t="n"/>
      <c r="D266" s="40" t="n"/>
      <c r="E266" s="40" t="n"/>
      <c r="F266" s="41" t="n"/>
      <c r="G266" s="42">
        <f>IF(B266="","",IFERROR(INDEX('استلام المواقع'!$D$5:$D$304,MATCH(A266,'استلام المواقع'!$B$5:$B$304,0)),""))</f>
        <v/>
      </c>
      <c r="H266" s="43" t="n"/>
      <c r="I266" s="42">
        <f>IF(OR(G266="",H266=""),"",G266+H266)</f>
        <v/>
      </c>
      <c r="J266" s="44" t="n"/>
      <c r="K266" s="45">
        <f>IF(OR(I266="",H266=0),"",MAX(0,MIN(1,(IF(P266&lt;&gt;"",P266,TODAY())-G266)/H266)))</f>
        <v/>
      </c>
      <c r="L266" s="46">
        <f>IF(B266="","",SUMIFS('المستخلصات'!$N$5:$N$304,'المستخلصات'!$B$5:$B$304,A266))</f>
        <v/>
      </c>
      <c r="M266" s="46">
        <f>IF(B266="","",SUMIFS('سندات القبض'!$K$5:$K$304,'سندات القبض'!$D$5:$D$304,A266))</f>
        <v/>
      </c>
      <c r="N266" s="46">
        <f>IF(B266="","",SUMIFS('سندات الصرف'!$L$5:$L$304,'سندات الصرف'!$D$5:$D$304,A266))</f>
        <v/>
      </c>
      <c r="O266" s="46">
        <f>IF(B266="","",M266-N266)</f>
        <v/>
      </c>
      <c r="P266" s="47" t="n"/>
      <c r="Q266" s="47" t="n"/>
      <c r="R266" s="48">
        <f>IF(B266="","",COUNTIFS('اعتماد المواد'!$B$5:$B$304,A266,'اعتماد المواد'!$M$5:$M$304,"قيد المراجعة"))</f>
        <v/>
      </c>
      <c r="S266" s="48">
        <f>IF(B266="","",COUNTIFS('عدم المطابقة'!$C$5:$C$304,A266,'عدم المطابقة'!$L$5:$L$304,"مفتوح*"))</f>
        <v/>
      </c>
      <c r="T266" s="48">
        <f>IF(B266="","",COUNTIFS('ملاحظات التسليم'!$B$5:$B$304,A266,'ملاحظات التسليم'!$K$5:$K$304,"مفتوح*"))</f>
        <v/>
      </c>
      <c r="U266" s="49">
        <f>IF(B266="","",IF(Q266&lt;&gt;"","مسلّم نهائياً",IF(P266&lt;&gt;"","فترة الضمان",IF(G266="","بانتظار استلام الموقع",IF(TODAY()&gt;I266,"متأخر عن التعاقد",IF(J266&lt;K266-0.1,"متأخر عن الخطة","جاري التنفيذ"))))))</f>
        <v/>
      </c>
    </row>
    <row r="267">
      <c r="A267" s="39">
        <f>IF(B267="","","PRJ-"&amp;TEXT(ROW()-4,"000"))</f>
        <v/>
      </c>
      <c r="B267" s="40" t="n"/>
      <c r="C267" s="40" t="n"/>
      <c r="D267" s="40" t="n"/>
      <c r="E267" s="40" t="n"/>
      <c r="F267" s="41" t="n"/>
      <c r="G267" s="42">
        <f>IF(B267="","",IFERROR(INDEX('استلام المواقع'!$D$5:$D$304,MATCH(A267,'استلام المواقع'!$B$5:$B$304,0)),""))</f>
        <v/>
      </c>
      <c r="H267" s="43" t="n"/>
      <c r="I267" s="42">
        <f>IF(OR(G267="",H267=""),"",G267+H267)</f>
        <v/>
      </c>
      <c r="J267" s="44" t="n"/>
      <c r="K267" s="45">
        <f>IF(OR(I267="",H267=0),"",MAX(0,MIN(1,(IF(P267&lt;&gt;"",P267,TODAY())-G267)/H267)))</f>
        <v/>
      </c>
      <c r="L267" s="46">
        <f>IF(B267="","",SUMIFS('المستخلصات'!$N$5:$N$304,'المستخلصات'!$B$5:$B$304,A267))</f>
        <v/>
      </c>
      <c r="M267" s="46">
        <f>IF(B267="","",SUMIFS('سندات القبض'!$K$5:$K$304,'سندات القبض'!$D$5:$D$304,A267))</f>
        <v/>
      </c>
      <c r="N267" s="46">
        <f>IF(B267="","",SUMIFS('سندات الصرف'!$L$5:$L$304,'سندات الصرف'!$D$5:$D$304,A267))</f>
        <v/>
      </c>
      <c r="O267" s="46">
        <f>IF(B267="","",M267-N267)</f>
        <v/>
      </c>
      <c r="P267" s="47" t="n"/>
      <c r="Q267" s="47" t="n"/>
      <c r="R267" s="48">
        <f>IF(B267="","",COUNTIFS('اعتماد المواد'!$B$5:$B$304,A267,'اعتماد المواد'!$M$5:$M$304,"قيد المراجعة"))</f>
        <v/>
      </c>
      <c r="S267" s="48">
        <f>IF(B267="","",COUNTIFS('عدم المطابقة'!$C$5:$C$304,A267,'عدم المطابقة'!$L$5:$L$304,"مفتوح*"))</f>
        <v/>
      </c>
      <c r="T267" s="48">
        <f>IF(B267="","",COUNTIFS('ملاحظات التسليم'!$B$5:$B$304,A267,'ملاحظات التسليم'!$K$5:$K$304,"مفتوح*"))</f>
        <v/>
      </c>
      <c r="U267" s="49">
        <f>IF(B267="","",IF(Q267&lt;&gt;"","مسلّم نهائياً",IF(P267&lt;&gt;"","فترة الضمان",IF(G267="","بانتظار استلام الموقع",IF(TODAY()&gt;I267,"متأخر عن التعاقد",IF(J267&lt;K267-0.1,"متأخر عن الخطة","جاري التنفيذ"))))))</f>
        <v/>
      </c>
    </row>
    <row r="268">
      <c r="A268" s="39">
        <f>IF(B268="","","PRJ-"&amp;TEXT(ROW()-4,"000"))</f>
        <v/>
      </c>
      <c r="B268" s="40" t="n"/>
      <c r="C268" s="40" t="n"/>
      <c r="D268" s="40" t="n"/>
      <c r="E268" s="40" t="n"/>
      <c r="F268" s="41" t="n"/>
      <c r="G268" s="42">
        <f>IF(B268="","",IFERROR(INDEX('استلام المواقع'!$D$5:$D$304,MATCH(A268,'استلام المواقع'!$B$5:$B$304,0)),""))</f>
        <v/>
      </c>
      <c r="H268" s="43" t="n"/>
      <c r="I268" s="42">
        <f>IF(OR(G268="",H268=""),"",G268+H268)</f>
        <v/>
      </c>
      <c r="J268" s="44" t="n"/>
      <c r="K268" s="45">
        <f>IF(OR(I268="",H268=0),"",MAX(0,MIN(1,(IF(P268&lt;&gt;"",P268,TODAY())-G268)/H268)))</f>
        <v/>
      </c>
      <c r="L268" s="46">
        <f>IF(B268="","",SUMIFS('المستخلصات'!$N$5:$N$304,'المستخلصات'!$B$5:$B$304,A268))</f>
        <v/>
      </c>
      <c r="M268" s="46">
        <f>IF(B268="","",SUMIFS('سندات القبض'!$K$5:$K$304,'سندات القبض'!$D$5:$D$304,A268))</f>
        <v/>
      </c>
      <c r="N268" s="46">
        <f>IF(B268="","",SUMIFS('سندات الصرف'!$L$5:$L$304,'سندات الصرف'!$D$5:$D$304,A268))</f>
        <v/>
      </c>
      <c r="O268" s="46">
        <f>IF(B268="","",M268-N268)</f>
        <v/>
      </c>
      <c r="P268" s="47" t="n"/>
      <c r="Q268" s="47" t="n"/>
      <c r="R268" s="48">
        <f>IF(B268="","",COUNTIFS('اعتماد المواد'!$B$5:$B$304,A268,'اعتماد المواد'!$M$5:$M$304,"قيد المراجعة"))</f>
        <v/>
      </c>
      <c r="S268" s="48">
        <f>IF(B268="","",COUNTIFS('عدم المطابقة'!$C$5:$C$304,A268,'عدم المطابقة'!$L$5:$L$304,"مفتوح*"))</f>
        <v/>
      </c>
      <c r="T268" s="48">
        <f>IF(B268="","",COUNTIFS('ملاحظات التسليم'!$B$5:$B$304,A268,'ملاحظات التسليم'!$K$5:$K$304,"مفتوح*"))</f>
        <v/>
      </c>
      <c r="U268" s="49">
        <f>IF(B268="","",IF(Q268&lt;&gt;"","مسلّم نهائياً",IF(P268&lt;&gt;"","فترة الضمان",IF(G268="","بانتظار استلام الموقع",IF(TODAY()&gt;I268,"متأخر عن التعاقد",IF(J268&lt;K268-0.1,"متأخر عن الخطة","جاري التنفيذ"))))))</f>
        <v/>
      </c>
    </row>
    <row r="269">
      <c r="A269" s="39">
        <f>IF(B269="","","PRJ-"&amp;TEXT(ROW()-4,"000"))</f>
        <v/>
      </c>
      <c r="B269" s="40" t="n"/>
      <c r="C269" s="40" t="n"/>
      <c r="D269" s="40" t="n"/>
      <c r="E269" s="40" t="n"/>
      <c r="F269" s="41" t="n"/>
      <c r="G269" s="42">
        <f>IF(B269="","",IFERROR(INDEX('استلام المواقع'!$D$5:$D$304,MATCH(A269,'استلام المواقع'!$B$5:$B$304,0)),""))</f>
        <v/>
      </c>
      <c r="H269" s="43" t="n"/>
      <c r="I269" s="42">
        <f>IF(OR(G269="",H269=""),"",G269+H269)</f>
        <v/>
      </c>
      <c r="J269" s="44" t="n"/>
      <c r="K269" s="45">
        <f>IF(OR(I269="",H269=0),"",MAX(0,MIN(1,(IF(P269&lt;&gt;"",P269,TODAY())-G269)/H269)))</f>
        <v/>
      </c>
      <c r="L269" s="46">
        <f>IF(B269="","",SUMIFS('المستخلصات'!$N$5:$N$304,'المستخلصات'!$B$5:$B$304,A269))</f>
        <v/>
      </c>
      <c r="M269" s="46">
        <f>IF(B269="","",SUMIFS('سندات القبض'!$K$5:$K$304,'سندات القبض'!$D$5:$D$304,A269))</f>
        <v/>
      </c>
      <c r="N269" s="46">
        <f>IF(B269="","",SUMIFS('سندات الصرف'!$L$5:$L$304,'سندات الصرف'!$D$5:$D$304,A269))</f>
        <v/>
      </c>
      <c r="O269" s="46">
        <f>IF(B269="","",M269-N269)</f>
        <v/>
      </c>
      <c r="P269" s="47" t="n"/>
      <c r="Q269" s="47" t="n"/>
      <c r="R269" s="48">
        <f>IF(B269="","",COUNTIFS('اعتماد المواد'!$B$5:$B$304,A269,'اعتماد المواد'!$M$5:$M$304,"قيد المراجعة"))</f>
        <v/>
      </c>
      <c r="S269" s="48">
        <f>IF(B269="","",COUNTIFS('عدم المطابقة'!$C$5:$C$304,A269,'عدم المطابقة'!$L$5:$L$304,"مفتوح*"))</f>
        <v/>
      </c>
      <c r="T269" s="48">
        <f>IF(B269="","",COUNTIFS('ملاحظات التسليم'!$B$5:$B$304,A269,'ملاحظات التسليم'!$K$5:$K$304,"مفتوح*"))</f>
        <v/>
      </c>
      <c r="U269" s="49">
        <f>IF(B269="","",IF(Q269&lt;&gt;"","مسلّم نهائياً",IF(P269&lt;&gt;"","فترة الضمان",IF(G269="","بانتظار استلام الموقع",IF(TODAY()&gt;I269,"متأخر عن التعاقد",IF(J269&lt;K269-0.1,"متأخر عن الخطة","جاري التنفيذ"))))))</f>
        <v/>
      </c>
    </row>
    <row r="270">
      <c r="A270" s="39">
        <f>IF(B270="","","PRJ-"&amp;TEXT(ROW()-4,"000"))</f>
        <v/>
      </c>
      <c r="B270" s="40" t="n"/>
      <c r="C270" s="40" t="n"/>
      <c r="D270" s="40" t="n"/>
      <c r="E270" s="40" t="n"/>
      <c r="F270" s="41" t="n"/>
      <c r="G270" s="42">
        <f>IF(B270="","",IFERROR(INDEX('استلام المواقع'!$D$5:$D$304,MATCH(A270,'استلام المواقع'!$B$5:$B$304,0)),""))</f>
        <v/>
      </c>
      <c r="H270" s="43" t="n"/>
      <c r="I270" s="42">
        <f>IF(OR(G270="",H270=""),"",G270+H270)</f>
        <v/>
      </c>
      <c r="J270" s="44" t="n"/>
      <c r="K270" s="45">
        <f>IF(OR(I270="",H270=0),"",MAX(0,MIN(1,(IF(P270&lt;&gt;"",P270,TODAY())-G270)/H270)))</f>
        <v/>
      </c>
      <c r="L270" s="46">
        <f>IF(B270="","",SUMIFS('المستخلصات'!$N$5:$N$304,'المستخلصات'!$B$5:$B$304,A270))</f>
        <v/>
      </c>
      <c r="M270" s="46">
        <f>IF(B270="","",SUMIFS('سندات القبض'!$K$5:$K$304,'سندات القبض'!$D$5:$D$304,A270))</f>
        <v/>
      </c>
      <c r="N270" s="46">
        <f>IF(B270="","",SUMIFS('سندات الصرف'!$L$5:$L$304,'سندات الصرف'!$D$5:$D$304,A270))</f>
        <v/>
      </c>
      <c r="O270" s="46">
        <f>IF(B270="","",M270-N270)</f>
        <v/>
      </c>
      <c r="P270" s="47" t="n"/>
      <c r="Q270" s="47" t="n"/>
      <c r="R270" s="48">
        <f>IF(B270="","",COUNTIFS('اعتماد المواد'!$B$5:$B$304,A270,'اعتماد المواد'!$M$5:$M$304,"قيد المراجعة"))</f>
        <v/>
      </c>
      <c r="S270" s="48">
        <f>IF(B270="","",COUNTIFS('عدم المطابقة'!$C$5:$C$304,A270,'عدم المطابقة'!$L$5:$L$304,"مفتوح*"))</f>
        <v/>
      </c>
      <c r="T270" s="48">
        <f>IF(B270="","",COUNTIFS('ملاحظات التسليم'!$B$5:$B$304,A270,'ملاحظات التسليم'!$K$5:$K$304,"مفتوح*"))</f>
        <v/>
      </c>
      <c r="U270" s="49">
        <f>IF(B270="","",IF(Q270&lt;&gt;"","مسلّم نهائياً",IF(P270&lt;&gt;"","فترة الضمان",IF(G270="","بانتظار استلام الموقع",IF(TODAY()&gt;I270,"متأخر عن التعاقد",IF(J270&lt;K270-0.1,"متأخر عن الخطة","جاري التنفيذ"))))))</f>
        <v/>
      </c>
    </row>
    <row r="271">
      <c r="A271" s="39">
        <f>IF(B271="","","PRJ-"&amp;TEXT(ROW()-4,"000"))</f>
        <v/>
      </c>
      <c r="B271" s="40" t="n"/>
      <c r="C271" s="40" t="n"/>
      <c r="D271" s="40" t="n"/>
      <c r="E271" s="40" t="n"/>
      <c r="F271" s="41" t="n"/>
      <c r="G271" s="42">
        <f>IF(B271="","",IFERROR(INDEX('استلام المواقع'!$D$5:$D$304,MATCH(A271,'استلام المواقع'!$B$5:$B$304,0)),""))</f>
        <v/>
      </c>
      <c r="H271" s="43" t="n"/>
      <c r="I271" s="42">
        <f>IF(OR(G271="",H271=""),"",G271+H271)</f>
        <v/>
      </c>
      <c r="J271" s="44" t="n"/>
      <c r="K271" s="45">
        <f>IF(OR(I271="",H271=0),"",MAX(0,MIN(1,(IF(P271&lt;&gt;"",P271,TODAY())-G271)/H271)))</f>
        <v/>
      </c>
      <c r="L271" s="46">
        <f>IF(B271="","",SUMIFS('المستخلصات'!$N$5:$N$304,'المستخلصات'!$B$5:$B$304,A271))</f>
        <v/>
      </c>
      <c r="M271" s="46">
        <f>IF(B271="","",SUMIFS('سندات القبض'!$K$5:$K$304,'سندات القبض'!$D$5:$D$304,A271))</f>
        <v/>
      </c>
      <c r="N271" s="46">
        <f>IF(B271="","",SUMIFS('سندات الصرف'!$L$5:$L$304,'سندات الصرف'!$D$5:$D$304,A271))</f>
        <v/>
      </c>
      <c r="O271" s="46">
        <f>IF(B271="","",M271-N271)</f>
        <v/>
      </c>
      <c r="P271" s="47" t="n"/>
      <c r="Q271" s="47" t="n"/>
      <c r="R271" s="48">
        <f>IF(B271="","",COUNTIFS('اعتماد المواد'!$B$5:$B$304,A271,'اعتماد المواد'!$M$5:$M$304,"قيد المراجعة"))</f>
        <v/>
      </c>
      <c r="S271" s="48">
        <f>IF(B271="","",COUNTIFS('عدم المطابقة'!$C$5:$C$304,A271,'عدم المطابقة'!$L$5:$L$304,"مفتوح*"))</f>
        <v/>
      </c>
      <c r="T271" s="48">
        <f>IF(B271="","",COUNTIFS('ملاحظات التسليم'!$B$5:$B$304,A271,'ملاحظات التسليم'!$K$5:$K$304,"مفتوح*"))</f>
        <v/>
      </c>
      <c r="U271" s="49">
        <f>IF(B271="","",IF(Q271&lt;&gt;"","مسلّم نهائياً",IF(P271&lt;&gt;"","فترة الضمان",IF(G271="","بانتظار استلام الموقع",IF(TODAY()&gt;I271,"متأخر عن التعاقد",IF(J271&lt;K271-0.1,"متأخر عن الخطة","جاري التنفيذ"))))))</f>
        <v/>
      </c>
    </row>
    <row r="272">
      <c r="A272" s="39">
        <f>IF(B272="","","PRJ-"&amp;TEXT(ROW()-4,"000"))</f>
        <v/>
      </c>
      <c r="B272" s="40" t="n"/>
      <c r="C272" s="40" t="n"/>
      <c r="D272" s="40" t="n"/>
      <c r="E272" s="40" t="n"/>
      <c r="F272" s="41" t="n"/>
      <c r="G272" s="42">
        <f>IF(B272="","",IFERROR(INDEX('استلام المواقع'!$D$5:$D$304,MATCH(A272,'استلام المواقع'!$B$5:$B$304,0)),""))</f>
        <v/>
      </c>
      <c r="H272" s="43" t="n"/>
      <c r="I272" s="42">
        <f>IF(OR(G272="",H272=""),"",G272+H272)</f>
        <v/>
      </c>
      <c r="J272" s="44" t="n"/>
      <c r="K272" s="45">
        <f>IF(OR(I272="",H272=0),"",MAX(0,MIN(1,(IF(P272&lt;&gt;"",P272,TODAY())-G272)/H272)))</f>
        <v/>
      </c>
      <c r="L272" s="46">
        <f>IF(B272="","",SUMIFS('المستخلصات'!$N$5:$N$304,'المستخلصات'!$B$5:$B$304,A272))</f>
        <v/>
      </c>
      <c r="M272" s="46">
        <f>IF(B272="","",SUMIFS('سندات القبض'!$K$5:$K$304,'سندات القبض'!$D$5:$D$304,A272))</f>
        <v/>
      </c>
      <c r="N272" s="46">
        <f>IF(B272="","",SUMIFS('سندات الصرف'!$L$5:$L$304,'سندات الصرف'!$D$5:$D$304,A272))</f>
        <v/>
      </c>
      <c r="O272" s="46">
        <f>IF(B272="","",M272-N272)</f>
        <v/>
      </c>
      <c r="P272" s="47" t="n"/>
      <c r="Q272" s="47" t="n"/>
      <c r="R272" s="48">
        <f>IF(B272="","",COUNTIFS('اعتماد المواد'!$B$5:$B$304,A272,'اعتماد المواد'!$M$5:$M$304,"قيد المراجعة"))</f>
        <v/>
      </c>
      <c r="S272" s="48">
        <f>IF(B272="","",COUNTIFS('عدم المطابقة'!$C$5:$C$304,A272,'عدم المطابقة'!$L$5:$L$304,"مفتوح*"))</f>
        <v/>
      </c>
      <c r="T272" s="48">
        <f>IF(B272="","",COUNTIFS('ملاحظات التسليم'!$B$5:$B$304,A272,'ملاحظات التسليم'!$K$5:$K$304,"مفتوح*"))</f>
        <v/>
      </c>
      <c r="U272" s="49">
        <f>IF(B272="","",IF(Q272&lt;&gt;"","مسلّم نهائياً",IF(P272&lt;&gt;"","فترة الضمان",IF(G272="","بانتظار استلام الموقع",IF(TODAY()&gt;I272,"متأخر عن التعاقد",IF(J272&lt;K272-0.1,"متأخر عن الخطة","جاري التنفيذ"))))))</f>
        <v/>
      </c>
    </row>
    <row r="273">
      <c r="A273" s="39">
        <f>IF(B273="","","PRJ-"&amp;TEXT(ROW()-4,"000"))</f>
        <v/>
      </c>
      <c r="B273" s="40" t="n"/>
      <c r="C273" s="40" t="n"/>
      <c r="D273" s="40" t="n"/>
      <c r="E273" s="40" t="n"/>
      <c r="F273" s="41" t="n"/>
      <c r="G273" s="42">
        <f>IF(B273="","",IFERROR(INDEX('استلام المواقع'!$D$5:$D$304,MATCH(A273,'استلام المواقع'!$B$5:$B$304,0)),""))</f>
        <v/>
      </c>
      <c r="H273" s="43" t="n"/>
      <c r="I273" s="42">
        <f>IF(OR(G273="",H273=""),"",G273+H273)</f>
        <v/>
      </c>
      <c r="J273" s="44" t="n"/>
      <c r="K273" s="45">
        <f>IF(OR(I273="",H273=0),"",MAX(0,MIN(1,(IF(P273&lt;&gt;"",P273,TODAY())-G273)/H273)))</f>
        <v/>
      </c>
      <c r="L273" s="46">
        <f>IF(B273="","",SUMIFS('المستخلصات'!$N$5:$N$304,'المستخلصات'!$B$5:$B$304,A273))</f>
        <v/>
      </c>
      <c r="M273" s="46">
        <f>IF(B273="","",SUMIFS('سندات القبض'!$K$5:$K$304,'سندات القبض'!$D$5:$D$304,A273))</f>
        <v/>
      </c>
      <c r="N273" s="46">
        <f>IF(B273="","",SUMIFS('سندات الصرف'!$L$5:$L$304,'سندات الصرف'!$D$5:$D$304,A273))</f>
        <v/>
      </c>
      <c r="O273" s="46">
        <f>IF(B273="","",M273-N273)</f>
        <v/>
      </c>
      <c r="P273" s="47" t="n"/>
      <c r="Q273" s="47" t="n"/>
      <c r="R273" s="48">
        <f>IF(B273="","",COUNTIFS('اعتماد المواد'!$B$5:$B$304,A273,'اعتماد المواد'!$M$5:$M$304,"قيد المراجعة"))</f>
        <v/>
      </c>
      <c r="S273" s="48">
        <f>IF(B273="","",COUNTIFS('عدم المطابقة'!$C$5:$C$304,A273,'عدم المطابقة'!$L$5:$L$304,"مفتوح*"))</f>
        <v/>
      </c>
      <c r="T273" s="48">
        <f>IF(B273="","",COUNTIFS('ملاحظات التسليم'!$B$5:$B$304,A273,'ملاحظات التسليم'!$K$5:$K$304,"مفتوح*"))</f>
        <v/>
      </c>
      <c r="U273" s="49">
        <f>IF(B273="","",IF(Q273&lt;&gt;"","مسلّم نهائياً",IF(P273&lt;&gt;"","فترة الضمان",IF(G273="","بانتظار استلام الموقع",IF(TODAY()&gt;I273,"متأخر عن التعاقد",IF(J273&lt;K273-0.1,"متأخر عن الخطة","جاري التنفيذ"))))))</f>
        <v/>
      </c>
    </row>
    <row r="274">
      <c r="A274" s="39">
        <f>IF(B274="","","PRJ-"&amp;TEXT(ROW()-4,"000"))</f>
        <v/>
      </c>
      <c r="B274" s="40" t="n"/>
      <c r="C274" s="40" t="n"/>
      <c r="D274" s="40" t="n"/>
      <c r="E274" s="40" t="n"/>
      <c r="F274" s="41" t="n"/>
      <c r="G274" s="42">
        <f>IF(B274="","",IFERROR(INDEX('استلام المواقع'!$D$5:$D$304,MATCH(A274,'استلام المواقع'!$B$5:$B$304,0)),""))</f>
        <v/>
      </c>
      <c r="H274" s="43" t="n"/>
      <c r="I274" s="42">
        <f>IF(OR(G274="",H274=""),"",G274+H274)</f>
        <v/>
      </c>
      <c r="J274" s="44" t="n"/>
      <c r="K274" s="45">
        <f>IF(OR(I274="",H274=0),"",MAX(0,MIN(1,(IF(P274&lt;&gt;"",P274,TODAY())-G274)/H274)))</f>
        <v/>
      </c>
      <c r="L274" s="46">
        <f>IF(B274="","",SUMIFS('المستخلصات'!$N$5:$N$304,'المستخلصات'!$B$5:$B$304,A274))</f>
        <v/>
      </c>
      <c r="M274" s="46">
        <f>IF(B274="","",SUMIFS('سندات القبض'!$K$5:$K$304,'سندات القبض'!$D$5:$D$304,A274))</f>
        <v/>
      </c>
      <c r="N274" s="46">
        <f>IF(B274="","",SUMIFS('سندات الصرف'!$L$5:$L$304,'سندات الصرف'!$D$5:$D$304,A274))</f>
        <v/>
      </c>
      <c r="O274" s="46">
        <f>IF(B274="","",M274-N274)</f>
        <v/>
      </c>
      <c r="P274" s="47" t="n"/>
      <c r="Q274" s="47" t="n"/>
      <c r="R274" s="48">
        <f>IF(B274="","",COUNTIFS('اعتماد المواد'!$B$5:$B$304,A274,'اعتماد المواد'!$M$5:$M$304,"قيد المراجعة"))</f>
        <v/>
      </c>
      <c r="S274" s="48">
        <f>IF(B274="","",COUNTIFS('عدم المطابقة'!$C$5:$C$304,A274,'عدم المطابقة'!$L$5:$L$304,"مفتوح*"))</f>
        <v/>
      </c>
      <c r="T274" s="48">
        <f>IF(B274="","",COUNTIFS('ملاحظات التسليم'!$B$5:$B$304,A274,'ملاحظات التسليم'!$K$5:$K$304,"مفتوح*"))</f>
        <v/>
      </c>
      <c r="U274" s="49">
        <f>IF(B274="","",IF(Q274&lt;&gt;"","مسلّم نهائياً",IF(P274&lt;&gt;"","فترة الضمان",IF(G274="","بانتظار استلام الموقع",IF(TODAY()&gt;I274,"متأخر عن التعاقد",IF(J274&lt;K274-0.1,"متأخر عن الخطة","جاري التنفيذ"))))))</f>
        <v/>
      </c>
    </row>
    <row r="275">
      <c r="A275" s="39">
        <f>IF(B275="","","PRJ-"&amp;TEXT(ROW()-4,"000"))</f>
        <v/>
      </c>
      <c r="B275" s="40" t="n"/>
      <c r="C275" s="40" t="n"/>
      <c r="D275" s="40" t="n"/>
      <c r="E275" s="40" t="n"/>
      <c r="F275" s="41" t="n"/>
      <c r="G275" s="42">
        <f>IF(B275="","",IFERROR(INDEX('استلام المواقع'!$D$5:$D$304,MATCH(A275,'استلام المواقع'!$B$5:$B$304,0)),""))</f>
        <v/>
      </c>
      <c r="H275" s="43" t="n"/>
      <c r="I275" s="42">
        <f>IF(OR(G275="",H275=""),"",G275+H275)</f>
        <v/>
      </c>
      <c r="J275" s="44" t="n"/>
      <c r="K275" s="45">
        <f>IF(OR(I275="",H275=0),"",MAX(0,MIN(1,(IF(P275&lt;&gt;"",P275,TODAY())-G275)/H275)))</f>
        <v/>
      </c>
      <c r="L275" s="46">
        <f>IF(B275="","",SUMIFS('المستخلصات'!$N$5:$N$304,'المستخلصات'!$B$5:$B$304,A275))</f>
        <v/>
      </c>
      <c r="M275" s="46">
        <f>IF(B275="","",SUMIFS('سندات القبض'!$K$5:$K$304,'سندات القبض'!$D$5:$D$304,A275))</f>
        <v/>
      </c>
      <c r="N275" s="46">
        <f>IF(B275="","",SUMIFS('سندات الصرف'!$L$5:$L$304,'سندات الصرف'!$D$5:$D$304,A275))</f>
        <v/>
      </c>
      <c r="O275" s="46">
        <f>IF(B275="","",M275-N275)</f>
        <v/>
      </c>
      <c r="P275" s="47" t="n"/>
      <c r="Q275" s="47" t="n"/>
      <c r="R275" s="48">
        <f>IF(B275="","",COUNTIFS('اعتماد المواد'!$B$5:$B$304,A275,'اعتماد المواد'!$M$5:$M$304,"قيد المراجعة"))</f>
        <v/>
      </c>
      <c r="S275" s="48">
        <f>IF(B275="","",COUNTIFS('عدم المطابقة'!$C$5:$C$304,A275,'عدم المطابقة'!$L$5:$L$304,"مفتوح*"))</f>
        <v/>
      </c>
      <c r="T275" s="48">
        <f>IF(B275="","",COUNTIFS('ملاحظات التسليم'!$B$5:$B$304,A275,'ملاحظات التسليم'!$K$5:$K$304,"مفتوح*"))</f>
        <v/>
      </c>
      <c r="U275" s="49">
        <f>IF(B275="","",IF(Q275&lt;&gt;"","مسلّم نهائياً",IF(P275&lt;&gt;"","فترة الضمان",IF(G275="","بانتظار استلام الموقع",IF(TODAY()&gt;I275,"متأخر عن التعاقد",IF(J275&lt;K275-0.1,"متأخر عن الخطة","جاري التنفيذ"))))))</f>
        <v/>
      </c>
    </row>
    <row r="276">
      <c r="A276" s="39">
        <f>IF(B276="","","PRJ-"&amp;TEXT(ROW()-4,"000"))</f>
        <v/>
      </c>
      <c r="B276" s="40" t="n"/>
      <c r="C276" s="40" t="n"/>
      <c r="D276" s="40" t="n"/>
      <c r="E276" s="40" t="n"/>
      <c r="F276" s="41" t="n"/>
      <c r="G276" s="42">
        <f>IF(B276="","",IFERROR(INDEX('استلام المواقع'!$D$5:$D$304,MATCH(A276,'استلام المواقع'!$B$5:$B$304,0)),""))</f>
        <v/>
      </c>
      <c r="H276" s="43" t="n"/>
      <c r="I276" s="42">
        <f>IF(OR(G276="",H276=""),"",G276+H276)</f>
        <v/>
      </c>
      <c r="J276" s="44" t="n"/>
      <c r="K276" s="45">
        <f>IF(OR(I276="",H276=0),"",MAX(0,MIN(1,(IF(P276&lt;&gt;"",P276,TODAY())-G276)/H276)))</f>
        <v/>
      </c>
      <c r="L276" s="46">
        <f>IF(B276="","",SUMIFS('المستخلصات'!$N$5:$N$304,'المستخلصات'!$B$5:$B$304,A276))</f>
        <v/>
      </c>
      <c r="M276" s="46">
        <f>IF(B276="","",SUMIFS('سندات القبض'!$K$5:$K$304,'سندات القبض'!$D$5:$D$304,A276))</f>
        <v/>
      </c>
      <c r="N276" s="46">
        <f>IF(B276="","",SUMIFS('سندات الصرف'!$L$5:$L$304,'سندات الصرف'!$D$5:$D$304,A276))</f>
        <v/>
      </c>
      <c r="O276" s="46">
        <f>IF(B276="","",M276-N276)</f>
        <v/>
      </c>
      <c r="P276" s="47" t="n"/>
      <c r="Q276" s="47" t="n"/>
      <c r="R276" s="48">
        <f>IF(B276="","",COUNTIFS('اعتماد المواد'!$B$5:$B$304,A276,'اعتماد المواد'!$M$5:$M$304,"قيد المراجعة"))</f>
        <v/>
      </c>
      <c r="S276" s="48">
        <f>IF(B276="","",COUNTIFS('عدم المطابقة'!$C$5:$C$304,A276,'عدم المطابقة'!$L$5:$L$304,"مفتوح*"))</f>
        <v/>
      </c>
      <c r="T276" s="48">
        <f>IF(B276="","",COUNTIFS('ملاحظات التسليم'!$B$5:$B$304,A276,'ملاحظات التسليم'!$K$5:$K$304,"مفتوح*"))</f>
        <v/>
      </c>
      <c r="U276" s="49">
        <f>IF(B276="","",IF(Q276&lt;&gt;"","مسلّم نهائياً",IF(P276&lt;&gt;"","فترة الضمان",IF(G276="","بانتظار استلام الموقع",IF(TODAY()&gt;I276,"متأخر عن التعاقد",IF(J276&lt;K276-0.1,"متأخر عن الخطة","جاري التنفيذ"))))))</f>
        <v/>
      </c>
    </row>
    <row r="277">
      <c r="A277" s="39">
        <f>IF(B277="","","PRJ-"&amp;TEXT(ROW()-4,"000"))</f>
        <v/>
      </c>
      <c r="B277" s="40" t="n"/>
      <c r="C277" s="40" t="n"/>
      <c r="D277" s="40" t="n"/>
      <c r="E277" s="40" t="n"/>
      <c r="F277" s="41" t="n"/>
      <c r="G277" s="42">
        <f>IF(B277="","",IFERROR(INDEX('استلام المواقع'!$D$5:$D$304,MATCH(A277,'استلام المواقع'!$B$5:$B$304,0)),""))</f>
        <v/>
      </c>
      <c r="H277" s="43" t="n"/>
      <c r="I277" s="42">
        <f>IF(OR(G277="",H277=""),"",G277+H277)</f>
        <v/>
      </c>
      <c r="J277" s="44" t="n"/>
      <c r="K277" s="45">
        <f>IF(OR(I277="",H277=0),"",MAX(0,MIN(1,(IF(P277&lt;&gt;"",P277,TODAY())-G277)/H277)))</f>
        <v/>
      </c>
      <c r="L277" s="46">
        <f>IF(B277="","",SUMIFS('المستخلصات'!$N$5:$N$304,'المستخلصات'!$B$5:$B$304,A277))</f>
        <v/>
      </c>
      <c r="M277" s="46">
        <f>IF(B277="","",SUMIFS('سندات القبض'!$K$5:$K$304,'سندات القبض'!$D$5:$D$304,A277))</f>
        <v/>
      </c>
      <c r="N277" s="46">
        <f>IF(B277="","",SUMIFS('سندات الصرف'!$L$5:$L$304,'سندات الصرف'!$D$5:$D$304,A277))</f>
        <v/>
      </c>
      <c r="O277" s="46">
        <f>IF(B277="","",M277-N277)</f>
        <v/>
      </c>
      <c r="P277" s="47" t="n"/>
      <c r="Q277" s="47" t="n"/>
      <c r="R277" s="48">
        <f>IF(B277="","",COUNTIFS('اعتماد المواد'!$B$5:$B$304,A277,'اعتماد المواد'!$M$5:$M$304,"قيد المراجعة"))</f>
        <v/>
      </c>
      <c r="S277" s="48">
        <f>IF(B277="","",COUNTIFS('عدم المطابقة'!$C$5:$C$304,A277,'عدم المطابقة'!$L$5:$L$304,"مفتوح*"))</f>
        <v/>
      </c>
      <c r="T277" s="48">
        <f>IF(B277="","",COUNTIFS('ملاحظات التسليم'!$B$5:$B$304,A277,'ملاحظات التسليم'!$K$5:$K$304,"مفتوح*"))</f>
        <v/>
      </c>
      <c r="U277" s="49">
        <f>IF(B277="","",IF(Q277&lt;&gt;"","مسلّم نهائياً",IF(P277&lt;&gt;"","فترة الضمان",IF(G277="","بانتظار استلام الموقع",IF(TODAY()&gt;I277,"متأخر عن التعاقد",IF(J277&lt;K277-0.1,"متأخر عن الخطة","جاري التنفيذ"))))))</f>
        <v/>
      </c>
    </row>
    <row r="278">
      <c r="A278" s="39">
        <f>IF(B278="","","PRJ-"&amp;TEXT(ROW()-4,"000"))</f>
        <v/>
      </c>
      <c r="B278" s="40" t="n"/>
      <c r="C278" s="40" t="n"/>
      <c r="D278" s="40" t="n"/>
      <c r="E278" s="40" t="n"/>
      <c r="F278" s="41" t="n"/>
      <c r="G278" s="42">
        <f>IF(B278="","",IFERROR(INDEX('استلام المواقع'!$D$5:$D$304,MATCH(A278,'استلام المواقع'!$B$5:$B$304,0)),""))</f>
        <v/>
      </c>
      <c r="H278" s="43" t="n"/>
      <c r="I278" s="42">
        <f>IF(OR(G278="",H278=""),"",G278+H278)</f>
        <v/>
      </c>
      <c r="J278" s="44" t="n"/>
      <c r="K278" s="45">
        <f>IF(OR(I278="",H278=0),"",MAX(0,MIN(1,(IF(P278&lt;&gt;"",P278,TODAY())-G278)/H278)))</f>
        <v/>
      </c>
      <c r="L278" s="46">
        <f>IF(B278="","",SUMIFS('المستخلصات'!$N$5:$N$304,'المستخلصات'!$B$5:$B$304,A278))</f>
        <v/>
      </c>
      <c r="M278" s="46">
        <f>IF(B278="","",SUMIFS('سندات القبض'!$K$5:$K$304,'سندات القبض'!$D$5:$D$304,A278))</f>
        <v/>
      </c>
      <c r="N278" s="46">
        <f>IF(B278="","",SUMIFS('سندات الصرف'!$L$5:$L$304,'سندات الصرف'!$D$5:$D$304,A278))</f>
        <v/>
      </c>
      <c r="O278" s="46">
        <f>IF(B278="","",M278-N278)</f>
        <v/>
      </c>
      <c r="P278" s="47" t="n"/>
      <c r="Q278" s="47" t="n"/>
      <c r="R278" s="48">
        <f>IF(B278="","",COUNTIFS('اعتماد المواد'!$B$5:$B$304,A278,'اعتماد المواد'!$M$5:$M$304,"قيد المراجعة"))</f>
        <v/>
      </c>
      <c r="S278" s="48">
        <f>IF(B278="","",COUNTIFS('عدم المطابقة'!$C$5:$C$304,A278,'عدم المطابقة'!$L$5:$L$304,"مفتوح*"))</f>
        <v/>
      </c>
      <c r="T278" s="48">
        <f>IF(B278="","",COUNTIFS('ملاحظات التسليم'!$B$5:$B$304,A278,'ملاحظات التسليم'!$K$5:$K$304,"مفتوح*"))</f>
        <v/>
      </c>
      <c r="U278" s="49">
        <f>IF(B278="","",IF(Q278&lt;&gt;"","مسلّم نهائياً",IF(P278&lt;&gt;"","فترة الضمان",IF(G278="","بانتظار استلام الموقع",IF(TODAY()&gt;I278,"متأخر عن التعاقد",IF(J278&lt;K278-0.1,"متأخر عن الخطة","جاري التنفيذ"))))))</f>
        <v/>
      </c>
    </row>
    <row r="279">
      <c r="A279" s="39">
        <f>IF(B279="","","PRJ-"&amp;TEXT(ROW()-4,"000"))</f>
        <v/>
      </c>
      <c r="B279" s="40" t="n"/>
      <c r="C279" s="40" t="n"/>
      <c r="D279" s="40" t="n"/>
      <c r="E279" s="40" t="n"/>
      <c r="F279" s="41" t="n"/>
      <c r="G279" s="42">
        <f>IF(B279="","",IFERROR(INDEX('استلام المواقع'!$D$5:$D$304,MATCH(A279,'استلام المواقع'!$B$5:$B$304,0)),""))</f>
        <v/>
      </c>
      <c r="H279" s="43" t="n"/>
      <c r="I279" s="42">
        <f>IF(OR(G279="",H279=""),"",G279+H279)</f>
        <v/>
      </c>
      <c r="J279" s="44" t="n"/>
      <c r="K279" s="45">
        <f>IF(OR(I279="",H279=0),"",MAX(0,MIN(1,(IF(P279&lt;&gt;"",P279,TODAY())-G279)/H279)))</f>
        <v/>
      </c>
      <c r="L279" s="46">
        <f>IF(B279="","",SUMIFS('المستخلصات'!$N$5:$N$304,'المستخلصات'!$B$5:$B$304,A279))</f>
        <v/>
      </c>
      <c r="M279" s="46">
        <f>IF(B279="","",SUMIFS('سندات القبض'!$K$5:$K$304,'سندات القبض'!$D$5:$D$304,A279))</f>
        <v/>
      </c>
      <c r="N279" s="46">
        <f>IF(B279="","",SUMIFS('سندات الصرف'!$L$5:$L$304,'سندات الصرف'!$D$5:$D$304,A279))</f>
        <v/>
      </c>
      <c r="O279" s="46">
        <f>IF(B279="","",M279-N279)</f>
        <v/>
      </c>
      <c r="P279" s="47" t="n"/>
      <c r="Q279" s="47" t="n"/>
      <c r="R279" s="48">
        <f>IF(B279="","",COUNTIFS('اعتماد المواد'!$B$5:$B$304,A279,'اعتماد المواد'!$M$5:$M$304,"قيد المراجعة"))</f>
        <v/>
      </c>
      <c r="S279" s="48">
        <f>IF(B279="","",COUNTIFS('عدم المطابقة'!$C$5:$C$304,A279,'عدم المطابقة'!$L$5:$L$304,"مفتوح*"))</f>
        <v/>
      </c>
      <c r="T279" s="48">
        <f>IF(B279="","",COUNTIFS('ملاحظات التسليم'!$B$5:$B$304,A279,'ملاحظات التسليم'!$K$5:$K$304,"مفتوح*"))</f>
        <v/>
      </c>
      <c r="U279" s="49">
        <f>IF(B279="","",IF(Q279&lt;&gt;"","مسلّم نهائياً",IF(P279&lt;&gt;"","فترة الضمان",IF(G279="","بانتظار استلام الموقع",IF(TODAY()&gt;I279,"متأخر عن التعاقد",IF(J279&lt;K279-0.1,"متأخر عن الخطة","جاري التنفيذ"))))))</f>
        <v/>
      </c>
    </row>
    <row r="280">
      <c r="A280" s="39">
        <f>IF(B280="","","PRJ-"&amp;TEXT(ROW()-4,"000"))</f>
        <v/>
      </c>
      <c r="B280" s="40" t="n"/>
      <c r="C280" s="40" t="n"/>
      <c r="D280" s="40" t="n"/>
      <c r="E280" s="40" t="n"/>
      <c r="F280" s="41" t="n"/>
      <c r="G280" s="42">
        <f>IF(B280="","",IFERROR(INDEX('استلام المواقع'!$D$5:$D$304,MATCH(A280,'استلام المواقع'!$B$5:$B$304,0)),""))</f>
        <v/>
      </c>
      <c r="H280" s="43" t="n"/>
      <c r="I280" s="42">
        <f>IF(OR(G280="",H280=""),"",G280+H280)</f>
        <v/>
      </c>
      <c r="J280" s="44" t="n"/>
      <c r="K280" s="45">
        <f>IF(OR(I280="",H280=0),"",MAX(0,MIN(1,(IF(P280&lt;&gt;"",P280,TODAY())-G280)/H280)))</f>
        <v/>
      </c>
      <c r="L280" s="46">
        <f>IF(B280="","",SUMIFS('المستخلصات'!$N$5:$N$304,'المستخلصات'!$B$5:$B$304,A280))</f>
        <v/>
      </c>
      <c r="M280" s="46">
        <f>IF(B280="","",SUMIFS('سندات القبض'!$K$5:$K$304,'سندات القبض'!$D$5:$D$304,A280))</f>
        <v/>
      </c>
      <c r="N280" s="46">
        <f>IF(B280="","",SUMIFS('سندات الصرف'!$L$5:$L$304,'سندات الصرف'!$D$5:$D$304,A280))</f>
        <v/>
      </c>
      <c r="O280" s="46">
        <f>IF(B280="","",M280-N280)</f>
        <v/>
      </c>
      <c r="P280" s="47" t="n"/>
      <c r="Q280" s="47" t="n"/>
      <c r="R280" s="48">
        <f>IF(B280="","",COUNTIFS('اعتماد المواد'!$B$5:$B$304,A280,'اعتماد المواد'!$M$5:$M$304,"قيد المراجعة"))</f>
        <v/>
      </c>
      <c r="S280" s="48">
        <f>IF(B280="","",COUNTIFS('عدم المطابقة'!$C$5:$C$304,A280,'عدم المطابقة'!$L$5:$L$304,"مفتوح*"))</f>
        <v/>
      </c>
      <c r="T280" s="48">
        <f>IF(B280="","",COUNTIFS('ملاحظات التسليم'!$B$5:$B$304,A280,'ملاحظات التسليم'!$K$5:$K$304,"مفتوح*"))</f>
        <v/>
      </c>
      <c r="U280" s="49">
        <f>IF(B280="","",IF(Q280&lt;&gt;"","مسلّم نهائياً",IF(P280&lt;&gt;"","فترة الضمان",IF(G280="","بانتظار استلام الموقع",IF(TODAY()&gt;I280,"متأخر عن التعاقد",IF(J280&lt;K280-0.1,"متأخر عن الخطة","جاري التنفيذ"))))))</f>
        <v/>
      </c>
    </row>
    <row r="281">
      <c r="A281" s="39">
        <f>IF(B281="","","PRJ-"&amp;TEXT(ROW()-4,"000"))</f>
        <v/>
      </c>
      <c r="B281" s="40" t="n"/>
      <c r="C281" s="40" t="n"/>
      <c r="D281" s="40" t="n"/>
      <c r="E281" s="40" t="n"/>
      <c r="F281" s="41" t="n"/>
      <c r="G281" s="42">
        <f>IF(B281="","",IFERROR(INDEX('استلام المواقع'!$D$5:$D$304,MATCH(A281,'استلام المواقع'!$B$5:$B$304,0)),""))</f>
        <v/>
      </c>
      <c r="H281" s="43" t="n"/>
      <c r="I281" s="42">
        <f>IF(OR(G281="",H281=""),"",G281+H281)</f>
        <v/>
      </c>
      <c r="J281" s="44" t="n"/>
      <c r="K281" s="45">
        <f>IF(OR(I281="",H281=0),"",MAX(0,MIN(1,(IF(P281&lt;&gt;"",P281,TODAY())-G281)/H281)))</f>
        <v/>
      </c>
      <c r="L281" s="46">
        <f>IF(B281="","",SUMIFS('المستخلصات'!$N$5:$N$304,'المستخلصات'!$B$5:$B$304,A281))</f>
        <v/>
      </c>
      <c r="M281" s="46">
        <f>IF(B281="","",SUMIFS('سندات القبض'!$K$5:$K$304,'سندات القبض'!$D$5:$D$304,A281))</f>
        <v/>
      </c>
      <c r="N281" s="46">
        <f>IF(B281="","",SUMIFS('سندات الصرف'!$L$5:$L$304,'سندات الصرف'!$D$5:$D$304,A281))</f>
        <v/>
      </c>
      <c r="O281" s="46">
        <f>IF(B281="","",M281-N281)</f>
        <v/>
      </c>
      <c r="P281" s="47" t="n"/>
      <c r="Q281" s="47" t="n"/>
      <c r="R281" s="48">
        <f>IF(B281="","",COUNTIFS('اعتماد المواد'!$B$5:$B$304,A281,'اعتماد المواد'!$M$5:$M$304,"قيد المراجعة"))</f>
        <v/>
      </c>
      <c r="S281" s="48">
        <f>IF(B281="","",COUNTIFS('عدم المطابقة'!$C$5:$C$304,A281,'عدم المطابقة'!$L$5:$L$304,"مفتوح*"))</f>
        <v/>
      </c>
      <c r="T281" s="48">
        <f>IF(B281="","",COUNTIFS('ملاحظات التسليم'!$B$5:$B$304,A281,'ملاحظات التسليم'!$K$5:$K$304,"مفتوح*"))</f>
        <v/>
      </c>
      <c r="U281" s="49">
        <f>IF(B281="","",IF(Q281&lt;&gt;"","مسلّم نهائياً",IF(P281&lt;&gt;"","فترة الضمان",IF(G281="","بانتظار استلام الموقع",IF(TODAY()&gt;I281,"متأخر عن التعاقد",IF(J281&lt;K281-0.1,"متأخر عن الخطة","جاري التنفيذ"))))))</f>
        <v/>
      </c>
    </row>
    <row r="282">
      <c r="A282" s="39">
        <f>IF(B282="","","PRJ-"&amp;TEXT(ROW()-4,"000"))</f>
        <v/>
      </c>
      <c r="B282" s="40" t="n"/>
      <c r="C282" s="40" t="n"/>
      <c r="D282" s="40" t="n"/>
      <c r="E282" s="40" t="n"/>
      <c r="F282" s="41" t="n"/>
      <c r="G282" s="42">
        <f>IF(B282="","",IFERROR(INDEX('استلام المواقع'!$D$5:$D$304,MATCH(A282,'استلام المواقع'!$B$5:$B$304,0)),""))</f>
        <v/>
      </c>
      <c r="H282" s="43" t="n"/>
      <c r="I282" s="42">
        <f>IF(OR(G282="",H282=""),"",G282+H282)</f>
        <v/>
      </c>
      <c r="J282" s="44" t="n"/>
      <c r="K282" s="45">
        <f>IF(OR(I282="",H282=0),"",MAX(0,MIN(1,(IF(P282&lt;&gt;"",P282,TODAY())-G282)/H282)))</f>
        <v/>
      </c>
      <c r="L282" s="46">
        <f>IF(B282="","",SUMIFS('المستخلصات'!$N$5:$N$304,'المستخلصات'!$B$5:$B$304,A282))</f>
        <v/>
      </c>
      <c r="M282" s="46">
        <f>IF(B282="","",SUMIFS('سندات القبض'!$K$5:$K$304,'سندات القبض'!$D$5:$D$304,A282))</f>
        <v/>
      </c>
      <c r="N282" s="46">
        <f>IF(B282="","",SUMIFS('سندات الصرف'!$L$5:$L$304,'سندات الصرف'!$D$5:$D$304,A282))</f>
        <v/>
      </c>
      <c r="O282" s="46">
        <f>IF(B282="","",M282-N282)</f>
        <v/>
      </c>
      <c r="P282" s="47" t="n"/>
      <c r="Q282" s="47" t="n"/>
      <c r="R282" s="48">
        <f>IF(B282="","",COUNTIFS('اعتماد المواد'!$B$5:$B$304,A282,'اعتماد المواد'!$M$5:$M$304,"قيد المراجعة"))</f>
        <v/>
      </c>
      <c r="S282" s="48">
        <f>IF(B282="","",COUNTIFS('عدم المطابقة'!$C$5:$C$304,A282,'عدم المطابقة'!$L$5:$L$304,"مفتوح*"))</f>
        <v/>
      </c>
      <c r="T282" s="48">
        <f>IF(B282="","",COUNTIFS('ملاحظات التسليم'!$B$5:$B$304,A282,'ملاحظات التسليم'!$K$5:$K$304,"مفتوح*"))</f>
        <v/>
      </c>
      <c r="U282" s="49">
        <f>IF(B282="","",IF(Q282&lt;&gt;"","مسلّم نهائياً",IF(P282&lt;&gt;"","فترة الضمان",IF(G282="","بانتظار استلام الموقع",IF(TODAY()&gt;I282,"متأخر عن التعاقد",IF(J282&lt;K282-0.1,"متأخر عن الخطة","جاري التنفيذ"))))))</f>
        <v/>
      </c>
    </row>
    <row r="283">
      <c r="A283" s="39">
        <f>IF(B283="","","PRJ-"&amp;TEXT(ROW()-4,"000"))</f>
        <v/>
      </c>
      <c r="B283" s="40" t="n"/>
      <c r="C283" s="40" t="n"/>
      <c r="D283" s="40" t="n"/>
      <c r="E283" s="40" t="n"/>
      <c r="F283" s="41" t="n"/>
      <c r="G283" s="42">
        <f>IF(B283="","",IFERROR(INDEX('استلام المواقع'!$D$5:$D$304,MATCH(A283,'استلام المواقع'!$B$5:$B$304,0)),""))</f>
        <v/>
      </c>
      <c r="H283" s="43" t="n"/>
      <c r="I283" s="42">
        <f>IF(OR(G283="",H283=""),"",G283+H283)</f>
        <v/>
      </c>
      <c r="J283" s="44" t="n"/>
      <c r="K283" s="45">
        <f>IF(OR(I283="",H283=0),"",MAX(0,MIN(1,(IF(P283&lt;&gt;"",P283,TODAY())-G283)/H283)))</f>
        <v/>
      </c>
      <c r="L283" s="46">
        <f>IF(B283="","",SUMIFS('المستخلصات'!$N$5:$N$304,'المستخلصات'!$B$5:$B$304,A283))</f>
        <v/>
      </c>
      <c r="M283" s="46">
        <f>IF(B283="","",SUMIFS('سندات القبض'!$K$5:$K$304,'سندات القبض'!$D$5:$D$304,A283))</f>
        <v/>
      </c>
      <c r="N283" s="46">
        <f>IF(B283="","",SUMIFS('سندات الصرف'!$L$5:$L$304,'سندات الصرف'!$D$5:$D$304,A283))</f>
        <v/>
      </c>
      <c r="O283" s="46">
        <f>IF(B283="","",M283-N283)</f>
        <v/>
      </c>
      <c r="P283" s="47" t="n"/>
      <c r="Q283" s="47" t="n"/>
      <c r="R283" s="48">
        <f>IF(B283="","",COUNTIFS('اعتماد المواد'!$B$5:$B$304,A283,'اعتماد المواد'!$M$5:$M$304,"قيد المراجعة"))</f>
        <v/>
      </c>
      <c r="S283" s="48">
        <f>IF(B283="","",COUNTIFS('عدم المطابقة'!$C$5:$C$304,A283,'عدم المطابقة'!$L$5:$L$304,"مفتوح*"))</f>
        <v/>
      </c>
      <c r="T283" s="48">
        <f>IF(B283="","",COUNTIFS('ملاحظات التسليم'!$B$5:$B$304,A283,'ملاحظات التسليم'!$K$5:$K$304,"مفتوح*"))</f>
        <v/>
      </c>
      <c r="U283" s="49">
        <f>IF(B283="","",IF(Q283&lt;&gt;"","مسلّم نهائياً",IF(P283&lt;&gt;"","فترة الضمان",IF(G283="","بانتظار استلام الموقع",IF(TODAY()&gt;I283,"متأخر عن التعاقد",IF(J283&lt;K283-0.1,"متأخر عن الخطة","جاري التنفيذ"))))))</f>
        <v/>
      </c>
    </row>
    <row r="284">
      <c r="A284" s="39">
        <f>IF(B284="","","PRJ-"&amp;TEXT(ROW()-4,"000"))</f>
        <v/>
      </c>
      <c r="B284" s="40" t="n"/>
      <c r="C284" s="40" t="n"/>
      <c r="D284" s="40" t="n"/>
      <c r="E284" s="40" t="n"/>
      <c r="F284" s="41" t="n"/>
      <c r="G284" s="42">
        <f>IF(B284="","",IFERROR(INDEX('استلام المواقع'!$D$5:$D$304,MATCH(A284,'استلام المواقع'!$B$5:$B$304,0)),""))</f>
        <v/>
      </c>
      <c r="H284" s="43" t="n"/>
      <c r="I284" s="42">
        <f>IF(OR(G284="",H284=""),"",G284+H284)</f>
        <v/>
      </c>
      <c r="J284" s="44" t="n"/>
      <c r="K284" s="45">
        <f>IF(OR(I284="",H284=0),"",MAX(0,MIN(1,(IF(P284&lt;&gt;"",P284,TODAY())-G284)/H284)))</f>
        <v/>
      </c>
      <c r="L284" s="46">
        <f>IF(B284="","",SUMIFS('المستخلصات'!$N$5:$N$304,'المستخلصات'!$B$5:$B$304,A284))</f>
        <v/>
      </c>
      <c r="M284" s="46">
        <f>IF(B284="","",SUMIFS('سندات القبض'!$K$5:$K$304,'سندات القبض'!$D$5:$D$304,A284))</f>
        <v/>
      </c>
      <c r="N284" s="46">
        <f>IF(B284="","",SUMIFS('سندات الصرف'!$L$5:$L$304,'سندات الصرف'!$D$5:$D$304,A284))</f>
        <v/>
      </c>
      <c r="O284" s="46">
        <f>IF(B284="","",M284-N284)</f>
        <v/>
      </c>
      <c r="P284" s="47" t="n"/>
      <c r="Q284" s="47" t="n"/>
      <c r="R284" s="48">
        <f>IF(B284="","",COUNTIFS('اعتماد المواد'!$B$5:$B$304,A284,'اعتماد المواد'!$M$5:$M$304,"قيد المراجعة"))</f>
        <v/>
      </c>
      <c r="S284" s="48">
        <f>IF(B284="","",COUNTIFS('عدم المطابقة'!$C$5:$C$304,A284,'عدم المطابقة'!$L$5:$L$304,"مفتوح*"))</f>
        <v/>
      </c>
      <c r="T284" s="48">
        <f>IF(B284="","",COUNTIFS('ملاحظات التسليم'!$B$5:$B$304,A284,'ملاحظات التسليم'!$K$5:$K$304,"مفتوح*"))</f>
        <v/>
      </c>
      <c r="U284" s="49">
        <f>IF(B284="","",IF(Q284&lt;&gt;"","مسلّم نهائياً",IF(P284&lt;&gt;"","فترة الضمان",IF(G284="","بانتظار استلام الموقع",IF(TODAY()&gt;I284,"متأخر عن التعاقد",IF(J284&lt;K284-0.1,"متأخر عن الخطة","جاري التنفيذ"))))))</f>
        <v/>
      </c>
    </row>
    <row r="285">
      <c r="A285" s="39">
        <f>IF(B285="","","PRJ-"&amp;TEXT(ROW()-4,"000"))</f>
        <v/>
      </c>
      <c r="B285" s="40" t="n"/>
      <c r="C285" s="40" t="n"/>
      <c r="D285" s="40" t="n"/>
      <c r="E285" s="40" t="n"/>
      <c r="F285" s="41" t="n"/>
      <c r="G285" s="42">
        <f>IF(B285="","",IFERROR(INDEX('استلام المواقع'!$D$5:$D$304,MATCH(A285,'استلام المواقع'!$B$5:$B$304,0)),""))</f>
        <v/>
      </c>
      <c r="H285" s="43" t="n"/>
      <c r="I285" s="42">
        <f>IF(OR(G285="",H285=""),"",G285+H285)</f>
        <v/>
      </c>
      <c r="J285" s="44" t="n"/>
      <c r="K285" s="45">
        <f>IF(OR(I285="",H285=0),"",MAX(0,MIN(1,(IF(P285&lt;&gt;"",P285,TODAY())-G285)/H285)))</f>
        <v/>
      </c>
      <c r="L285" s="46">
        <f>IF(B285="","",SUMIFS('المستخلصات'!$N$5:$N$304,'المستخلصات'!$B$5:$B$304,A285))</f>
        <v/>
      </c>
      <c r="M285" s="46">
        <f>IF(B285="","",SUMIFS('سندات القبض'!$K$5:$K$304,'سندات القبض'!$D$5:$D$304,A285))</f>
        <v/>
      </c>
      <c r="N285" s="46">
        <f>IF(B285="","",SUMIFS('سندات الصرف'!$L$5:$L$304,'سندات الصرف'!$D$5:$D$304,A285))</f>
        <v/>
      </c>
      <c r="O285" s="46">
        <f>IF(B285="","",M285-N285)</f>
        <v/>
      </c>
      <c r="P285" s="47" t="n"/>
      <c r="Q285" s="47" t="n"/>
      <c r="R285" s="48">
        <f>IF(B285="","",COUNTIFS('اعتماد المواد'!$B$5:$B$304,A285,'اعتماد المواد'!$M$5:$M$304,"قيد المراجعة"))</f>
        <v/>
      </c>
      <c r="S285" s="48">
        <f>IF(B285="","",COUNTIFS('عدم المطابقة'!$C$5:$C$304,A285,'عدم المطابقة'!$L$5:$L$304,"مفتوح*"))</f>
        <v/>
      </c>
      <c r="T285" s="48">
        <f>IF(B285="","",COUNTIFS('ملاحظات التسليم'!$B$5:$B$304,A285,'ملاحظات التسليم'!$K$5:$K$304,"مفتوح*"))</f>
        <v/>
      </c>
      <c r="U285" s="49">
        <f>IF(B285="","",IF(Q285&lt;&gt;"","مسلّم نهائياً",IF(P285&lt;&gt;"","فترة الضمان",IF(G285="","بانتظار استلام الموقع",IF(TODAY()&gt;I285,"متأخر عن التعاقد",IF(J285&lt;K285-0.1,"متأخر عن الخطة","جاري التنفيذ"))))))</f>
        <v/>
      </c>
    </row>
    <row r="286">
      <c r="A286" s="39">
        <f>IF(B286="","","PRJ-"&amp;TEXT(ROW()-4,"000"))</f>
        <v/>
      </c>
      <c r="B286" s="40" t="n"/>
      <c r="C286" s="40" t="n"/>
      <c r="D286" s="40" t="n"/>
      <c r="E286" s="40" t="n"/>
      <c r="F286" s="41" t="n"/>
      <c r="G286" s="42">
        <f>IF(B286="","",IFERROR(INDEX('استلام المواقع'!$D$5:$D$304,MATCH(A286,'استلام المواقع'!$B$5:$B$304,0)),""))</f>
        <v/>
      </c>
      <c r="H286" s="43" t="n"/>
      <c r="I286" s="42">
        <f>IF(OR(G286="",H286=""),"",G286+H286)</f>
        <v/>
      </c>
      <c r="J286" s="44" t="n"/>
      <c r="K286" s="45">
        <f>IF(OR(I286="",H286=0),"",MAX(0,MIN(1,(IF(P286&lt;&gt;"",P286,TODAY())-G286)/H286)))</f>
        <v/>
      </c>
      <c r="L286" s="46">
        <f>IF(B286="","",SUMIFS('المستخلصات'!$N$5:$N$304,'المستخلصات'!$B$5:$B$304,A286))</f>
        <v/>
      </c>
      <c r="M286" s="46">
        <f>IF(B286="","",SUMIFS('سندات القبض'!$K$5:$K$304,'سندات القبض'!$D$5:$D$304,A286))</f>
        <v/>
      </c>
      <c r="N286" s="46">
        <f>IF(B286="","",SUMIFS('سندات الصرف'!$L$5:$L$304,'سندات الصرف'!$D$5:$D$304,A286))</f>
        <v/>
      </c>
      <c r="O286" s="46">
        <f>IF(B286="","",M286-N286)</f>
        <v/>
      </c>
      <c r="P286" s="47" t="n"/>
      <c r="Q286" s="47" t="n"/>
      <c r="R286" s="48">
        <f>IF(B286="","",COUNTIFS('اعتماد المواد'!$B$5:$B$304,A286,'اعتماد المواد'!$M$5:$M$304,"قيد المراجعة"))</f>
        <v/>
      </c>
      <c r="S286" s="48">
        <f>IF(B286="","",COUNTIFS('عدم المطابقة'!$C$5:$C$304,A286,'عدم المطابقة'!$L$5:$L$304,"مفتوح*"))</f>
        <v/>
      </c>
      <c r="T286" s="48">
        <f>IF(B286="","",COUNTIFS('ملاحظات التسليم'!$B$5:$B$304,A286,'ملاحظات التسليم'!$K$5:$K$304,"مفتوح*"))</f>
        <v/>
      </c>
      <c r="U286" s="49">
        <f>IF(B286="","",IF(Q286&lt;&gt;"","مسلّم نهائياً",IF(P286&lt;&gt;"","فترة الضمان",IF(G286="","بانتظار استلام الموقع",IF(TODAY()&gt;I286,"متأخر عن التعاقد",IF(J286&lt;K286-0.1,"متأخر عن الخطة","جاري التنفيذ"))))))</f>
        <v/>
      </c>
    </row>
    <row r="287">
      <c r="A287" s="39">
        <f>IF(B287="","","PRJ-"&amp;TEXT(ROW()-4,"000"))</f>
        <v/>
      </c>
      <c r="B287" s="40" t="n"/>
      <c r="C287" s="40" t="n"/>
      <c r="D287" s="40" t="n"/>
      <c r="E287" s="40" t="n"/>
      <c r="F287" s="41" t="n"/>
      <c r="G287" s="42">
        <f>IF(B287="","",IFERROR(INDEX('استلام المواقع'!$D$5:$D$304,MATCH(A287,'استلام المواقع'!$B$5:$B$304,0)),""))</f>
        <v/>
      </c>
      <c r="H287" s="43" t="n"/>
      <c r="I287" s="42">
        <f>IF(OR(G287="",H287=""),"",G287+H287)</f>
        <v/>
      </c>
      <c r="J287" s="44" t="n"/>
      <c r="K287" s="45">
        <f>IF(OR(I287="",H287=0),"",MAX(0,MIN(1,(IF(P287&lt;&gt;"",P287,TODAY())-G287)/H287)))</f>
        <v/>
      </c>
      <c r="L287" s="46">
        <f>IF(B287="","",SUMIFS('المستخلصات'!$N$5:$N$304,'المستخلصات'!$B$5:$B$304,A287))</f>
        <v/>
      </c>
      <c r="M287" s="46">
        <f>IF(B287="","",SUMIFS('سندات القبض'!$K$5:$K$304,'سندات القبض'!$D$5:$D$304,A287))</f>
        <v/>
      </c>
      <c r="N287" s="46">
        <f>IF(B287="","",SUMIFS('سندات الصرف'!$L$5:$L$304,'سندات الصرف'!$D$5:$D$304,A287))</f>
        <v/>
      </c>
      <c r="O287" s="46">
        <f>IF(B287="","",M287-N287)</f>
        <v/>
      </c>
      <c r="P287" s="47" t="n"/>
      <c r="Q287" s="47" t="n"/>
      <c r="R287" s="48">
        <f>IF(B287="","",COUNTIFS('اعتماد المواد'!$B$5:$B$304,A287,'اعتماد المواد'!$M$5:$M$304,"قيد المراجعة"))</f>
        <v/>
      </c>
      <c r="S287" s="48">
        <f>IF(B287="","",COUNTIFS('عدم المطابقة'!$C$5:$C$304,A287,'عدم المطابقة'!$L$5:$L$304,"مفتوح*"))</f>
        <v/>
      </c>
      <c r="T287" s="48">
        <f>IF(B287="","",COUNTIFS('ملاحظات التسليم'!$B$5:$B$304,A287,'ملاحظات التسليم'!$K$5:$K$304,"مفتوح*"))</f>
        <v/>
      </c>
      <c r="U287" s="49">
        <f>IF(B287="","",IF(Q287&lt;&gt;"","مسلّم نهائياً",IF(P287&lt;&gt;"","فترة الضمان",IF(G287="","بانتظار استلام الموقع",IF(TODAY()&gt;I287,"متأخر عن التعاقد",IF(J287&lt;K287-0.1,"متأخر عن الخطة","جاري التنفيذ"))))))</f>
        <v/>
      </c>
    </row>
    <row r="288">
      <c r="A288" s="39">
        <f>IF(B288="","","PRJ-"&amp;TEXT(ROW()-4,"000"))</f>
        <v/>
      </c>
      <c r="B288" s="40" t="n"/>
      <c r="C288" s="40" t="n"/>
      <c r="D288" s="40" t="n"/>
      <c r="E288" s="40" t="n"/>
      <c r="F288" s="41" t="n"/>
      <c r="G288" s="42">
        <f>IF(B288="","",IFERROR(INDEX('استلام المواقع'!$D$5:$D$304,MATCH(A288,'استلام المواقع'!$B$5:$B$304,0)),""))</f>
        <v/>
      </c>
      <c r="H288" s="43" t="n"/>
      <c r="I288" s="42">
        <f>IF(OR(G288="",H288=""),"",G288+H288)</f>
        <v/>
      </c>
      <c r="J288" s="44" t="n"/>
      <c r="K288" s="45">
        <f>IF(OR(I288="",H288=0),"",MAX(0,MIN(1,(IF(P288&lt;&gt;"",P288,TODAY())-G288)/H288)))</f>
        <v/>
      </c>
      <c r="L288" s="46">
        <f>IF(B288="","",SUMIFS('المستخلصات'!$N$5:$N$304,'المستخلصات'!$B$5:$B$304,A288))</f>
        <v/>
      </c>
      <c r="M288" s="46">
        <f>IF(B288="","",SUMIFS('سندات القبض'!$K$5:$K$304,'سندات القبض'!$D$5:$D$304,A288))</f>
        <v/>
      </c>
      <c r="N288" s="46">
        <f>IF(B288="","",SUMIFS('سندات الصرف'!$L$5:$L$304,'سندات الصرف'!$D$5:$D$304,A288))</f>
        <v/>
      </c>
      <c r="O288" s="46">
        <f>IF(B288="","",M288-N288)</f>
        <v/>
      </c>
      <c r="P288" s="47" t="n"/>
      <c r="Q288" s="47" t="n"/>
      <c r="R288" s="48">
        <f>IF(B288="","",COUNTIFS('اعتماد المواد'!$B$5:$B$304,A288,'اعتماد المواد'!$M$5:$M$304,"قيد المراجعة"))</f>
        <v/>
      </c>
      <c r="S288" s="48">
        <f>IF(B288="","",COUNTIFS('عدم المطابقة'!$C$5:$C$304,A288,'عدم المطابقة'!$L$5:$L$304,"مفتوح*"))</f>
        <v/>
      </c>
      <c r="T288" s="48">
        <f>IF(B288="","",COUNTIFS('ملاحظات التسليم'!$B$5:$B$304,A288,'ملاحظات التسليم'!$K$5:$K$304,"مفتوح*"))</f>
        <v/>
      </c>
      <c r="U288" s="49">
        <f>IF(B288="","",IF(Q288&lt;&gt;"","مسلّم نهائياً",IF(P288&lt;&gt;"","فترة الضمان",IF(G288="","بانتظار استلام الموقع",IF(TODAY()&gt;I288,"متأخر عن التعاقد",IF(J288&lt;K288-0.1,"متأخر عن الخطة","جاري التنفيذ"))))))</f>
        <v/>
      </c>
    </row>
    <row r="289">
      <c r="A289" s="39">
        <f>IF(B289="","","PRJ-"&amp;TEXT(ROW()-4,"000"))</f>
        <v/>
      </c>
      <c r="B289" s="40" t="n"/>
      <c r="C289" s="40" t="n"/>
      <c r="D289" s="40" t="n"/>
      <c r="E289" s="40" t="n"/>
      <c r="F289" s="41" t="n"/>
      <c r="G289" s="42">
        <f>IF(B289="","",IFERROR(INDEX('استلام المواقع'!$D$5:$D$304,MATCH(A289,'استلام المواقع'!$B$5:$B$304,0)),""))</f>
        <v/>
      </c>
      <c r="H289" s="43" t="n"/>
      <c r="I289" s="42">
        <f>IF(OR(G289="",H289=""),"",G289+H289)</f>
        <v/>
      </c>
      <c r="J289" s="44" t="n"/>
      <c r="K289" s="45">
        <f>IF(OR(I289="",H289=0),"",MAX(0,MIN(1,(IF(P289&lt;&gt;"",P289,TODAY())-G289)/H289)))</f>
        <v/>
      </c>
      <c r="L289" s="46">
        <f>IF(B289="","",SUMIFS('المستخلصات'!$N$5:$N$304,'المستخلصات'!$B$5:$B$304,A289))</f>
        <v/>
      </c>
      <c r="M289" s="46">
        <f>IF(B289="","",SUMIFS('سندات القبض'!$K$5:$K$304,'سندات القبض'!$D$5:$D$304,A289))</f>
        <v/>
      </c>
      <c r="N289" s="46">
        <f>IF(B289="","",SUMIFS('سندات الصرف'!$L$5:$L$304,'سندات الصرف'!$D$5:$D$304,A289))</f>
        <v/>
      </c>
      <c r="O289" s="46">
        <f>IF(B289="","",M289-N289)</f>
        <v/>
      </c>
      <c r="P289" s="47" t="n"/>
      <c r="Q289" s="47" t="n"/>
      <c r="R289" s="48">
        <f>IF(B289="","",COUNTIFS('اعتماد المواد'!$B$5:$B$304,A289,'اعتماد المواد'!$M$5:$M$304,"قيد المراجعة"))</f>
        <v/>
      </c>
      <c r="S289" s="48">
        <f>IF(B289="","",COUNTIFS('عدم المطابقة'!$C$5:$C$304,A289,'عدم المطابقة'!$L$5:$L$304,"مفتوح*"))</f>
        <v/>
      </c>
      <c r="T289" s="48">
        <f>IF(B289="","",COUNTIFS('ملاحظات التسليم'!$B$5:$B$304,A289,'ملاحظات التسليم'!$K$5:$K$304,"مفتوح*"))</f>
        <v/>
      </c>
      <c r="U289" s="49">
        <f>IF(B289="","",IF(Q289&lt;&gt;"","مسلّم نهائياً",IF(P289&lt;&gt;"","فترة الضمان",IF(G289="","بانتظار استلام الموقع",IF(TODAY()&gt;I289,"متأخر عن التعاقد",IF(J289&lt;K289-0.1,"متأخر عن الخطة","جاري التنفيذ"))))))</f>
        <v/>
      </c>
    </row>
    <row r="290">
      <c r="A290" s="39">
        <f>IF(B290="","","PRJ-"&amp;TEXT(ROW()-4,"000"))</f>
        <v/>
      </c>
      <c r="B290" s="40" t="n"/>
      <c r="C290" s="40" t="n"/>
      <c r="D290" s="40" t="n"/>
      <c r="E290" s="40" t="n"/>
      <c r="F290" s="41" t="n"/>
      <c r="G290" s="42">
        <f>IF(B290="","",IFERROR(INDEX('استلام المواقع'!$D$5:$D$304,MATCH(A290,'استلام المواقع'!$B$5:$B$304,0)),""))</f>
        <v/>
      </c>
      <c r="H290" s="43" t="n"/>
      <c r="I290" s="42">
        <f>IF(OR(G290="",H290=""),"",G290+H290)</f>
        <v/>
      </c>
      <c r="J290" s="44" t="n"/>
      <c r="K290" s="45">
        <f>IF(OR(I290="",H290=0),"",MAX(0,MIN(1,(IF(P290&lt;&gt;"",P290,TODAY())-G290)/H290)))</f>
        <v/>
      </c>
      <c r="L290" s="46">
        <f>IF(B290="","",SUMIFS('المستخلصات'!$N$5:$N$304,'المستخلصات'!$B$5:$B$304,A290))</f>
        <v/>
      </c>
      <c r="M290" s="46">
        <f>IF(B290="","",SUMIFS('سندات القبض'!$K$5:$K$304,'سندات القبض'!$D$5:$D$304,A290))</f>
        <v/>
      </c>
      <c r="N290" s="46">
        <f>IF(B290="","",SUMIFS('سندات الصرف'!$L$5:$L$304,'سندات الصرف'!$D$5:$D$304,A290))</f>
        <v/>
      </c>
      <c r="O290" s="46">
        <f>IF(B290="","",M290-N290)</f>
        <v/>
      </c>
      <c r="P290" s="47" t="n"/>
      <c r="Q290" s="47" t="n"/>
      <c r="R290" s="48">
        <f>IF(B290="","",COUNTIFS('اعتماد المواد'!$B$5:$B$304,A290,'اعتماد المواد'!$M$5:$M$304,"قيد المراجعة"))</f>
        <v/>
      </c>
      <c r="S290" s="48">
        <f>IF(B290="","",COUNTIFS('عدم المطابقة'!$C$5:$C$304,A290,'عدم المطابقة'!$L$5:$L$304,"مفتوح*"))</f>
        <v/>
      </c>
      <c r="T290" s="48">
        <f>IF(B290="","",COUNTIFS('ملاحظات التسليم'!$B$5:$B$304,A290,'ملاحظات التسليم'!$K$5:$K$304,"مفتوح*"))</f>
        <v/>
      </c>
      <c r="U290" s="49">
        <f>IF(B290="","",IF(Q290&lt;&gt;"","مسلّم نهائياً",IF(P290&lt;&gt;"","فترة الضمان",IF(G290="","بانتظار استلام الموقع",IF(TODAY()&gt;I290,"متأخر عن التعاقد",IF(J290&lt;K290-0.1,"متأخر عن الخطة","جاري التنفيذ"))))))</f>
        <v/>
      </c>
    </row>
    <row r="291">
      <c r="A291" s="39">
        <f>IF(B291="","","PRJ-"&amp;TEXT(ROW()-4,"000"))</f>
        <v/>
      </c>
      <c r="B291" s="40" t="n"/>
      <c r="C291" s="40" t="n"/>
      <c r="D291" s="40" t="n"/>
      <c r="E291" s="40" t="n"/>
      <c r="F291" s="41" t="n"/>
      <c r="G291" s="42">
        <f>IF(B291="","",IFERROR(INDEX('استلام المواقع'!$D$5:$D$304,MATCH(A291,'استلام المواقع'!$B$5:$B$304,0)),""))</f>
        <v/>
      </c>
      <c r="H291" s="43" t="n"/>
      <c r="I291" s="42">
        <f>IF(OR(G291="",H291=""),"",G291+H291)</f>
        <v/>
      </c>
      <c r="J291" s="44" t="n"/>
      <c r="K291" s="45">
        <f>IF(OR(I291="",H291=0),"",MAX(0,MIN(1,(IF(P291&lt;&gt;"",P291,TODAY())-G291)/H291)))</f>
        <v/>
      </c>
      <c r="L291" s="46">
        <f>IF(B291="","",SUMIFS('المستخلصات'!$N$5:$N$304,'المستخلصات'!$B$5:$B$304,A291))</f>
        <v/>
      </c>
      <c r="M291" s="46">
        <f>IF(B291="","",SUMIFS('سندات القبض'!$K$5:$K$304,'سندات القبض'!$D$5:$D$304,A291))</f>
        <v/>
      </c>
      <c r="N291" s="46">
        <f>IF(B291="","",SUMIFS('سندات الصرف'!$L$5:$L$304,'سندات الصرف'!$D$5:$D$304,A291))</f>
        <v/>
      </c>
      <c r="O291" s="46">
        <f>IF(B291="","",M291-N291)</f>
        <v/>
      </c>
      <c r="P291" s="47" t="n"/>
      <c r="Q291" s="47" t="n"/>
      <c r="R291" s="48">
        <f>IF(B291="","",COUNTIFS('اعتماد المواد'!$B$5:$B$304,A291,'اعتماد المواد'!$M$5:$M$304,"قيد المراجعة"))</f>
        <v/>
      </c>
      <c r="S291" s="48">
        <f>IF(B291="","",COUNTIFS('عدم المطابقة'!$C$5:$C$304,A291,'عدم المطابقة'!$L$5:$L$304,"مفتوح*"))</f>
        <v/>
      </c>
      <c r="T291" s="48">
        <f>IF(B291="","",COUNTIFS('ملاحظات التسليم'!$B$5:$B$304,A291,'ملاحظات التسليم'!$K$5:$K$304,"مفتوح*"))</f>
        <v/>
      </c>
      <c r="U291" s="49">
        <f>IF(B291="","",IF(Q291&lt;&gt;"","مسلّم نهائياً",IF(P291&lt;&gt;"","فترة الضمان",IF(G291="","بانتظار استلام الموقع",IF(TODAY()&gt;I291,"متأخر عن التعاقد",IF(J291&lt;K291-0.1,"متأخر عن الخطة","جاري التنفيذ"))))))</f>
        <v/>
      </c>
    </row>
    <row r="292">
      <c r="A292" s="39">
        <f>IF(B292="","","PRJ-"&amp;TEXT(ROW()-4,"000"))</f>
        <v/>
      </c>
      <c r="B292" s="40" t="n"/>
      <c r="C292" s="40" t="n"/>
      <c r="D292" s="40" t="n"/>
      <c r="E292" s="40" t="n"/>
      <c r="F292" s="41" t="n"/>
      <c r="G292" s="42">
        <f>IF(B292="","",IFERROR(INDEX('استلام المواقع'!$D$5:$D$304,MATCH(A292,'استلام المواقع'!$B$5:$B$304,0)),""))</f>
        <v/>
      </c>
      <c r="H292" s="43" t="n"/>
      <c r="I292" s="42">
        <f>IF(OR(G292="",H292=""),"",G292+H292)</f>
        <v/>
      </c>
      <c r="J292" s="44" t="n"/>
      <c r="K292" s="45">
        <f>IF(OR(I292="",H292=0),"",MAX(0,MIN(1,(IF(P292&lt;&gt;"",P292,TODAY())-G292)/H292)))</f>
        <v/>
      </c>
      <c r="L292" s="46">
        <f>IF(B292="","",SUMIFS('المستخلصات'!$N$5:$N$304,'المستخلصات'!$B$5:$B$304,A292))</f>
        <v/>
      </c>
      <c r="M292" s="46">
        <f>IF(B292="","",SUMIFS('سندات القبض'!$K$5:$K$304,'سندات القبض'!$D$5:$D$304,A292))</f>
        <v/>
      </c>
      <c r="N292" s="46">
        <f>IF(B292="","",SUMIFS('سندات الصرف'!$L$5:$L$304,'سندات الصرف'!$D$5:$D$304,A292))</f>
        <v/>
      </c>
      <c r="O292" s="46">
        <f>IF(B292="","",M292-N292)</f>
        <v/>
      </c>
      <c r="P292" s="47" t="n"/>
      <c r="Q292" s="47" t="n"/>
      <c r="R292" s="48">
        <f>IF(B292="","",COUNTIFS('اعتماد المواد'!$B$5:$B$304,A292,'اعتماد المواد'!$M$5:$M$304,"قيد المراجعة"))</f>
        <v/>
      </c>
      <c r="S292" s="48">
        <f>IF(B292="","",COUNTIFS('عدم المطابقة'!$C$5:$C$304,A292,'عدم المطابقة'!$L$5:$L$304,"مفتوح*"))</f>
        <v/>
      </c>
      <c r="T292" s="48">
        <f>IF(B292="","",COUNTIFS('ملاحظات التسليم'!$B$5:$B$304,A292,'ملاحظات التسليم'!$K$5:$K$304,"مفتوح*"))</f>
        <v/>
      </c>
      <c r="U292" s="49">
        <f>IF(B292="","",IF(Q292&lt;&gt;"","مسلّم نهائياً",IF(P292&lt;&gt;"","فترة الضمان",IF(G292="","بانتظار استلام الموقع",IF(TODAY()&gt;I292,"متأخر عن التعاقد",IF(J292&lt;K292-0.1,"متأخر عن الخطة","جاري التنفيذ"))))))</f>
        <v/>
      </c>
    </row>
    <row r="293">
      <c r="A293" s="39">
        <f>IF(B293="","","PRJ-"&amp;TEXT(ROW()-4,"000"))</f>
        <v/>
      </c>
      <c r="B293" s="40" t="n"/>
      <c r="C293" s="40" t="n"/>
      <c r="D293" s="40" t="n"/>
      <c r="E293" s="40" t="n"/>
      <c r="F293" s="41" t="n"/>
      <c r="G293" s="42">
        <f>IF(B293="","",IFERROR(INDEX('استلام المواقع'!$D$5:$D$304,MATCH(A293,'استلام المواقع'!$B$5:$B$304,0)),""))</f>
        <v/>
      </c>
      <c r="H293" s="43" t="n"/>
      <c r="I293" s="42">
        <f>IF(OR(G293="",H293=""),"",G293+H293)</f>
        <v/>
      </c>
      <c r="J293" s="44" t="n"/>
      <c r="K293" s="45">
        <f>IF(OR(I293="",H293=0),"",MAX(0,MIN(1,(IF(P293&lt;&gt;"",P293,TODAY())-G293)/H293)))</f>
        <v/>
      </c>
      <c r="L293" s="46">
        <f>IF(B293="","",SUMIFS('المستخلصات'!$N$5:$N$304,'المستخلصات'!$B$5:$B$304,A293))</f>
        <v/>
      </c>
      <c r="M293" s="46">
        <f>IF(B293="","",SUMIFS('سندات القبض'!$K$5:$K$304,'سندات القبض'!$D$5:$D$304,A293))</f>
        <v/>
      </c>
      <c r="N293" s="46">
        <f>IF(B293="","",SUMIFS('سندات الصرف'!$L$5:$L$304,'سندات الصرف'!$D$5:$D$304,A293))</f>
        <v/>
      </c>
      <c r="O293" s="46">
        <f>IF(B293="","",M293-N293)</f>
        <v/>
      </c>
      <c r="P293" s="47" t="n"/>
      <c r="Q293" s="47" t="n"/>
      <c r="R293" s="48">
        <f>IF(B293="","",COUNTIFS('اعتماد المواد'!$B$5:$B$304,A293,'اعتماد المواد'!$M$5:$M$304,"قيد المراجعة"))</f>
        <v/>
      </c>
      <c r="S293" s="48">
        <f>IF(B293="","",COUNTIFS('عدم المطابقة'!$C$5:$C$304,A293,'عدم المطابقة'!$L$5:$L$304,"مفتوح*"))</f>
        <v/>
      </c>
      <c r="T293" s="48">
        <f>IF(B293="","",COUNTIFS('ملاحظات التسليم'!$B$5:$B$304,A293,'ملاحظات التسليم'!$K$5:$K$304,"مفتوح*"))</f>
        <v/>
      </c>
      <c r="U293" s="49">
        <f>IF(B293="","",IF(Q293&lt;&gt;"","مسلّم نهائياً",IF(P293&lt;&gt;"","فترة الضمان",IF(G293="","بانتظار استلام الموقع",IF(TODAY()&gt;I293,"متأخر عن التعاقد",IF(J293&lt;K293-0.1,"متأخر عن الخطة","جاري التنفيذ"))))))</f>
        <v/>
      </c>
    </row>
    <row r="294">
      <c r="A294" s="39">
        <f>IF(B294="","","PRJ-"&amp;TEXT(ROW()-4,"000"))</f>
        <v/>
      </c>
      <c r="B294" s="40" t="n"/>
      <c r="C294" s="40" t="n"/>
      <c r="D294" s="40" t="n"/>
      <c r="E294" s="40" t="n"/>
      <c r="F294" s="41" t="n"/>
      <c r="G294" s="42">
        <f>IF(B294="","",IFERROR(INDEX('استلام المواقع'!$D$5:$D$304,MATCH(A294,'استلام المواقع'!$B$5:$B$304,0)),""))</f>
        <v/>
      </c>
      <c r="H294" s="43" t="n"/>
      <c r="I294" s="42">
        <f>IF(OR(G294="",H294=""),"",G294+H294)</f>
        <v/>
      </c>
      <c r="J294" s="44" t="n"/>
      <c r="K294" s="45">
        <f>IF(OR(I294="",H294=0),"",MAX(0,MIN(1,(IF(P294&lt;&gt;"",P294,TODAY())-G294)/H294)))</f>
        <v/>
      </c>
      <c r="L294" s="46">
        <f>IF(B294="","",SUMIFS('المستخلصات'!$N$5:$N$304,'المستخلصات'!$B$5:$B$304,A294))</f>
        <v/>
      </c>
      <c r="M294" s="46">
        <f>IF(B294="","",SUMIFS('سندات القبض'!$K$5:$K$304,'سندات القبض'!$D$5:$D$304,A294))</f>
        <v/>
      </c>
      <c r="N294" s="46">
        <f>IF(B294="","",SUMIFS('سندات الصرف'!$L$5:$L$304,'سندات الصرف'!$D$5:$D$304,A294))</f>
        <v/>
      </c>
      <c r="O294" s="46">
        <f>IF(B294="","",M294-N294)</f>
        <v/>
      </c>
      <c r="P294" s="47" t="n"/>
      <c r="Q294" s="47" t="n"/>
      <c r="R294" s="48">
        <f>IF(B294="","",COUNTIFS('اعتماد المواد'!$B$5:$B$304,A294,'اعتماد المواد'!$M$5:$M$304,"قيد المراجعة"))</f>
        <v/>
      </c>
      <c r="S294" s="48">
        <f>IF(B294="","",COUNTIFS('عدم المطابقة'!$C$5:$C$304,A294,'عدم المطابقة'!$L$5:$L$304,"مفتوح*"))</f>
        <v/>
      </c>
      <c r="T294" s="48">
        <f>IF(B294="","",COUNTIFS('ملاحظات التسليم'!$B$5:$B$304,A294,'ملاحظات التسليم'!$K$5:$K$304,"مفتوح*"))</f>
        <v/>
      </c>
      <c r="U294" s="49">
        <f>IF(B294="","",IF(Q294&lt;&gt;"","مسلّم نهائياً",IF(P294&lt;&gt;"","فترة الضمان",IF(G294="","بانتظار استلام الموقع",IF(TODAY()&gt;I294,"متأخر عن التعاقد",IF(J294&lt;K294-0.1,"متأخر عن الخطة","جاري التنفيذ"))))))</f>
        <v/>
      </c>
    </row>
    <row r="295">
      <c r="A295" s="39">
        <f>IF(B295="","","PRJ-"&amp;TEXT(ROW()-4,"000"))</f>
        <v/>
      </c>
      <c r="B295" s="40" t="n"/>
      <c r="C295" s="40" t="n"/>
      <c r="D295" s="40" t="n"/>
      <c r="E295" s="40" t="n"/>
      <c r="F295" s="41" t="n"/>
      <c r="G295" s="42">
        <f>IF(B295="","",IFERROR(INDEX('استلام المواقع'!$D$5:$D$304,MATCH(A295,'استلام المواقع'!$B$5:$B$304,0)),""))</f>
        <v/>
      </c>
      <c r="H295" s="43" t="n"/>
      <c r="I295" s="42">
        <f>IF(OR(G295="",H295=""),"",G295+H295)</f>
        <v/>
      </c>
      <c r="J295" s="44" t="n"/>
      <c r="K295" s="45">
        <f>IF(OR(I295="",H295=0),"",MAX(0,MIN(1,(IF(P295&lt;&gt;"",P295,TODAY())-G295)/H295)))</f>
        <v/>
      </c>
      <c r="L295" s="46">
        <f>IF(B295="","",SUMIFS('المستخلصات'!$N$5:$N$304,'المستخلصات'!$B$5:$B$304,A295))</f>
        <v/>
      </c>
      <c r="M295" s="46">
        <f>IF(B295="","",SUMIFS('سندات القبض'!$K$5:$K$304,'سندات القبض'!$D$5:$D$304,A295))</f>
        <v/>
      </c>
      <c r="N295" s="46">
        <f>IF(B295="","",SUMIFS('سندات الصرف'!$L$5:$L$304,'سندات الصرف'!$D$5:$D$304,A295))</f>
        <v/>
      </c>
      <c r="O295" s="46">
        <f>IF(B295="","",M295-N295)</f>
        <v/>
      </c>
      <c r="P295" s="47" t="n"/>
      <c r="Q295" s="47" t="n"/>
      <c r="R295" s="48">
        <f>IF(B295="","",COUNTIFS('اعتماد المواد'!$B$5:$B$304,A295,'اعتماد المواد'!$M$5:$M$304,"قيد المراجعة"))</f>
        <v/>
      </c>
      <c r="S295" s="48">
        <f>IF(B295="","",COUNTIFS('عدم المطابقة'!$C$5:$C$304,A295,'عدم المطابقة'!$L$5:$L$304,"مفتوح*"))</f>
        <v/>
      </c>
      <c r="T295" s="48">
        <f>IF(B295="","",COUNTIFS('ملاحظات التسليم'!$B$5:$B$304,A295,'ملاحظات التسليم'!$K$5:$K$304,"مفتوح*"))</f>
        <v/>
      </c>
      <c r="U295" s="49">
        <f>IF(B295="","",IF(Q295&lt;&gt;"","مسلّم نهائياً",IF(P295&lt;&gt;"","فترة الضمان",IF(G295="","بانتظار استلام الموقع",IF(TODAY()&gt;I295,"متأخر عن التعاقد",IF(J295&lt;K295-0.1,"متأخر عن الخطة","جاري التنفيذ"))))))</f>
        <v/>
      </c>
    </row>
    <row r="296">
      <c r="A296" s="39">
        <f>IF(B296="","","PRJ-"&amp;TEXT(ROW()-4,"000"))</f>
        <v/>
      </c>
      <c r="B296" s="40" t="n"/>
      <c r="C296" s="40" t="n"/>
      <c r="D296" s="40" t="n"/>
      <c r="E296" s="40" t="n"/>
      <c r="F296" s="41" t="n"/>
      <c r="G296" s="42">
        <f>IF(B296="","",IFERROR(INDEX('استلام المواقع'!$D$5:$D$304,MATCH(A296,'استلام المواقع'!$B$5:$B$304,0)),""))</f>
        <v/>
      </c>
      <c r="H296" s="43" t="n"/>
      <c r="I296" s="42">
        <f>IF(OR(G296="",H296=""),"",G296+H296)</f>
        <v/>
      </c>
      <c r="J296" s="44" t="n"/>
      <c r="K296" s="45">
        <f>IF(OR(I296="",H296=0),"",MAX(0,MIN(1,(IF(P296&lt;&gt;"",P296,TODAY())-G296)/H296)))</f>
        <v/>
      </c>
      <c r="L296" s="46">
        <f>IF(B296="","",SUMIFS('المستخلصات'!$N$5:$N$304,'المستخلصات'!$B$5:$B$304,A296))</f>
        <v/>
      </c>
      <c r="M296" s="46">
        <f>IF(B296="","",SUMIFS('سندات القبض'!$K$5:$K$304,'سندات القبض'!$D$5:$D$304,A296))</f>
        <v/>
      </c>
      <c r="N296" s="46">
        <f>IF(B296="","",SUMIFS('سندات الصرف'!$L$5:$L$304,'سندات الصرف'!$D$5:$D$304,A296))</f>
        <v/>
      </c>
      <c r="O296" s="46">
        <f>IF(B296="","",M296-N296)</f>
        <v/>
      </c>
      <c r="P296" s="47" t="n"/>
      <c r="Q296" s="47" t="n"/>
      <c r="R296" s="48">
        <f>IF(B296="","",COUNTIFS('اعتماد المواد'!$B$5:$B$304,A296,'اعتماد المواد'!$M$5:$M$304,"قيد المراجعة"))</f>
        <v/>
      </c>
      <c r="S296" s="48">
        <f>IF(B296="","",COUNTIFS('عدم المطابقة'!$C$5:$C$304,A296,'عدم المطابقة'!$L$5:$L$304,"مفتوح*"))</f>
        <v/>
      </c>
      <c r="T296" s="48">
        <f>IF(B296="","",COUNTIFS('ملاحظات التسليم'!$B$5:$B$304,A296,'ملاحظات التسليم'!$K$5:$K$304,"مفتوح*"))</f>
        <v/>
      </c>
      <c r="U296" s="49">
        <f>IF(B296="","",IF(Q296&lt;&gt;"","مسلّم نهائياً",IF(P296&lt;&gt;"","فترة الضمان",IF(G296="","بانتظار استلام الموقع",IF(TODAY()&gt;I296,"متأخر عن التعاقد",IF(J296&lt;K296-0.1,"متأخر عن الخطة","جاري التنفيذ"))))))</f>
        <v/>
      </c>
    </row>
    <row r="297">
      <c r="A297" s="39">
        <f>IF(B297="","","PRJ-"&amp;TEXT(ROW()-4,"000"))</f>
        <v/>
      </c>
      <c r="B297" s="40" t="n"/>
      <c r="C297" s="40" t="n"/>
      <c r="D297" s="40" t="n"/>
      <c r="E297" s="40" t="n"/>
      <c r="F297" s="41" t="n"/>
      <c r="G297" s="42">
        <f>IF(B297="","",IFERROR(INDEX('استلام المواقع'!$D$5:$D$304,MATCH(A297,'استلام المواقع'!$B$5:$B$304,0)),""))</f>
        <v/>
      </c>
      <c r="H297" s="43" t="n"/>
      <c r="I297" s="42">
        <f>IF(OR(G297="",H297=""),"",G297+H297)</f>
        <v/>
      </c>
      <c r="J297" s="44" t="n"/>
      <c r="K297" s="45">
        <f>IF(OR(I297="",H297=0),"",MAX(0,MIN(1,(IF(P297&lt;&gt;"",P297,TODAY())-G297)/H297)))</f>
        <v/>
      </c>
      <c r="L297" s="46">
        <f>IF(B297="","",SUMIFS('المستخلصات'!$N$5:$N$304,'المستخلصات'!$B$5:$B$304,A297))</f>
        <v/>
      </c>
      <c r="M297" s="46">
        <f>IF(B297="","",SUMIFS('سندات القبض'!$K$5:$K$304,'سندات القبض'!$D$5:$D$304,A297))</f>
        <v/>
      </c>
      <c r="N297" s="46">
        <f>IF(B297="","",SUMIFS('سندات الصرف'!$L$5:$L$304,'سندات الصرف'!$D$5:$D$304,A297))</f>
        <v/>
      </c>
      <c r="O297" s="46">
        <f>IF(B297="","",M297-N297)</f>
        <v/>
      </c>
      <c r="P297" s="47" t="n"/>
      <c r="Q297" s="47" t="n"/>
      <c r="R297" s="48">
        <f>IF(B297="","",COUNTIFS('اعتماد المواد'!$B$5:$B$304,A297,'اعتماد المواد'!$M$5:$M$304,"قيد المراجعة"))</f>
        <v/>
      </c>
      <c r="S297" s="48">
        <f>IF(B297="","",COUNTIFS('عدم المطابقة'!$C$5:$C$304,A297,'عدم المطابقة'!$L$5:$L$304,"مفتوح*"))</f>
        <v/>
      </c>
      <c r="T297" s="48">
        <f>IF(B297="","",COUNTIFS('ملاحظات التسليم'!$B$5:$B$304,A297,'ملاحظات التسليم'!$K$5:$K$304,"مفتوح*"))</f>
        <v/>
      </c>
      <c r="U297" s="49">
        <f>IF(B297="","",IF(Q297&lt;&gt;"","مسلّم نهائياً",IF(P297&lt;&gt;"","فترة الضمان",IF(G297="","بانتظار استلام الموقع",IF(TODAY()&gt;I297,"متأخر عن التعاقد",IF(J297&lt;K297-0.1,"متأخر عن الخطة","جاري التنفيذ"))))))</f>
        <v/>
      </c>
    </row>
    <row r="298">
      <c r="A298" s="39">
        <f>IF(B298="","","PRJ-"&amp;TEXT(ROW()-4,"000"))</f>
        <v/>
      </c>
      <c r="B298" s="40" t="n"/>
      <c r="C298" s="40" t="n"/>
      <c r="D298" s="40" t="n"/>
      <c r="E298" s="40" t="n"/>
      <c r="F298" s="41" t="n"/>
      <c r="G298" s="42">
        <f>IF(B298="","",IFERROR(INDEX('استلام المواقع'!$D$5:$D$304,MATCH(A298,'استلام المواقع'!$B$5:$B$304,0)),""))</f>
        <v/>
      </c>
      <c r="H298" s="43" t="n"/>
      <c r="I298" s="42">
        <f>IF(OR(G298="",H298=""),"",G298+H298)</f>
        <v/>
      </c>
      <c r="J298" s="44" t="n"/>
      <c r="K298" s="45">
        <f>IF(OR(I298="",H298=0),"",MAX(0,MIN(1,(IF(P298&lt;&gt;"",P298,TODAY())-G298)/H298)))</f>
        <v/>
      </c>
      <c r="L298" s="46">
        <f>IF(B298="","",SUMIFS('المستخلصات'!$N$5:$N$304,'المستخلصات'!$B$5:$B$304,A298))</f>
        <v/>
      </c>
      <c r="M298" s="46">
        <f>IF(B298="","",SUMIFS('سندات القبض'!$K$5:$K$304,'سندات القبض'!$D$5:$D$304,A298))</f>
        <v/>
      </c>
      <c r="N298" s="46">
        <f>IF(B298="","",SUMIFS('سندات الصرف'!$L$5:$L$304,'سندات الصرف'!$D$5:$D$304,A298))</f>
        <v/>
      </c>
      <c r="O298" s="46">
        <f>IF(B298="","",M298-N298)</f>
        <v/>
      </c>
      <c r="P298" s="47" t="n"/>
      <c r="Q298" s="47" t="n"/>
      <c r="R298" s="48">
        <f>IF(B298="","",COUNTIFS('اعتماد المواد'!$B$5:$B$304,A298,'اعتماد المواد'!$M$5:$M$304,"قيد المراجعة"))</f>
        <v/>
      </c>
      <c r="S298" s="48">
        <f>IF(B298="","",COUNTIFS('عدم المطابقة'!$C$5:$C$304,A298,'عدم المطابقة'!$L$5:$L$304,"مفتوح*"))</f>
        <v/>
      </c>
      <c r="T298" s="48">
        <f>IF(B298="","",COUNTIFS('ملاحظات التسليم'!$B$5:$B$304,A298,'ملاحظات التسليم'!$K$5:$K$304,"مفتوح*"))</f>
        <v/>
      </c>
      <c r="U298" s="49">
        <f>IF(B298="","",IF(Q298&lt;&gt;"","مسلّم نهائياً",IF(P298&lt;&gt;"","فترة الضمان",IF(G298="","بانتظار استلام الموقع",IF(TODAY()&gt;I298,"متأخر عن التعاقد",IF(J298&lt;K298-0.1,"متأخر عن الخطة","جاري التنفيذ"))))))</f>
        <v/>
      </c>
    </row>
    <row r="299">
      <c r="A299" s="39">
        <f>IF(B299="","","PRJ-"&amp;TEXT(ROW()-4,"000"))</f>
        <v/>
      </c>
      <c r="B299" s="40" t="n"/>
      <c r="C299" s="40" t="n"/>
      <c r="D299" s="40" t="n"/>
      <c r="E299" s="40" t="n"/>
      <c r="F299" s="41" t="n"/>
      <c r="G299" s="42">
        <f>IF(B299="","",IFERROR(INDEX('استلام المواقع'!$D$5:$D$304,MATCH(A299,'استلام المواقع'!$B$5:$B$304,0)),""))</f>
        <v/>
      </c>
      <c r="H299" s="43" t="n"/>
      <c r="I299" s="42">
        <f>IF(OR(G299="",H299=""),"",G299+H299)</f>
        <v/>
      </c>
      <c r="J299" s="44" t="n"/>
      <c r="K299" s="45">
        <f>IF(OR(I299="",H299=0),"",MAX(0,MIN(1,(IF(P299&lt;&gt;"",P299,TODAY())-G299)/H299)))</f>
        <v/>
      </c>
      <c r="L299" s="46">
        <f>IF(B299="","",SUMIFS('المستخلصات'!$N$5:$N$304,'المستخلصات'!$B$5:$B$304,A299))</f>
        <v/>
      </c>
      <c r="M299" s="46">
        <f>IF(B299="","",SUMIFS('سندات القبض'!$K$5:$K$304,'سندات القبض'!$D$5:$D$304,A299))</f>
        <v/>
      </c>
      <c r="N299" s="46">
        <f>IF(B299="","",SUMIFS('سندات الصرف'!$L$5:$L$304,'سندات الصرف'!$D$5:$D$304,A299))</f>
        <v/>
      </c>
      <c r="O299" s="46">
        <f>IF(B299="","",M299-N299)</f>
        <v/>
      </c>
      <c r="P299" s="47" t="n"/>
      <c r="Q299" s="47" t="n"/>
      <c r="R299" s="48">
        <f>IF(B299="","",COUNTIFS('اعتماد المواد'!$B$5:$B$304,A299,'اعتماد المواد'!$M$5:$M$304,"قيد المراجعة"))</f>
        <v/>
      </c>
      <c r="S299" s="48">
        <f>IF(B299="","",COUNTIFS('عدم المطابقة'!$C$5:$C$304,A299,'عدم المطابقة'!$L$5:$L$304,"مفتوح*"))</f>
        <v/>
      </c>
      <c r="T299" s="48">
        <f>IF(B299="","",COUNTIFS('ملاحظات التسليم'!$B$5:$B$304,A299,'ملاحظات التسليم'!$K$5:$K$304,"مفتوح*"))</f>
        <v/>
      </c>
      <c r="U299" s="49">
        <f>IF(B299="","",IF(Q299&lt;&gt;"","مسلّم نهائياً",IF(P299&lt;&gt;"","فترة الضمان",IF(G299="","بانتظار استلام الموقع",IF(TODAY()&gt;I299,"متأخر عن التعاقد",IF(J299&lt;K299-0.1,"متأخر عن الخطة","جاري التنفيذ"))))))</f>
        <v/>
      </c>
    </row>
    <row r="300">
      <c r="A300" s="39">
        <f>IF(B300="","","PRJ-"&amp;TEXT(ROW()-4,"000"))</f>
        <v/>
      </c>
      <c r="B300" s="40" t="n"/>
      <c r="C300" s="40" t="n"/>
      <c r="D300" s="40" t="n"/>
      <c r="E300" s="40" t="n"/>
      <c r="F300" s="41" t="n"/>
      <c r="G300" s="42">
        <f>IF(B300="","",IFERROR(INDEX('استلام المواقع'!$D$5:$D$304,MATCH(A300,'استلام المواقع'!$B$5:$B$304,0)),""))</f>
        <v/>
      </c>
      <c r="H300" s="43" t="n"/>
      <c r="I300" s="42">
        <f>IF(OR(G300="",H300=""),"",G300+H300)</f>
        <v/>
      </c>
      <c r="J300" s="44" t="n"/>
      <c r="K300" s="45">
        <f>IF(OR(I300="",H300=0),"",MAX(0,MIN(1,(IF(P300&lt;&gt;"",P300,TODAY())-G300)/H300)))</f>
        <v/>
      </c>
      <c r="L300" s="46">
        <f>IF(B300="","",SUMIFS('المستخلصات'!$N$5:$N$304,'المستخلصات'!$B$5:$B$304,A300))</f>
        <v/>
      </c>
      <c r="M300" s="46">
        <f>IF(B300="","",SUMIFS('سندات القبض'!$K$5:$K$304,'سندات القبض'!$D$5:$D$304,A300))</f>
        <v/>
      </c>
      <c r="N300" s="46">
        <f>IF(B300="","",SUMIFS('سندات الصرف'!$L$5:$L$304,'سندات الصرف'!$D$5:$D$304,A300))</f>
        <v/>
      </c>
      <c r="O300" s="46">
        <f>IF(B300="","",M300-N300)</f>
        <v/>
      </c>
      <c r="P300" s="47" t="n"/>
      <c r="Q300" s="47" t="n"/>
      <c r="R300" s="48">
        <f>IF(B300="","",COUNTIFS('اعتماد المواد'!$B$5:$B$304,A300,'اعتماد المواد'!$M$5:$M$304,"قيد المراجعة"))</f>
        <v/>
      </c>
      <c r="S300" s="48">
        <f>IF(B300="","",COUNTIFS('عدم المطابقة'!$C$5:$C$304,A300,'عدم المطابقة'!$L$5:$L$304,"مفتوح*"))</f>
        <v/>
      </c>
      <c r="T300" s="48">
        <f>IF(B300="","",COUNTIFS('ملاحظات التسليم'!$B$5:$B$304,A300,'ملاحظات التسليم'!$K$5:$K$304,"مفتوح*"))</f>
        <v/>
      </c>
      <c r="U300" s="49">
        <f>IF(B300="","",IF(Q300&lt;&gt;"","مسلّم نهائياً",IF(P300&lt;&gt;"","فترة الضمان",IF(G300="","بانتظار استلام الموقع",IF(TODAY()&gt;I300,"متأخر عن التعاقد",IF(J300&lt;K300-0.1,"متأخر عن الخطة","جاري التنفيذ"))))))</f>
        <v/>
      </c>
    </row>
    <row r="301">
      <c r="A301" s="39">
        <f>IF(B301="","","PRJ-"&amp;TEXT(ROW()-4,"000"))</f>
        <v/>
      </c>
      <c r="B301" s="40" t="n"/>
      <c r="C301" s="40" t="n"/>
      <c r="D301" s="40" t="n"/>
      <c r="E301" s="40" t="n"/>
      <c r="F301" s="41" t="n"/>
      <c r="G301" s="42">
        <f>IF(B301="","",IFERROR(INDEX('استلام المواقع'!$D$5:$D$304,MATCH(A301,'استلام المواقع'!$B$5:$B$304,0)),""))</f>
        <v/>
      </c>
      <c r="H301" s="43" t="n"/>
      <c r="I301" s="42">
        <f>IF(OR(G301="",H301=""),"",G301+H301)</f>
        <v/>
      </c>
      <c r="J301" s="44" t="n"/>
      <c r="K301" s="45">
        <f>IF(OR(I301="",H301=0),"",MAX(0,MIN(1,(IF(P301&lt;&gt;"",P301,TODAY())-G301)/H301)))</f>
        <v/>
      </c>
      <c r="L301" s="46">
        <f>IF(B301="","",SUMIFS('المستخلصات'!$N$5:$N$304,'المستخلصات'!$B$5:$B$304,A301))</f>
        <v/>
      </c>
      <c r="M301" s="46">
        <f>IF(B301="","",SUMIFS('سندات القبض'!$K$5:$K$304,'سندات القبض'!$D$5:$D$304,A301))</f>
        <v/>
      </c>
      <c r="N301" s="46">
        <f>IF(B301="","",SUMIFS('سندات الصرف'!$L$5:$L$304,'سندات الصرف'!$D$5:$D$304,A301))</f>
        <v/>
      </c>
      <c r="O301" s="46">
        <f>IF(B301="","",M301-N301)</f>
        <v/>
      </c>
      <c r="P301" s="47" t="n"/>
      <c r="Q301" s="47" t="n"/>
      <c r="R301" s="48">
        <f>IF(B301="","",COUNTIFS('اعتماد المواد'!$B$5:$B$304,A301,'اعتماد المواد'!$M$5:$M$304,"قيد المراجعة"))</f>
        <v/>
      </c>
      <c r="S301" s="48">
        <f>IF(B301="","",COUNTIFS('عدم المطابقة'!$C$5:$C$304,A301,'عدم المطابقة'!$L$5:$L$304,"مفتوح*"))</f>
        <v/>
      </c>
      <c r="T301" s="48">
        <f>IF(B301="","",COUNTIFS('ملاحظات التسليم'!$B$5:$B$304,A301,'ملاحظات التسليم'!$K$5:$K$304,"مفتوح*"))</f>
        <v/>
      </c>
      <c r="U301" s="49">
        <f>IF(B301="","",IF(Q301&lt;&gt;"","مسلّم نهائياً",IF(P301&lt;&gt;"","فترة الضمان",IF(G301="","بانتظار استلام الموقع",IF(TODAY()&gt;I301,"متأخر عن التعاقد",IF(J301&lt;K301-0.1,"متأخر عن الخطة","جاري التنفيذ"))))))</f>
        <v/>
      </c>
    </row>
    <row r="302">
      <c r="A302" s="39">
        <f>IF(B302="","","PRJ-"&amp;TEXT(ROW()-4,"000"))</f>
        <v/>
      </c>
      <c r="B302" s="40" t="n"/>
      <c r="C302" s="40" t="n"/>
      <c r="D302" s="40" t="n"/>
      <c r="E302" s="40" t="n"/>
      <c r="F302" s="41" t="n"/>
      <c r="G302" s="42">
        <f>IF(B302="","",IFERROR(INDEX('استلام المواقع'!$D$5:$D$304,MATCH(A302,'استلام المواقع'!$B$5:$B$304,0)),""))</f>
        <v/>
      </c>
      <c r="H302" s="43" t="n"/>
      <c r="I302" s="42">
        <f>IF(OR(G302="",H302=""),"",G302+H302)</f>
        <v/>
      </c>
      <c r="J302" s="44" t="n"/>
      <c r="K302" s="45">
        <f>IF(OR(I302="",H302=0),"",MAX(0,MIN(1,(IF(P302&lt;&gt;"",P302,TODAY())-G302)/H302)))</f>
        <v/>
      </c>
      <c r="L302" s="46">
        <f>IF(B302="","",SUMIFS('المستخلصات'!$N$5:$N$304,'المستخلصات'!$B$5:$B$304,A302))</f>
        <v/>
      </c>
      <c r="M302" s="46">
        <f>IF(B302="","",SUMIFS('سندات القبض'!$K$5:$K$304,'سندات القبض'!$D$5:$D$304,A302))</f>
        <v/>
      </c>
      <c r="N302" s="46">
        <f>IF(B302="","",SUMIFS('سندات الصرف'!$L$5:$L$304,'سندات الصرف'!$D$5:$D$304,A302))</f>
        <v/>
      </c>
      <c r="O302" s="46">
        <f>IF(B302="","",M302-N302)</f>
        <v/>
      </c>
      <c r="P302" s="47" t="n"/>
      <c r="Q302" s="47" t="n"/>
      <c r="R302" s="48">
        <f>IF(B302="","",COUNTIFS('اعتماد المواد'!$B$5:$B$304,A302,'اعتماد المواد'!$M$5:$M$304,"قيد المراجعة"))</f>
        <v/>
      </c>
      <c r="S302" s="48">
        <f>IF(B302="","",COUNTIFS('عدم المطابقة'!$C$5:$C$304,A302,'عدم المطابقة'!$L$5:$L$304,"مفتوح*"))</f>
        <v/>
      </c>
      <c r="T302" s="48">
        <f>IF(B302="","",COUNTIFS('ملاحظات التسليم'!$B$5:$B$304,A302,'ملاحظات التسليم'!$K$5:$K$304,"مفتوح*"))</f>
        <v/>
      </c>
      <c r="U302" s="49">
        <f>IF(B302="","",IF(Q302&lt;&gt;"","مسلّم نهائياً",IF(P302&lt;&gt;"","فترة الضمان",IF(G302="","بانتظار استلام الموقع",IF(TODAY()&gt;I302,"متأخر عن التعاقد",IF(J302&lt;K302-0.1,"متأخر عن الخطة","جاري التنفيذ"))))))</f>
        <v/>
      </c>
    </row>
    <row r="303">
      <c r="A303" s="39">
        <f>IF(B303="","","PRJ-"&amp;TEXT(ROW()-4,"000"))</f>
        <v/>
      </c>
      <c r="B303" s="40" t="n"/>
      <c r="C303" s="40" t="n"/>
      <c r="D303" s="40" t="n"/>
      <c r="E303" s="40" t="n"/>
      <c r="F303" s="41" t="n"/>
      <c r="G303" s="42">
        <f>IF(B303="","",IFERROR(INDEX('استلام المواقع'!$D$5:$D$304,MATCH(A303,'استلام المواقع'!$B$5:$B$304,0)),""))</f>
        <v/>
      </c>
      <c r="H303" s="43" t="n"/>
      <c r="I303" s="42">
        <f>IF(OR(G303="",H303=""),"",G303+H303)</f>
        <v/>
      </c>
      <c r="J303" s="44" t="n"/>
      <c r="K303" s="45">
        <f>IF(OR(I303="",H303=0),"",MAX(0,MIN(1,(IF(P303&lt;&gt;"",P303,TODAY())-G303)/H303)))</f>
        <v/>
      </c>
      <c r="L303" s="46">
        <f>IF(B303="","",SUMIFS('المستخلصات'!$N$5:$N$304,'المستخلصات'!$B$5:$B$304,A303))</f>
        <v/>
      </c>
      <c r="M303" s="46">
        <f>IF(B303="","",SUMIFS('سندات القبض'!$K$5:$K$304,'سندات القبض'!$D$5:$D$304,A303))</f>
        <v/>
      </c>
      <c r="N303" s="46">
        <f>IF(B303="","",SUMIFS('سندات الصرف'!$L$5:$L$304,'سندات الصرف'!$D$5:$D$304,A303))</f>
        <v/>
      </c>
      <c r="O303" s="46">
        <f>IF(B303="","",M303-N303)</f>
        <v/>
      </c>
      <c r="P303" s="47" t="n"/>
      <c r="Q303" s="47" t="n"/>
      <c r="R303" s="48">
        <f>IF(B303="","",COUNTIFS('اعتماد المواد'!$B$5:$B$304,A303,'اعتماد المواد'!$M$5:$M$304,"قيد المراجعة"))</f>
        <v/>
      </c>
      <c r="S303" s="48">
        <f>IF(B303="","",COUNTIFS('عدم المطابقة'!$C$5:$C$304,A303,'عدم المطابقة'!$L$5:$L$304,"مفتوح*"))</f>
        <v/>
      </c>
      <c r="T303" s="48">
        <f>IF(B303="","",COUNTIFS('ملاحظات التسليم'!$B$5:$B$304,A303,'ملاحظات التسليم'!$K$5:$K$304,"مفتوح*"))</f>
        <v/>
      </c>
      <c r="U303" s="49">
        <f>IF(B303="","",IF(Q303&lt;&gt;"","مسلّم نهائياً",IF(P303&lt;&gt;"","فترة الضمان",IF(G303="","بانتظار استلام الموقع",IF(TODAY()&gt;I303,"متأخر عن التعاقد",IF(J303&lt;K303-0.1,"متأخر عن الخطة","جاري التنفيذ"))))))</f>
        <v/>
      </c>
    </row>
    <row r="304">
      <c r="A304" s="39">
        <f>IF(B304="","","PRJ-"&amp;TEXT(ROW()-4,"000"))</f>
        <v/>
      </c>
      <c r="B304" s="40" t="n"/>
      <c r="C304" s="40" t="n"/>
      <c r="D304" s="40" t="n"/>
      <c r="E304" s="40" t="n"/>
      <c r="F304" s="41" t="n"/>
      <c r="G304" s="42">
        <f>IF(B304="","",IFERROR(INDEX('استلام المواقع'!$D$5:$D$304,MATCH(A304,'استلام المواقع'!$B$5:$B$304,0)),""))</f>
        <v/>
      </c>
      <c r="H304" s="43" t="n"/>
      <c r="I304" s="42">
        <f>IF(OR(G304="",H304=""),"",G304+H304)</f>
        <v/>
      </c>
      <c r="J304" s="44" t="n"/>
      <c r="K304" s="45">
        <f>IF(OR(I304="",H304=0),"",MAX(0,MIN(1,(IF(P304&lt;&gt;"",P304,TODAY())-G304)/H304)))</f>
        <v/>
      </c>
      <c r="L304" s="46">
        <f>IF(B304="","",SUMIFS('المستخلصات'!$N$5:$N$304,'المستخلصات'!$B$5:$B$304,A304))</f>
        <v/>
      </c>
      <c r="M304" s="46">
        <f>IF(B304="","",SUMIFS('سندات القبض'!$K$5:$K$304,'سندات القبض'!$D$5:$D$304,A304))</f>
        <v/>
      </c>
      <c r="N304" s="46">
        <f>IF(B304="","",SUMIFS('سندات الصرف'!$L$5:$L$304,'سندات الصرف'!$D$5:$D$304,A304))</f>
        <v/>
      </c>
      <c r="O304" s="46">
        <f>IF(B304="","",M304-N304)</f>
        <v/>
      </c>
      <c r="P304" s="47" t="n"/>
      <c r="Q304" s="47" t="n"/>
      <c r="R304" s="48">
        <f>IF(B304="","",COUNTIFS('اعتماد المواد'!$B$5:$B$304,A304,'اعتماد المواد'!$M$5:$M$304,"قيد المراجعة"))</f>
        <v/>
      </c>
      <c r="S304" s="48">
        <f>IF(B304="","",COUNTIFS('عدم المطابقة'!$C$5:$C$304,A304,'عدم المطابقة'!$L$5:$L$304,"مفتوح*"))</f>
        <v/>
      </c>
      <c r="T304" s="48">
        <f>IF(B304="","",COUNTIFS('ملاحظات التسليم'!$B$5:$B$304,A304,'ملاحظات التسليم'!$K$5:$K$304,"مفتوح*"))</f>
        <v/>
      </c>
      <c r="U304" s="49">
        <f>IF(B304="","",IF(Q304&lt;&gt;"","مسلّم نهائياً",IF(P304&lt;&gt;"","فترة الضمان",IF(G304="","بانتظار استلام الموقع",IF(TODAY()&gt;I304,"متأخر عن التعاقد",IF(J304&lt;K304-0.1,"متأخر عن الخطة","جاري التنفيذ"))))))</f>
        <v/>
      </c>
    </row>
  </sheetData>
  <autoFilter ref="A4:U304"/>
  <mergeCells count="2">
    <mergeCell ref="A1:U1"/>
    <mergeCell ref="A2:U2"/>
  </mergeCells>
  <conditionalFormatting sqref="U5:U304">
    <cfRule type="expression" priority="1" dxfId="0" stopIfTrue="1">
      <formula>OR(ISNUMBER(SEARCH("متأخر",U5)),ISNUMBER(SEARCH("مرفوض",U5)),ISNUMBER(SEARCH("غير معتمدة",U5)),ISNUMBER(SEARCH("غير محصّل",U5)),ISNUMBER(SEARCH("سالب",U5)),ISNUMBER(SEARCH("أكثر من الرصيد",U5)),ISNUMBER(SEARCH("بتحفظات",U5)))</formula>
    </cfRule>
    <cfRule type="expression" priority="2" dxfId="1" stopIfTrue="1">
      <formula>OR(ISNUMBER(SEARCH("قيد",U5)),ISNUMBER(SEARCH("جزئي",U5)),ISNUMBER(SEARCH("بانتظار",U5)),ISNUMBER(SEARCH("مفتوح",U5)),ISNUMBER(SEARCH("أعد الطلب",U5)),ISNUMBER(SEARCH("لم يُورد",U5)),ISNUMBER(SEARCH("فترة الضمان",U5)),ISNUMBER(SEARCH("مُقدم",U5)))</formula>
    </cfRule>
    <cfRule type="expression" priority="3" dxfId="2" stopIfTrue="1">
      <formula>OR(ISNUMBER(SEARCH("معتمد",U5)),ISNUMBER(SEARCH("مقبول",U5)),ISNUMBER(SEARCH("مكتمل",U5)),ISNUMBER(SEARCH("مغلق",U5)),ISNUMBER(SEARCH("بالكامل",U5)),ISNUMBER(SEARCH("مسلّم",U5)),ISNUMBER(SEARCH("كامل",U5)),ISNUMBER(SEARCH("متاح",U5)),ISNUMBER(SEARCH("جاري",U5)))</formula>
    </cfRule>
  </conditionalFormatting>
  <dataValidations count="2">
    <dataValidation sqref="P5:P304" showDropDown="0" showInputMessage="0" showErrorMessage="1" allowBlank="1" errorTitle="تاريخ" error="أدخل تاريخاً صحيحاً" type="date" operator="between">
      <formula1>DATE(2000,1,1)</formula1>
      <formula2>DATE(2100,12,31)</formula2>
    </dataValidation>
    <dataValidation sqref="Q5:Q304" showDropDown="0" showInputMessage="0" showErrorMessage="1" allowBlank="1" errorTitle="تاريخ" error="أدخل تاريخاً صحيحاً" type="date" operator="between">
      <formula1>DATE(2000,1,1)</formula1>
      <formula2>DATE(2100,12,31)</formula2>
    </dataValidation>
  </dataValidations>
  <hyperlinks>
    <hyperlink xmlns:r="http://schemas.openxmlformats.org/officeDocument/2006/relationships" ref="A3" r:id="rId1"/>
  </hyperlinks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tabColor rgb="005B7DB1"/>
    <outlinePr summaryBelow="1" summaryRight="1"/>
    <pageSetUpPr fitToPage="1"/>
  </sheetPr>
  <dimension ref="A1:L304"/>
  <sheetViews>
    <sheetView showGridLines="0" rightToLeft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24" customWidth="1" min="3" max="3"/>
    <col width="12" customWidth="1" min="4" max="4"/>
    <col width="11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30" customWidth="1" min="11" max="11"/>
    <col width="16" customWidth="1" min="12" max="12"/>
  </cols>
  <sheetData>
    <row r="1" ht="32" customHeight="1">
      <c r="A1" s="34">
        <f>S_Company&amp;"  |  استلام المواقع"</f>
        <v/>
      </c>
    </row>
    <row r="2">
      <c r="A2" s="35" t="inlineStr">
        <is>
          <t>محاضر استلام المواقع من المالك (QF-SH-01)</t>
        </is>
      </c>
    </row>
    <row r="3">
      <c r="A3" s="33" t="inlineStr">
        <is>
          <t>↩ الرئيسية</t>
        </is>
      </c>
      <c r="B3" s="36" t="inlineStr">
        <is>
          <t xml:space="preserve">   ■ أصفر = إدخال يدوي    ■ رمادي = معادلة تلقائية (لا تكتب فيها)    — الصفوف الأولى أمثلة توضيحية؛ احذف قيم الإدخال واستبدلها ببياناتك</t>
        </is>
      </c>
    </row>
    <row r="4" ht="42" customHeight="1">
      <c r="A4" s="37" t="inlineStr">
        <is>
          <t>رقم المحضر</t>
        </is>
      </c>
      <c r="B4" s="38" t="inlineStr">
        <is>
          <t>كود المشروع</t>
        </is>
      </c>
      <c r="C4" s="37" t="inlineStr">
        <is>
          <t>اسم المشروع</t>
        </is>
      </c>
      <c r="D4" s="38" t="inlineStr">
        <is>
          <t>تاريخ الاستلام</t>
        </is>
      </c>
      <c r="E4" s="38" t="inlineStr">
        <is>
          <t>الموقع خالٍ من العوائق</t>
        </is>
      </c>
      <c r="F4" s="38" t="inlineStr">
        <is>
          <t>تسليم نقاط الروبير</t>
        </is>
      </c>
      <c r="G4" s="38" t="inlineStr">
        <is>
          <t>تسليم المخططات المعتمدة</t>
        </is>
      </c>
      <c r="H4" s="38" t="inlineStr">
        <is>
          <t>تقرير التربة</t>
        </is>
      </c>
      <c r="I4" s="38" t="inlineStr">
        <is>
          <t>مياه/كهرباء مؤقتة</t>
        </is>
      </c>
      <c r="J4" s="38" t="inlineStr">
        <is>
          <t>الترخيص</t>
        </is>
      </c>
      <c r="K4" s="38" t="inlineStr">
        <is>
          <t>تحفظات المقاول</t>
        </is>
      </c>
      <c r="L4" s="37" t="inlineStr">
        <is>
          <t>نتيجة الاستلام</t>
        </is>
      </c>
    </row>
    <row r="5">
      <c r="A5" s="39">
        <f>IF(B5="","","SH-"&amp;TEXT(ROW()-4,"0000"))</f>
        <v/>
      </c>
      <c r="B5" s="50" t="inlineStr">
        <is>
          <t>PRJ-001</t>
        </is>
      </c>
      <c r="C5" s="49">
        <f>IF(B5="","",IFERROR(INDEX('المشروعات'!$B$5:$B$304,MATCH(B5,'المشروعات'!$A$5:$A$304,0)),""))</f>
        <v/>
      </c>
      <c r="D5" s="47" t="n">
        <v>45962</v>
      </c>
      <c r="E5" s="40" t="inlineStr">
        <is>
          <t>نعم</t>
        </is>
      </c>
      <c r="F5" s="40" t="inlineStr">
        <is>
          <t>نعم</t>
        </is>
      </c>
      <c r="G5" s="40" t="inlineStr">
        <is>
          <t>نعم</t>
        </is>
      </c>
      <c r="H5" s="40" t="inlineStr">
        <is>
          <t>نعم</t>
        </is>
      </c>
      <c r="I5" s="40" t="inlineStr">
        <is>
          <t>لا</t>
        </is>
      </c>
      <c r="J5" s="40" t="inlineStr">
        <is>
          <t>نعم</t>
        </is>
      </c>
      <c r="K5" s="40" t="inlineStr">
        <is>
          <t>الكهرباء المؤقتة على حساب المالك خلال 30 يوماً</t>
        </is>
      </c>
      <c r="L5" s="49">
        <f>IF(B5="","",IF(COUNTIF(E5:J5,"لا")&gt;0,"استلام بتحفظات ("&amp;COUNTIF(E5:J5,"لا")&amp;")","استلام كامل"))</f>
        <v/>
      </c>
    </row>
    <row r="6">
      <c r="A6" s="39">
        <f>IF(B6="","","SH-"&amp;TEXT(ROW()-4,"0000"))</f>
        <v/>
      </c>
      <c r="B6" s="50" t="inlineStr">
        <is>
          <t>PRJ-002</t>
        </is>
      </c>
      <c r="C6" s="49">
        <f>IF(B6="","",IFERROR(INDEX('المشروعات'!$B$5:$B$304,MATCH(B6,'المشروعات'!$A$5:$A$304,0)),""))</f>
        <v/>
      </c>
      <c r="D6" s="47" t="n">
        <v>46157</v>
      </c>
      <c r="E6" s="40" t="inlineStr">
        <is>
          <t>نعم</t>
        </is>
      </c>
      <c r="F6" s="40" t="inlineStr">
        <is>
          <t>نعم</t>
        </is>
      </c>
      <c r="G6" s="40" t="inlineStr">
        <is>
          <t>نعم</t>
        </is>
      </c>
      <c r="H6" s="40" t="inlineStr">
        <is>
          <t>نعم</t>
        </is>
      </c>
      <c r="I6" s="40" t="inlineStr">
        <is>
          <t>نعم</t>
        </is>
      </c>
      <c r="J6" s="40" t="inlineStr">
        <is>
          <t>نعم</t>
        </is>
      </c>
      <c r="K6" s="40" t="inlineStr"/>
      <c r="L6" s="49">
        <f>IF(B6="","",IF(COUNTIF(E6:J6,"لا")&gt;0,"استلام بتحفظات ("&amp;COUNTIF(E6:J6,"لا")&amp;")","استلام كامل"))</f>
        <v/>
      </c>
    </row>
    <row r="7">
      <c r="A7" s="39">
        <f>IF(B7="","","SH-"&amp;TEXT(ROW()-4,"0000"))</f>
        <v/>
      </c>
      <c r="B7" s="50" t="n"/>
      <c r="C7" s="49">
        <f>IF(B7="","",IFERROR(INDEX('المشروعات'!$B$5:$B$304,MATCH(B7,'المشروعات'!$A$5:$A$304,0)),""))</f>
        <v/>
      </c>
      <c r="D7" s="47" t="n"/>
      <c r="E7" s="40" t="n"/>
      <c r="F7" s="40" t="n"/>
      <c r="G7" s="40" t="n"/>
      <c r="H7" s="40" t="n"/>
      <c r="I7" s="40" t="n"/>
      <c r="J7" s="40" t="n"/>
      <c r="K7" s="40" t="n"/>
      <c r="L7" s="49">
        <f>IF(B7="","",IF(COUNTIF(E7:J7,"لا")&gt;0,"استلام بتحفظات ("&amp;COUNTIF(E7:J7,"لا")&amp;")","استلام كامل"))</f>
        <v/>
      </c>
    </row>
    <row r="8">
      <c r="A8" s="39">
        <f>IF(B8="","","SH-"&amp;TEXT(ROW()-4,"0000"))</f>
        <v/>
      </c>
      <c r="B8" s="50" t="n"/>
      <c r="C8" s="49">
        <f>IF(B8="","",IFERROR(INDEX('المشروعات'!$B$5:$B$304,MATCH(B8,'المشروعات'!$A$5:$A$304,0)),""))</f>
        <v/>
      </c>
      <c r="D8" s="47" t="n"/>
      <c r="E8" s="40" t="n"/>
      <c r="F8" s="40" t="n"/>
      <c r="G8" s="40" t="n"/>
      <c r="H8" s="40" t="n"/>
      <c r="I8" s="40" t="n"/>
      <c r="J8" s="40" t="n"/>
      <c r="K8" s="40" t="n"/>
      <c r="L8" s="49">
        <f>IF(B8="","",IF(COUNTIF(E8:J8,"لا")&gt;0,"استلام بتحفظات ("&amp;COUNTIF(E8:J8,"لا")&amp;")","استلام كامل"))</f>
        <v/>
      </c>
    </row>
    <row r="9">
      <c r="A9" s="39">
        <f>IF(B9="","","SH-"&amp;TEXT(ROW()-4,"0000"))</f>
        <v/>
      </c>
      <c r="B9" s="50" t="n"/>
      <c r="C9" s="49">
        <f>IF(B9="","",IFERROR(INDEX('المشروعات'!$B$5:$B$304,MATCH(B9,'المشروعات'!$A$5:$A$304,0)),""))</f>
        <v/>
      </c>
      <c r="D9" s="47" t="n"/>
      <c r="E9" s="40" t="n"/>
      <c r="F9" s="40" t="n"/>
      <c r="G9" s="40" t="n"/>
      <c r="H9" s="40" t="n"/>
      <c r="I9" s="40" t="n"/>
      <c r="J9" s="40" t="n"/>
      <c r="K9" s="40" t="n"/>
      <c r="L9" s="49">
        <f>IF(B9="","",IF(COUNTIF(E9:J9,"لا")&gt;0,"استلام بتحفظات ("&amp;COUNTIF(E9:J9,"لا")&amp;")","استلام كامل"))</f>
        <v/>
      </c>
    </row>
    <row r="10">
      <c r="A10" s="39">
        <f>IF(B10="","","SH-"&amp;TEXT(ROW()-4,"0000"))</f>
        <v/>
      </c>
      <c r="B10" s="50" t="n"/>
      <c r="C10" s="49">
        <f>IF(B10="","",IFERROR(INDEX('المشروعات'!$B$5:$B$304,MATCH(B10,'المشروعات'!$A$5:$A$304,0)),""))</f>
        <v/>
      </c>
      <c r="D10" s="47" t="n"/>
      <c r="E10" s="40" t="n"/>
      <c r="F10" s="40" t="n"/>
      <c r="G10" s="40" t="n"/>
      <c r="H10" s="40" t="n"/>
      <c r="I10" s="40" t="n"/>
      <c r="J10" s="40" t="n"/>
      <c r="K10" s="40" t="n"/>
      <c r="L10" s="49">
        <f>IF(B10="","",IF(COUNTIF(E10:J10,"لا")&gt;0,"استلام بتحفظات ("&amp;COUNTIF(E10:J10,"لا")&amp;")","استلام كامل"))</f>
        <v/>
      </c>
    </row>
    <row r="11">
      <c r="A11" s="39">
        <f>IF(B11="","","SH-"&amp;TEXT(ROW()-4,"0000"))</f>
        <v/>
      </c>
      <c r="B11" s="50" t="n"/>
      <c r="C11" s="49">
        <f>IF(B11="","",IFERROR(INDEX('المشروعات'!$B$5:$B$304,MATCH(B11,'المشروعات'!$A$5:$A$304,0)),""))</f>
        <v/>
      </c>
      <c r="D11" s="47" t="n"/>
      <c r="E11" s="40" t="n"/>
      <c r="F11" s="40" t="n"/>
      <c r="G11" s="40" t="n"/>
      <c r="H11" s="40" t="n"/>
      <c r="I11" s="40" t="n"/>
      <c r="J11" s="40" t="n"/>
      <c r="K11" s="40" t="n"/>
      <c r="L11" s="49">
        <f>IF(B11="","",IF(COUNTIF(E11:J11,"لا")&gt;0,"استلام بتحفظات ("&amp;COUNTIF(E11:J11,"لا")&amp;")","استلام كامل"))</f>
        <v/>
      </c>
    </row>
    <row r="12">
      <c r="A12" s="39">
        <f>IF(B12="","","SH-"&amp;TEXT(ROW()-4,"0000"))</f>
        <v/>
      </c>
      <c r="B12" s="50" t="n"/>
      <c r="C12" s="49">
        <f>IF(B12="","",IFERROR(INDEX('المشروعات'!$B$5:$B$304,MATCH(B12,'المشروعات'!$A$5:$A$304,0)),""))</f>
        <v/>
      </c>
      <c r="D12" s="47" t="n"/>
      <c r="E12" s="40" t="n"/>
      <c r="F12" s="40" t="n"/>
      <c r="G12" s="40" t="n"/>
      <c r="H12" s="40" t="n"/>
      <c r="I12" s="40" t="n"/>
      <c r="J12" s="40" t="n"/>
      <c r="K12" s="40" t="n"/>
      <c r="L12" s="49">
        <f>IF(B12="","",IF(COUNTIF(E12:J12,"لا")&gt;0,"استلام بتحفظات ("&amp;COUNTIF(E12:J12,"لا")&amp;")","استلام كامل"))</f>
        <v/>
      </c>
    </row>
    <row r="13">
      <c r="A13" s="39">
        <f>IF(B13="","","SH-"&amp;TEXT(ROW()-4,"0000"))</f>
        <v/>
      </c>
      <c r="B13" s="50" t="n"/>
      <c r="C13" s="49">
        <f>IF(B13="","",IFERROR(INDEX('المشروعات'!$B$5:$B$304,MATCH(B13,'المشروعات'!$A$5:$A$304,0)),""))</f>
        <v/>
      </c>
      <c r="D13" s="47" t="n"/>
      <c r="E13" s="40" t="n"/>
      <c r="F13" s="40" t="n"/>
      <c r="G13" s="40" t="n"/>
      <c r="H13" s="40" t="n"/>
      <c r="I13" s="40" t="n"/>
      <c r="J13" s="40" t="n"/>
      <c r="K13" s="40" t="n"/>
      <c r="L13" s="49">
        <f>IF(B13="","",IF(COUNTIF(E13:J13,"لا")&gt;0,"استلام بتحفظات ("&amp;COUNTIF(E13:J13,"لا")&amp;")","استلام كامل"))</f>
        <v/>
      </c>
    </row>
    <row r="14">
      <c r="A14" s="39">
        <f>IF(B14="","","SH-"&amp;TEXT(ROW()-4,"0000"))</f>
        <v/>
      </c>
      <c r="B14" s="50" t="n"/>
      <c r="C14" s="49">
        <f>IF(B14="","",IFERROR(INDEX('المشروعات'!$B$5:$B$304,MATCH(B14,'المشروعات'!$A$5:$A$304,0)),""))</f>
        <v/>
      </c>
      <c r="D14" s="47" t="n"/>
      <c r="E14" s="40" t="n"/>
      <c r="F14" s="40" t="n"/>
      <c r="G14" s="40" t="n"/>
      <c r="H14" s="40" t="n"/>
      <c r="I14" s="40" t="n"/>
      <c r="J14" s="40" t="n"/>
      <c r="K14" s="40" t="n"/>
      <c r="L14" s="49">
        <f>IF(B14="","",IF(COUNTIF(E14:J14,"لا")&gt;0,"استلام بتحفظات ("&amp;COUNTIF(E14:J14,"لا")&amp;")","استلام كامل"))</f>
        <v/>
      </c>
    </row>
    <row r="15">
      <c r="A15" s="39">
        <f>IF(B15="","","SH-"&amp;TEXT(ROW()-4,"0000"))</f>
        <v/>
      </c>
      <c r="B15" s="50" t="n"/>
      <c r="C15" s="49">
        <f>IF(B15="","",IFERROR(INDEX('المشروعات'!$B$5:$B$304,MATCH(B15,'المشروعات'!$A$5:$A$304,0)),""))</f>
        <v/>
      </c>
      <c r="D15" s="47" t="n"/>
      <c r="E15" s="40" t="n"/>
      <c r="F15" s="40" t="n"/>
      <c r="G15" s="40" t="n"/>
      <c r="H15" s="40" t="n"/>
      <c r="I15" s="40" t="n"/>
      <c r="J15" s="40" t="n"/>
      <c r="K15" s="40" t="n"/>
      <c r="L15" s="49">
        <f>IF(B15="","",IF(COUNTIF(E15:J15,"لا")&gt;0,"استلام بتحفظات ("&amp;COUNTIF(E15:J15,"لا")&amp;")","استلام كامل"))</f>
        <v/>
      </c>
    </row>
    <row r="16">
      <c r="A16" s="39">
        <f>IF(B16="","","SH-"&amp;TEXT(ROW()-4,"0000"))</f>
        <v/>
      </c>
      <c r="B16" s="50" t="n"/>
      <c r="C16" s="49">
        <f>IF(B16="","",IFERROR(INDEX('المشروعات'!$B$5:$B$304,MATCH(B16,'المشروعات'!$A$5:$A$304,0)),""))</f>
        <v/>
      </c>
      <c r="D16" s="47" t="n"/>
      <c r="E16" s="40" t="n"/>
      <c r="F16" s="40" t="n"/>
      <c r="G16" s="40" t="n"/>
      <c r="H16" s="40" t="n"/>
      <c r="I16" s="40" t="n"/>
      <c r="J16" s="40" t="n"/>
      <c r="K16" s="40" t="n"/>
      <c r="L16" s="49">
        <f>IF(B16="","",IF(COUNTIF(E16:J16,"لا")&gt;0,"استلام بتحفظات ("&amp;COUNTIF(E16:J16,"لا")&amp;")","استلام كامل"))</f>
        <v/>
      </c>
    </row>
    <row r="17">
      <c r="A17" s="39">
        <f>IF(B17="","","SH-"&amp;TEXT(ROW()-4,"0000"))</f>
        <v/>
      </c>
      <c r="B17" s="50" t="n"/>
      <c r="C17" s="49">
        <f>IF(B17="","",IFERROR(INDEX('المشروعات'!$B$5:$B$304,MATCH(B17,'المشروعات'!$A$5:$A$304,0)),""))</f>
        <v/>
      </c>
      <c r="D17" s="47" t="n"/>
      <c r="E17" s="40" t="n"/>
      <c r="F17" s="40" t="n"/>
      <c r="G17" s="40" t="n"/>
      <c r="H17" s="40" t="n"/>
      <c r="I17" s="40" t="n"/>
      <c r="J17" s="40" t="n"/>
      <c r="K17" s="40" t="n"/>
      <c r="L17" s="49">
        <f>IF(B17="","",IF(COUNTIF(E17:J17,"لا")&gt;0,"استلام بتحفظات ("&amp;COUNTIF(E17:J17,"لا")&amp;")","استلام كامل"))</f>
        <v/>
      </c>
    </row>
    <row r="18">
      <c r="A18" s="39">
        <f>IF(B18="","","SH-"&amp;TEXT(ROW()-4,"0000"))</f>
        <v/>
      </c>
      <c r="B18" s="50" t="n"/>
      <c r="C18" s="49">
        <f>IF(B18="","",IFERROR(INDEX('المشروعات'!$B$5:$B$304,MATCH(B18,'المشروعات'!$A$5:$A$304,0)),""))</f>
        <v/>
      </c>
      <c r="D18" s="47" t="n"/>
      <c r="E18" s="40" t="n"/>
      <c r="F18" s="40" t="n"/>
      <c r="G18" s="40" t="n"/>
      <c r="H18" s="40" t="n"/>
      <c r="I18" s="40" t="n"/>
      <c r="J18" s="40" t="n"/>
      <c r="K18" s="40" t="n"/>
      <c r="L18" s="49">
        <f>IF(B18="","",IF(COUNTIF(E18:J18,"لا")&gt;0,"استلام بتحفظات ("&amp;COUNTIF(E18:J18,"لا")&amp;")","استلام كامل"))</f>
        <v/>
      </c>
    </row>
    <row r="19">
      <c r="A19" s="39">
        <f>IF(B19="","","SH-"&amp;TEXT(ROW()-4,"0000"))</f>
        <v/>
      </c>
      <c r="B19" s="50" t="n"/>
      <c r="C19" s="49">
        <f>IF(B19="","",IFERROR(INDEX('المشروعات'!$B$5:$B$304,MATCH(B19,'المشروعات'!$A$5:$A$304,0)),""))</f>
        <v/>
      </c>
      <c r="D19" s="47" t="n"/>
      <c r="E19" s="40" t="n"/>
      <c r="F19" s="40" t="n"/>
      <c r="G19" s="40" t="n"/>
      <c r="H19" s="40" t="n"/>
      <c r="I19" s="40" t="n"/>
      <c r="J19" s="40" t="n"/>
      <c r="K19" s="40" t="n"/>
      <c r="L19" s="49">
        <f>IF(B19="","",IF(COUNTIF(E19:J19,"لا")&gt;0,"استلام بتحفظات ("&amp;COUNTIF(E19:J19,"لا")&amp;")","استلام كامل"))</f>
        <v/>
      </c>
    </row>
    <row r="20">
      <c r="A20" s="39">
        <f>IF(B20="","","SH-"&amp;TEXT(ROW()-4,"0000"))</f>
        <v/>
      </c>
      <c r="B20" s="50" t="n"/>
      <c r="C20" s="49">
        <f>IF(B20="","",IFERROR(INDEX('المشروعات'!$B$5:$B$304,MATCH(B20,'المشروعات'!$A$5:$A$304,0)),""))</f>
        <v/>
      </c>
      <c r="D20" s="47" t="n"/>
      <c r="E20" s="40" t="n"/>
      <c r="F20" s="40" t="n"/>
      <c r="G20" s="40" t="n"/>
      <c r="H20" s="40" t="n"/>
      <c r="I20" s="40" t="n"/>
      <c r="J20" s="40" t="n"/>
      <c r="K20" s="40" t="n"/>
      <c r="L20" s="49">
        <f>IF(B20="","",IF(COUNTIF(E20:J20,"لا")&gt;0,"استلام بتحفظات ("&amp;COUNTIF(E20:J20,"لا")&amp;")","استلام كامل"))</f>
        <v/>
      </c>
    </row>
    <row r="21">
      <c r="A21" s="39">
        <f>IF(B21="","","SH-"&amp;TEXT(ROW()-4,"0000"))</f>
        <v/>
      </c>
      <c r="B21" s="50" t="n"/>
      <c r="C21" s="49">
        <f>IF(B21="","",IFERROR(INDEX('المشروعات'!$B$5:$B$304,MATCH(B21,'المشروعات'!$A$5:$A$304,0)),""))</f>
        <v/>
      </c>
      <c r="D21" s="47" t="n"/>
      <c r="E21" s="40" t="n"/>
      <c r="F21" s="40" t="n"/>
      <c r="G21" s="40" t="n"/>
      <c r="H21" s="40" t="n"/>
      <c r="I21" s="40" t="n"/>
      <c r="J21" s="40" t="n"/>
      <c r="K21" s="40" t="n"/>
      <c r="L21" s="49">
        <f>IF(B21="","",IF(COUNTIF(E21:J21,"لا")&gt;0,"استلام بتحفظات ("&amp;COUNTIF(E21:J21,"لا")&amp;")","استلام كامل"))</f>
        <v/>
      </c>
    </row>
    <row r="22">
      <c r="A22" s="39">
        <f>IF(B22="","","SH-"&amp;TEXT(ROW()-4,"0000"))</f>
        <v/>
      </c>
      <c r="B22" s="50" t="n"/>
      <c r="C22" s="49">
        <f>IF(B22="","",IFERROR(INDEX('المشروعات'!$B$5:$B$304,MATCH(B22,'المشروعات'!$A$5:$A$304,0)),""))</f>
        <v/>
      </c>
      <c r="D22" s="47" t="n"/>
      <c r="E22" s="40" t="n"/>
      <c r="F22" s="40" t="n"/>
      <c r="G22" s="40" t="n"/>
      <c r="H22" s="40" t="n"/>
      <c r="I22" s="40" t="n"/>
      <c r="J22" s="40" t="n"/>
      <c r="K22" s="40" t="n"/>
      <c r="L22" s="49">
        <f>IF(B22="","",IF(COUNTIF(E22:J22,"لا")&gt;0,"استلام بتحفظات ("&amp;COUNTIF(E22:J22,"لا")&amp;")","استلام كامل"))</f>
        <v/>
      </c>
    </row>
    <row r="23">
      <c r="A23" s="39">
        <f>IF(B23="","","SH-"&amp;TEXT(ROW()-4,"0000"))</f>
        <v/>
      </c>
      <c r="B23" s="50" t="n"/>
      <c r="C23" s="49">
        <f>IF(B23="","",IFERROR(INDEX('المشروعات'!$B$5:$B$304,MATCH(B23,'المشروعات'!$A$5:$A$304,0)),""))</f>
        <v/>
      </c>
      <c r="D23" s="47" t="n"/>
      <c r="E23" s="40" t="n"/>
      <c r="F23" s="40" t="n"/>
      <c r="G23" s="40" t="n"/>
      <c r="H23" s="40" t="n"/>
      <c r="I23" s="40" t="n"/>
      <c r="J23" s="40" t="n"/>
      <c r="K23" s="40" t="n"/>
      <c r="L23" s="49">
        <f>IF(B23="","",IF(COUNTIF(E23:J23,"لا")&gt;0,"استلام بتحفظات ("&amp;COUNTIF(E23:J23,"لا")&amp;")","استلام كامل"))</f>
        <v/>
      </c>
    </row>
    <row r="24">
      <c r="A24" s="39">
        <f>IF(B24="","","SH-"&amp;TEXT(ROW()-4,"0000"))</f>
        <v/>
      </c>
      <c r="B24" s="50" t="n"/>
      <c r="C24" s="49">
        <f>IF(B24="","",IFERROR(INDEX('المشروعات'!$B$5:$B$304,MATCH(B24,'المشروعات'!$A$5:$A$304,0)),""))</f>
        <v/>
      </c>
      <c r="D24" s="47" t="n"/>
      <c r="E24" s="40" t="n"/>
      <c r="F24" s="40" t="n"/>
      <c r="G24" s="40" t="n"/>
      <c r="H24" s="40" t="n"/>
      <c r="I24" s="40" t="n"/>
      <c r="J24" s="40" t="n"/>
      <c r="K24" s="40" t="n"/>
      <c r="L24" s="49">
        <f>IF(B24="","",IF(COUNTIF(E24:J24,"لا")&gt;0,"استلام بتحفظات ("&amp;COUNTIF(E24:J24,"لا")&amp;")","استلام كامل"))</f>
        <v/>
      </c>
    </row>
    <row r="25">
      <c r="A25" s="39">
        <f>IF(B25="","","SH-"&amp;TEXT(ROW()-4,"0000"))</f>
        <v/>
      </c>
      <c r="B25" s="50" t="n"/>
      <c r="C25" s="49">
        <f>IF(B25="","",IFERROR(INDEX('المشروعات'!$B$5:$B$304,MATCH(B25,'المشروعات'!$A$5:$A$304,0)),""))</f>
        <v/>
      </c>
      <c r="D25" s="47" t="n"/>
      <c r="E25" s="40" t="n"/>
      <c r="F25" s="40" t="n"/>
      <c r="G25" s="40" t="n"/>
      <c r="H25" s="40" t="n"/>
      <c r="I25" s="40" t="n"/>
      <c r="J25" s="40" t="n"/>
      <c r="K25" s="40" t="n"/>
      <c r="L25" s="49">
        <f>IF(B25="","",IF(COUNTIF(E25:J25,"لا")&gt;0,"استلام بتحفظات ("&amp;COUNTIF(E25:J25,"لا")&amp;")","استلام كامل"))</f>
        <v/>
      </c>
    </row>
    <row r="26">
      <c r="A26" s="39">
        <f>IF(B26="","","SH-"&amp;TEXT(ROW()-4,"0000"))</f>
        <v/>
      </c>
      <c r="B26" s="50" t="n"/>
      <c r="C26" s="49">
        <f>IF(B26="","",IFERROR(INDEX('المشروعات'!$B$5:$B$304,MATCH(B26,'المشروعات'!$A$5:$A$304,0)),""))</f>
        <v/>
      </c>
      <c r="D26" s="47" t="n"/>
      <c r="E26" s="40" t="n"/>
      <c r="F26" s="40" t="n"/>
      <c r="G26" s="40" t="n"/>
      <c r="H26" s="40" t="n"/>
      <c r="I26" s="40" t="n"/>
      <c r="J26" s="40" t="n"/>
      <c r="K26" s="40" t="n"/>
      <c r="L26" s="49">
        <f>IF(B26="","",IF(COUNTIF(E26:J26,"لا")&gt;0,"استلام بتحفظات ("&amp;COUNTIF(E26:J26,"لا")&amp;")","استلام كامل"))</f>
        <v/>
      </c>
    </row>
    <row r="27">
      <c r="A27" s="39">
        <f>IF(B27="","","SH-"&amp;TEXT(ROW()-4,"0000"))</f>
        <v/>
      </c>
      <c r="B27" s="50" t="n"/>
      <c r="C27" s="49">
        <f>IF(B27="","",IFERROR(INDEX('المشروعات'!$B$5:$B$304,MATCH(B27,'المشروعات'!$A$5:$A$304,0)),""))</f>
        <v/>
      </c>
      <c r="D27" s="47" t="n"/>
      <c r="E27" s="40" t="n"/>
      <c r="F27" s="40" t="n"/>
      <c r="G27" s="40" t="n"/>
      <c r="H27" s="40" t="n"/>
      <c r="I27" s="40" t="n"/>
      <c r="J27" s="40" t="n"/>
      <c r="K27" s="40" t="n"/>
      <c r="L27" s="49">
        <f>IF(B27="","",IF(COUNTIF(E27:J27,"لا")&gt;0,"استلام بتحفظات ("&amp;COUNTIF(E27:J27,"لا")&amp;")","استلام كامل"))</f>
        <v/>
      </c>
    </row>
    <row r="28">
      <c r="A28" s="39">
        <f>IF(B28="","","SH-"&amp;TEXT(ROW()-4,"0000"))</f>
        <v/>
      </c>
      <c r="B28" s="50" t="n"/>
      <c r="C28" s="49">
        <f>IF(B28="","",IFERROR(INDEX('المشروعات'!$B$5:$B$304,MATCH(B28,'المشروعات'!$A$5:$A$304,0)),""))</f>
        <v/>
      </c>
      <c r="D28" s="47" t="n"/>
      <c r="E28" s="40" t="n"/>
      <c r="F28" s="40" t="n"/>
      <c r="G28" s="40" t="n"/>
      <c r="H28" s="40" t="n"/>
      <c r="I28" s="40" t="n"/>
      <c r="J28" s="40" t="n"/>
      <c r="K28" s="40" t="n"/>
      <c r="L28" s="49">
        <f>IF(B28="","",IF(COUNTIF(E28:J28,"لا")&gt;0,"استلام بتحفظات ("&amp;COUNTIF(E28:J28,"لا")&amp;")","استلام كامل"))</f>
        <v/>
      </c>
    </row>
    <row r="29">
      <c r="A29" s="39">
        <f>IF(B29="","","SH-"&amp;TEXT(ROW()-4,"0000"))</f>
        <v/>
      </c>
      <c r="B29" s="50" t="n"/>
      <c r="C29" s="49">
        <f>IF(B29="","",IFERROR(INDEX('المشروعات'!$B$5:$B$304,MATCH(B29,'المشروعات'!$A$5:$A$304,0)),""))</f>
        <v/>
      </c>
      <c r="D29" s="47" t="n"/>
      <c r="E29" s="40" t="n"/>
      <c r="F29" s="40" t="n"/>
      <c r="G29" s="40" t="n"/>
      <c r="H29" s="40" t="n"/>
      <c r="I29" s="40" t="n"/>
      <c r="J29" s="40" t="n"/>
      <c r="K29" s="40" t="n"/>
      <c r="L29" s="49">
        <f>IF(B29="","",IF(COUNTIF(E29:J29,"لا")&gt;0,"استلام بتحفظات ("&amp;COUNTIF(E29:J29,"لا")&amp;")","استلام كامل"))</f>
        <v/>
      </c>
    </row>
    <row r="30">
      <c r="A30" s="39">
        <f>IF(B30="","","SH-"&amp;TEXT(ROW()-4,"0000"))</f>
        <v/>
      </c>
      <c r="B30" s="50" t="n"/>
      <c r="C30" s="49">
        <f>IF(B30="","",IFERROR(INDEX('المشروعات'!$B$5:$B$304,MATCH(B30,'المشروعات'!$A$5:$A$304,0)),""))</f>
        <v/>
      </c>
      <c r="D30" s="47" t="n"/>
      <c r="E30" s="40" t="n"/>
      <c r="F30" s="40" t="n"/>
      <c r="G30" s="40" t="n"/>
      <c r="H30" s="40" t="n"/>
      <c r="I30" s="40" t="n"/>
      <c r="J30" s="40" t="n"/>
      <c r="K30" s="40" t="n"/>
      <c r="L30" s="49">
        <f>IF(B30="","",IF(COUNTIF(E30:J30,"لا")&gt;0,"استلام بتحفظات ("&amp;COUNTIF(E30:J30,"لا")&amp;")","استلام كامل"))</f>
        <v/>
      </c>
    </row>
    <row r="31">
      <c r="A31" s="39">
        <f>IF(B31="","","SH-"&amp;TEXT(ROW()-4,"0000"))</f>
        <v/>
      </c>
      <c r="B31" s="50" t="n"/>
      <c r="C31" s="49">
        <f>IF(B31="","",IFERROR(INDEX('المشروعات'!$B$5:$B$304,MATCH(B31,'المشروعات'!$A$5:$A$304,0)),""))</f>
        <v/>
      </c>
      <c r="D31" s="47" t="n"/>
      <c r="E31" s="40" t="n"/>
      <c r="F31" s="40" t="n"/>
      <c r="G31" s="40" t="n"/>
      <c r="H31" s="40" t="n"/>
      <c r="I31" s="40" t="n"/>
      <c r="J31" s="40" t="n"/>
      <c r="K31" s="40" t="n"/>
      <c r="L31" s="49">
        <f>IF(B31="","",IF(COUNTIF(E31:J31,"لا")&gt;0,"استلام بتحفظات ("&amp;COUNTIF(E31:J31,"لا")&amp;")","استلام كامل"))</f>
        <v/>
      </c>
    </row>
    <row r="32">
      <c r="A32" s="39">
        <f>IF(B32="","","SH-"&amp;TEXT(ROW()-4,"0000"))</f>
        <v/>
      </c>
      <c r="B32" s="50" t="n"/>
      <c r="C32" s="49">
        <f>IF(B32="","",IFERROR(INDEX('المشروعات'!$B$5:$B$304,MATCH(B32,'المشروعات'!$A$5:$A$304,0)),""))</f>
        <v/>
      </c>
      <c r="D32" s="47" t="n"/>
      <c r="E32" s="40" t="n"/>
      <c r="F32" s="40" t="n"/>
      <c r="G32" s="40" t="n"/>
      <c r="H32" s="40" t="n"/>
      <c r="I32" s="40" t="n"/>
      <c r="J32" s="40" t="n"/>
      <c r="K32" s="40" t="n"/>
      <c r="L32" s="49">
        <f>IF(B32="","",IF(COUNTIF(E32:J32,"لا")&gt;0,"استلام بتحفظات ("&amp;COUNTIF(E32:J32,"لا")&amp;")","استلام كامل"))</f>
        <v/>
      </c>
    </row>
    <row r="33">
      <c r="A33" s="39">
        <f>IF(B33="","","SH-"&amp;TEXT(ROW()-4,"0000"))</f>
        <v/>
      </c>
      <c r="B33" s="50" t="n"/>
      <c r="C33" s="49">
        <f>IF(B33="","",IFERROR(INDEX('المشروعات'!$B$5:$B$304,MATCH(B33,'المشروعات'!$A$5:$A$304,0)),""))</f>
        <v/>
      </c>
      <c r="D33" s="47" t="n"/>
      <c r="E33" s="40" t="n"/>
      <c r="F33" s="40" t="n"/>
      <c r="G33" s="40" t="n"/>
      <c r="H33" s="40" t="n"/>
      <c r="I33" s="40" t="n"/>
      <c r="J33" s="40" t="n"/>
      <c r="K33" s="40" t="n"/>
      <c r="L33" s="49">
        <f>IF(B33="","",IF(COUNTIF(E33:J33,"لا")&gt;0,"استلام بتحفظات ("&amp;COUNTIF(E33:J33,"لا")&amp;")","استلام كامل"))</f>
        <v/>
      </c>
    </row>
    <row r="34">
      <c r="A34" s="39">
        <f>IF(B34="","","SH-"&amp;TEXT(ROW()-4,"0000"))</f>
        <v/>
      </c>
      <c r="B34" s="50" t="n"/>
      <c r="C34" s="49">
        <f>IF(B34="","",IFERROR(INDEX('المشروعات'!$B$5:$B$304,MATCH(B34,'المشروعات'!$A$5:$A$304,0)),""))</f>
        <v/>
      </c>
      <c r="D34" s="47" t="n"/>
      <c r="E34" s="40" t="n"/>
      <c r="F34" s="40" t="n"/>
      <c r="G34" s="40" t="n"/>
      <c r="H34" s="40" t="n"/>
      <c r="I34" s="40" t="n"/>
      <c r="J34" s="40" t="n"/>
      <c r="K34" s="40" t="n"/>
      <c r="L34" s="49">
        <f>IF(B34="","",IF(COUNTIF(E34:J34,"لا")&gt;0,"استلام بتحفظات ("&amp;COUNTIF(E34:J34,"لا")&amp;")","استلام كامل"))</f>
        <v/>
      </c>
    </row>
    <row r="35">
      <c r="A35" s="39">
        <f>IF(B35="","","SH-"&amp;TEXT(ROW()-4,"0000"))</f>
        <v/>
      </c>
      <c r="B35" s="50" t="n"/>
      <c r="C35" s="49">
        <f>IF(B35="","",IFERROR(INDEX('المشروعات'!$B$5:$B$304,MATCH(B35,'المشروعات'!$A$5:$A$304,0)),""))</f>
        <v/>
      </c>
      <c r="D35" s="47" t="n"/>
      <c r="E35" s="40" t="n"/>
      <c r="F35" s="40" t="n"/>
      <c r="G35" s="40" t="n"/>
      <c r="H35" s="40" t="n"/>
      <c r="I35" s="40" t="n"/>
      <c r="J35" s="40" t="n"/>
      <c r="K35" s="40" t="n"/>
      <c r="L35" s="49">
        <f>IF(B35="","",IF(COUNTIF(E35:J35,"لا")&gt;0,"استلام بتحفظات ("&amp;COUNTIF(E35:J35,"لا")&amp;")","استلام كامل"))</f>
        <v/>
      </c>
    </row>
    <row r="36">
      <c r="A36" s="39">
        <f>IF(B36="","","SH-"&amp;TEXT(ROW()-4,"0000"))</f>
        <v/>
      </c>
      <c r="B36" s="50" t="n"/>
      <c r="C36" s="49">
        <f>IF(B36="","",IFERROR(INDEX('المشروعات'!$B$5:$B$304,MATCH(B36,'المشروعات'!$A$5:$A$304,0)),""))</f>
        <v/>
      </c>
      <c r="D36" s="47" t="n"/>
      <c r="E36" s="40" t="n"/>
      <c r="F36" s="40" t="n"/>
      <c r="G36" s="40" t="n"/>
      <c r="H36" s="40" t="n"/>
      <c r="I36" s="40" t="n"/>
      <c r="J36" s="40" t="n"/>
      <c r="K36" s="40" t="n"/>
      <c r="L36" s="49">
        <f>IF(B36="","",IF(COUNTIF(E36:J36,"لا")&gt;0,"استلام بتحفظات ("&amp;COUNTIF(E36:J36,"لا")&amp;")","استلام كامل"))</f>
        <v/>
      </c>
    </row>
    <row r="37">
      <c r="A37" s="39">
        <f>IF(B37="","","SH-"&amp;TEXT(ROW()-4,"0000"))</f>
        <v/>
      </c>
      <c r="B37" s="50" t="n"/>
      <c r="C37" s="49">
        <f>IF(B37="","",IFERROR(INDEX('المشروعات'!$B$5:$B$304,MATCH(B37,'المشروعات'!$A$5:$A$304,0)),""))</f>
        <v/>
      </c>
      <c r="D37" s="47" t="n"/>
      <c r="E37" s="40" t="n"/>
      <c r="F37" s="40" t="n"/>
      <c r="G37" s="40" t="n"/>
      <c r="H37" s="40" t="n"/>
      <c r="I37" s="40" t="n"/>
      <c r="J37" s="40" t="n"/>
      <c r="K37" s="40" t="n"/>
      <c r="L37" s="49">
        <f>IF(B37="","",IF(COUNTIF(E37:J37,"لا")&gt;0,"استلام بتحفظات ("&amp;COUNTIF(E37:J37,"لا")&amp;")","استلام كامل"))</f>
        <v/>
      </c>
    </row>
    <row r="38">
      <c r="A38" s="39">
        <f>IF(B38="","","SH-"&amp;TEXT(ROW()-4,"0000"))</f>
        <v/>
      </c>
      <c r="B38" s="50" t="n"/>
      <c r="C38" s="49">
        <f>IF(B38="","",IFERROR(INDEX('المشروعات'!$B$5:$B$304,MATCH(B38,'المشروعات'!$A$5:$A$304,0)),""))</f>
        <v/>
      </c>
      <c r="D38" s="47" t="n"/>
      <c r="E38" s="40" t="n"/>
      <c r="F38" s="40" t="n"/>
      <c r="G38" s="40" t="n"/>
      <c r="H38" s="40" t="n"/>
      <c r="I38" s="40" t="n"/>
      <c r="J38" s="40" t="n"/>
      <c r="K38" s="40" t="n"/>
      <c r="L38" s="49">
        <f>IF(B38="","",IF(COUNTIF(E38:J38,"لا")&gt;0,"استلام بتحفظات ("&amp;COUNTIF(E38:J38,"لا")&amp;")","استلام كامل"))</f>
        <v/>
      </c>
    </row>
    <row r="39">
      <c r="A39" s="39">
        <f>IF(B39="","","SH-"&amp;TEXT(ROW()-4,"0000"))</f>
        <v/>
      </c>
      <c r="B39" s="50" t="n"/>
      <c r="C39" s="49">
        <f>IF(B39="","",IFERROR(INDEX('المشروعات'!$B$5:$B$304,MATCH(B39,'المشروعات'!$A$5:$A$304,0)),""))</f>
        <v/>
      </c>
      <c r="D39" s="47" t="n"/>
      <c r="E39" s="40" t="n"/>
      <c r="F39" s="40" t="n"/>
      <c r="G39" s="40" t="n"/>
      <c r="H39" s="40" t="n"/>
      <c r="I39" s="40" t="n"/>
      <c r="J39" s="40" t="n"/>
      <c r="K39" s="40" t="n"/>
      <c r="L39" s="49">
        <f>IF(B39="","",IF(COUNTIF(E39:J39,"لا")&gt;0,"استلام بتحفظات ("&amp;COUNTIF(E39:J39,"لا")&amp;")","استلام كامل"))</f>
        <v/>
      </c>
    </row>
    <row r="40">
      <c r="A40" s="39">
        <f>IF(B40="","","SH-"&amp;TEXT(ROW()-4,"0000"))</f>
        <v/>
      </c>
      <c r="B40" s="50" t="n"/>
      <c r="C40" s="49">
        <f>IF(B40="","",IFERROR(INDEX('المشروعات'!$B$5:$B$304,MATCH(B40,'المشروعات'!$A$5:$A$304,0)),""))</f>
        <v/>
      </c>
      <c r="D40" s="47" t="n"/>
      <c r="E40" s="40" t="n"/>
      <c r="F40" s="40" t="n"/>
      <c r="G40" s="40" t="n"/>
      <c r="H40" s="40" t="n"/>
      <c r="I40" s="40" t="n"/>
      <c r="J40" s="40" t="n"/>
      <c r="K40" s="40" t="n"/>
      <c r="L40" s="49">
        <f>IF(B40="","",IF(COUNTIF(E40:J40,"لا")&gt;0,"استلام بتحفظات ("&amp;COUNTIF(E40:J40,"لا")&amp;")","استلام كامل"))</f>
        <v/>
      </c>
    </row>
    <row r="41">
      <c r="A41" s="39">
        <f>IF(B41="","","SH-"&amp;TEXT(ROW()-4,"0000"))</f>
        <v/>
      </c>
      <c r="B41" s="50" t="n"/>
      <c r="C41" s="49">
        <f>IF(B41="","",IFERROR(INDEX('المشروعات'!$B$5:$B$304,MATCH(B41,'المشروعات'!$A$5:$A$304,0)),""))</f>
        <v/>
      </c>
      <c r="D41" s="47" t="n"/>
      <c r="E41" s="40" t="n"/>
      <c r="F41" s="40" t="n"/>
      <c r="G41" s="40" t="n"/>
      <c r="H41" s="40" t="n"/>
      <c r="I41" s="40" t="n"/>
      <c r="J41" s="40" t="n"/>
      <c r="K41" s="40" t="n"/>
      <c r="L41" s="49">
        <f>IF(B41="","",IF(COUNTIF(E41:J41,"لا")&gt;0,"استلام بتحفظات ("&amp;COUNTIF(E41:J41,"لا")&amp;")","استلام كامل"))</f>
        <v/>
      </c>
    </row>
    <row r="42">
      <c r="A42" s="39">
        <f>IF(B42="","","SH-"&amp;TEXT(ROW()-4,"0000"))</f>
        <v/>
      </c>
      <c r="B42" s="50" t="n"/>
      <c r="C42" s="49">
        <f>IF(B42="","",IFERROR(INDEX('المشروعات'!$B$5:$B$304,MATCH(B42,'المشروعات'!$A$5:$A$304,0)),""))</f>
        <v/>
      </c>
      <c r="D42" s="47" t="n"/>
      <c r="E42" s="40" t="n"/>
      <c r="F42" s="40" t="n"/>
      <c r="G42" s="40" t="n"/>
      <c r="H42" s="40" t="n"/>
      <c r="I42" s="40" t="n"/>
      <c r="J42" s="40" t="n"/>
      <c r="K42" s="40" t="n"/>
      <c r="L42" s="49">
        <f>IF(B42="","",IF(COUNTIF(E42:J42,"لا")&gt;0,"استلام بتحفظات ("&amp;COUNTIF(E42:J42,"لا")&amp;")","استلام كامل"))</f>
        <v/>
      </c>
    </row>
    <row r="43">
      <c r="A43" s="39">
        <f>IF(B43="","","SH-"&amp;TEXT(ROW()-4,"0000"))</f>
        <v/>
      </c>
      <c r="B43" s="50" t="n"/>
      <c r="C43" s="49">
        <f>IF(B43="","",IFERROR(INDEX('المشروعات'!$B$5:$B$304,MATCH(B43,'المشروعات'!$A$5:$A$304,0)),""))</f>
        <v/>
      </c>
      <c r="D43" s="47" t="n"/>
      <c r="E43" s="40" t="n"/>
      <c r="F43" s="40" t="n"/>
      <c r="G43" s="40" t="n"/>
      <c r="H43" s="40" t="n"/>
      <c r="I43" s="40" t="n"/>
      <c r="J43" s="40" t="n"/>
      <c r="K43" s="40" t="n"/>
      <c r="L43" s="49">
        <f>IF(B43="","",IF(COUNTIF(E43:J43,"لا")&gt;0,"استلام بتحفظات ("&amp;COUNTIF(E43:J43,"لا")&amp;")","استلام كامل"))</f>
        <v/>
      </c>
    </row>
    <row r="44">
      <c r="A44" s="39">
        <f>IF(B44="","","SH-"&amp;TEXT(ROW()-4,"0000"))</f>
        <v/>
      </c>
      <c r="B44" s="50" t="n"/>
      <c r="C44" s="49">
        <f>IF(B44="","",IFERROR(INDEX('المشروعات'!$B$5:$B$304,MATCH(B44,'المشروعات'!$A$5:$A$304,0)),""))</f>
        <v/>
      </c>
      <c r="D44" s="47" t="n"/>
      <c r="E44" s="40" t="n"/>
      <c r="F44" s="40" t="n"/>
      <c r="G44" s="40" t="n"/>
      <c r="H44" s="40" t="n"/>
      <c r="I44" s="40" t="n"/>
      <c r="J44" s="40" t="n"/>
      <c r="K44" s="40" t="n"/>
      <c r="L44" s="49">
        <f>IF(B44="","",IF(COUNTIF(E44:J44,"لا")&gt;0,"استلام بتحفظات ("&amp;COUNTIF(E44:J44,"لا")&amp;")","استلام كامل"))</f>
        <v/>
      </c>
    </row>
    <row r="45">
      <c r="A45" s="39">
        <f>IF(B45="","","SH-"&amp;TEXT(ROW()-4,"0000"))</f>
        <v/>
      </c>
      <c r="B45" s="50" t="n"/>
      <c r="C45" s="49">
        <f>IF(B45="","",IFERROR(INDEX('المشروعات'!$B$5:$B$304,MATCH(B45,'المشروعات'!$A$5:$A$304,0)),""))</f>
        <v/>
      </c>
      <c r="D45" s="47" t="n"/>
      <c r="E45" s="40" t="n"/>
      <c r="F45" s="40" t="n"/>
      <c r="G45" s="40" t="n"/>
      <c r="H45" s="40" t="n"/>
      <c r="I45" s="40" t="n"/>
      <c r="J45" s="40" t="n"/>
      <c r="K45" s="40" t="n"/>
      <c r="L45" s="49">
        <f>IF(B45="","",IF(COUNTIF(E45:J45,"لا")&gt;0,"استلام بتحفظات ("&amp;COUNTIF(E45:J45,"لا")&amp;")","استلام كامل"))</f>
        <v/>
      </c>
    </row>
    <row r="46">
      <c r="A46" s="39">
        <f>IF(B46="","","SH-"&amp;TEXT(ROW()-4,"0000"))</f>
        <v/>
      </c>
      <c r="B46" s="50" t="n"/>
      <c r="C46" s="49">
        <f>IF(B46="","",IFERROR(INDEX('المشروعات'!$B$5:$B$304,MATCH(B46,'المشروعات'!$A$5:$A$304,0)),""))</f>
        <v/>
      </c>
      <c r="D46" s="47" t="n"/>
      <c r="E46" s="40" t="n"/>
      <c r="F46" s="40" t="n"/>
      <c r="G46" s="40" t="n"/>
      <c r="H46" s="40" t="n"/>
      <c r="I46" s="40" t="n"/>
      <c r="J46" s="40" t="n"/>
      <c r="K46" s="40" t="n"/>
      <c r="L46" s="49">
        <f>IF(B46="","",IF(COUNTIF(E46:J46,"لا")&gt;0,"استلام بتحفظات ("&amp;COUNTIF(E46:J46,"لا")&amp;")","استلام كامل"))</f>
        <v/>
      </c>
    </row>
    <row r="47">
      <c r="A47" s="39">
        <f>IF(B47="","","SH-"&amp;TEXT(ROW()-4,"0000"))</f>
        <v/>
      </c>
      <c r="B47" s="50" t="n"/>
      <c r="C47" s="49">
        <f>IF(B47="","",IFERROR(INDEX('المشروعات'!$B$5:$B$304,MATCH(B47,'المشروعات'!$A$5:$A$304,0)),""))</f>
        <v/>
      </c>
      <c r="D47" s="47" t="n"/>
      <c r="E47" s="40" t="n"/>
      <c r="F47" s="40" t="n"/>
      <c r="G47" s="40" t="n"/>
      <c r="H47" s="40" t="n"/>
      <c r="I47" s="40" t="n"/>
      <c r="J47" s="40" t="n"/>
      <c r="K47" s="40" t="n"/>
      <c r="L47" s="49">
        <f>IF(B47="","",IF(COUNTIF(E47:J47,"لا")&gt;0,"استلام بتحفظات ("&amp;COUNTIF(E47:J47,"لا")&amp;")","استلام كامل"))</f>
        <v/>
      </c>
    </row>
    <row r="48">
      <c r="A48" s="39">
        <f>IF(B48="","","SH-"&amp;TEXT(ROW()-4,"0000"))</f>
        <v/>
      </c>
      <c r="B48" s="50" t="n"/>
      <c r="C48" s="49">
        <f>IF(B48="","",IFERROR(INDEX('المشروعات'!$B$5:$B$304,MATCH(B48,'المشروعات'!$A$5:$A$304,0)),""))</f>
        <v/>
      </c>
      <c r="D48" s="47" t="n"/>
      <c r="E48" s="40" t="n"/>
      <c r="F48" s="40" t="n"/>
      <c r="G48" s="40" t="n"/>
      <c r="H48" s="40" t="n"/>
      <c r="I48" s="40" t="n"/>
      <c r="J48" s="40" t="n"/>
      <c r="K48" s="40" t="n"/>
      <c r="L48" s="49">
        <f>IF(B48="","",IF(COUNTIF(E48:J48,"لا")&gt;0,"استلام بتحفظات ("&amp;COUNTIF(E48:J48,"لا")&amp;")","استلام كامل"))</f>
        <v/>
      </c>
    </row>
    <row r="49">
      <c r="A49" s="39">
        <f>IF(B49="","","SH-"&amp;TEXT(ROW()-4,"0000"))</f>
        <v/>
      </c>
      <c r="B49" s="50" t="n"/>
      <c r="C49" s="49">
        <f>IF(B49="","",IFERROR(INDEX('المشروعات'!$B$5:$B$304,MATCH(B49,'المشروعات'!$A$5:$A$304,0)),""))</f>
        <v/>
      </c>
      <c r="D49" s="47" t="n"/>
      <c r="E49" s="40" t="n"/>
      <c r="F49" s="40" t="n"/>
      <c r="G49" s="40" t="n"/>
      <c r="H49" s="40" t="n"/>
      <c r="I49" s="40" t="n"/>
      <c r="J49" s="40" t="n"/>
      <c r="K49" s="40" t="n"/>
      <c r="L49" s="49">
        <f>IF(B49="","",IF(COUNTIF(E49:J49,"لا")&gt;0,"استلام بتحفظات ("&amp;COUNTIF(E49:J49,"لا")&amp;")","استلام كامل"))</f>
        <v/>
      </c>
    </row>
    <row r="50">
      <c r="A50" s="39">
        <f>IF(B50="","","SH-"&amp;TEXT(ROW()-4,"0000"))</f>
        <v/>
      </c>
      <c r="B50" s="50" t="n"/>
      <c r="C50" s="49">
        <f>IF(B50="","",IFERROR(INDEX('المشروعات'!$B$5:$B$304,MATCH(B50,'المشروعات'!$A$5:$A$304,0)),""))</f>
        <v/>
      </c>
      <c r="D50" s="47" t="n"/>
      <c r="E50" s="40" t="n"/>
      <c r="F50" s="40" t="n"/>
      <c r="G50" s="40" t="n"/>
      <c r="H50" s="40" t="n"/>
      <c r="I50" s="40" t="n"/>
      <c r="J50" s="40" t="n"/>
      <c r="K50" s="40" t="n"/>
      <c r="L50" s="49">
        <f>IF(B50="","",IF(COUNTIF(E50:J50,"لا")&gt;0,"استلام بتحفظات ("&amp;COUNTIF(E50:J50,"لا")&amp;")","استلام كامل"))</f>
        <v/>
      </c>
    </row>
    <row r="51">
      <c r="A51" s="39">
        <f>IF(B51="","","SH-"&amp;TEXT(ROW()-4,"0000"))</f>
        <v/>
      </c>
      <c r="B51" s="50" t="n"/>
      <c r="C51" s="49">
        <f>IF(B51="","",IFERROR(INDEX('المشروعات'!$B$5:$B$304,MATCH(B51,'المشروعات'!$A$5:$A$304,0)),""))</f>
        <v/>
      </c>
      <c r="D51" s="47" t="n"/>
      <c r="E51" s="40" t="n"/>
      <c r="F51" s="40" t="n"/>
      <c r="G51" s="40" t="n"/>
      <c r="H51" s="40" t="n"/>
      <c r="I51" s="40" t="n"/>
      <c r="J51" s="40" t="n"/>
      <c r="K51" s="40" t="n"/>
      <c r="L51" s="49">
        <f>IF(B51="","",IF(COUNTIF(E51:J51,"لا")&gt;0,"استلام بتحفظات ("&amp;COUNTIF(E51:J51,"لا")&amp;")","استلام كامل"))</f>
        <v/>
      </c>
    </row>
    <row r="52">
      <c r="A52" s="39">
        <f>IF(B52="","","SH-"&amp;TEXT(ROW()-4,"0000"))</f>
        <v/>
      </c>
      <c r="B52" s="50" t="n"/>
      <c r="C52" s="49">
        <f>IF(B52="","",IFERROR(INDEX('المشروعات'!$B$5:$B$304,MATCH(B52,'المشروعات'!$A$5:$A$304,0)),""))</f>
        <v/>
      </c>
      <c r="D52" s="47" t="n"/>
      <c r="E52" s="40" t="n"/>
      <c r="F52" s="40" t="n"/>
      <c r="G52" s="40" t="n"/>
      <c r="H52" s="40" t="n"/>
      <c r="I52" s="40" t="n"/>
      <c r="J52" s="40" t="n"/>
      <c r="K52" s="40" t="n"/>
      <c r="L52" s="49">
        <f>IF(B52="","",IF(COUNTIF(E52:J52,"لا")&gt;0,"استلام بتحفظات ("&amp;COUNTIF(E52:J52,"لا")&amp;")","استلام كامل"))</f>
        <v/>
      </c>
    </row>
    <row r="53">
      <c r="A53" s="39">
        <f>IF(B53="","","SH-"&amp;TEXT(ROW()-4,"0000"))</f>
        <v/>
      </c>
      <c r="B53" s="50" t="n"/>
      <c r="C53" s="49">
        <f>IF(B53="","",IFERROR(INDEX('المشروعات'!$B$5:$B$304,MATCH(B53,'المشروعات'!$A$5:$A$304,0)),""))</f>
        <v/>
      </c>
      <c r="D53" s="47" t="n"/>
      <c r="E53" s="40" t="n"/>
      <c r="F53" s="40" t="n"/>
      <c r="G53" s="40" t="n"/>
      <c r="H53" s="40" t="n"/>
      <c r="I53" s="40" t="n"/>
      <c r="J53" s="40" t="n"/>
      <c r="K53" s="40" t="n"/>
      <c r="L53" s="49">
        <f>IF(B53="","",IF(COUNTIF(E53:J53,"لا")&gt;0,"استلام بتحفظات ("&amp;COUNTIF(E53:J53,"لا")&amp;")","استلام كامل"))</f>
        <v/>
      </c>
    </row>
    <row r="54">
      <c r="A54" s="39">
        <f>IF(B54="","","SH-"&amp;TEXT(ROW()-4,"0000"))</f>
        <v/>
      </c>
      <c r="B54" s="50" t="n"/>
      <c r="C54" s="49">
        <f>IF(B54="","",IFERROR(INDEX('المشروعات'!$B$5:$B$304,MATCH(B54,'المشروعات'!$A$5:$A$304,0)),""))</f>
        <v/>
      </c>
      <c r="D54" s="47" t="n"/>
      <c r="E54" s="40" t="n"/>
      <c r="F54" s="40" t="n"/>
      <c r="G54" s="40" t="n"/>
      <c r="H54" s="40" t="n"/>
      <c r="I54" s="40" t="n"/>
      <c r="J54" s="40" t="n"/>
      <c r="K54" s="40" t="n"/>
      <c r="L54" s="49">
        <f>IF(B54="","",IF(COUNTIF(E54:J54,"لا")&gt;0,"استلام بتحفظات ("&amp;COUNTIF(E54:J54,"لا")&amp;")","استلام كامل"))</f>
        <v/>
      </c>
    </row>
    <row r="55">
      <c r="A55" s="39">
        <f>IF(B55="","","SH-"&amp;TEXT(ROW()-4,"0000"))</f>
        <v/>
      </c>
      <c r="B55" s="50" t="n"/>
      <c r="C55" s="49">
        <f>IF(B55="","",IFERROR(INDEX('المشروعات'!$B$5:$B$304,MATCH(B55,'المشروعات'!$A$5:$A$304,0)),""))</f>
        <v/>
      </c>
      <c r="D55" s="47" t="n"/>
      <c r="E55" s="40" t="n"/>
      <c r="F55" s="40" t="n"/>
      <c r="G55" s="40" t="n"/>
      <c r="H55" s="40" t="n"/>
      <c r="I55" s="40" t="n"/>
      <c r="J55" s="40" t="n"/>
      <c r="K55" s="40" t="n"/>
      <c r="L55" s="49">
        <f>IF(B55="","",IF(COUNTIF(E55:J55,"لا")&gt;0,"استلام بتحفظات ("&amp;COUNTIF(E55:J55,"لا")&amp;")","استلام كامل"))</f>
        <v/>
      </c>
    </row>
    <row r="56">
      <c r="A56" s="39">
        <f>IF(B56="","","SH-"&amp;TEXT(ROW()-4,"0000"))</f>
        <v/>
      </c>
      <c r="B56" s="50" t="n"/>
      <c r="C56" s="49">
        <f>IF(B56="","",IFERROR(INDEX('المشروعات'!$B$5:$B$304,MATCH(B56,'المشروعات'!$A$5:$A$304,0)),""))</f>
        <v/>
      </c>
      <c r="D56" s="47" t="n"/>
      <c r="E56" s="40" t="n"/>
      <c r="F56" s="40" t="n"/>
      <c r="G56" s="40" t="n"/>
      <c r="H56" s="40" t="n"/>
      <c r="I56" s="40" t="n"/>
      <c r="J56" s="40" t="n"/>
      <c r="K56" s="40" t="n"/>
      <c r="L56" s="49">
        <f>IF(B56="","",IF(COUNTIF(E56:J56,"لا")&gt;0,"استلام بتحفظات ("&amp;COUNTIF(E56:J56,"لا")&amp;")","استلام كامل"))</f>
        <v/>
      </c>
    </row>
    <row r="57">
      <c r="A57" s="39">
        <f>IF(B57="","","SH-"&amp;TEXT(ROW()-4,"0000"))</f>
        <v/>
      </c>
      <c r="B57" s="50" t="n"/>
      <c r="C57" s="49">
        <f>IF(B57="","",IFERROR(INDEX('المشروعات'!$B$5:$B$304,MATCH(B57,'المشروعات'!$A$5:$A$304,0)),""))</f>
        <v/>
      </c>
      <c r="D57" s="47" t="n"/>
      <c r="E57" s="40" t="n"/>
      <c r="F57" s="40" t="n"/>
      <c r="G57" s="40" t="n"/>
      <c r="H57" s="40" t="n"/>
      <c r="I57" s="40" t="n"/>
      <c r="J57" s="40" t="n"/>
      <c r="K57" s="40" t="n"/>
      <c r="L57" s="49">
        <f>IF(B57="","",IF(COUNTIF(E57:J57,"لا")&gt;0,"استلام بتحفظات ("&amp;COUNTIF(E57:J57,"لا")&amp;")","استلام كامل"))</f>
        <v/>
      </c>
    </row>
    <row r="58">
      <c r="A58" s="39">
        <f>IF(B58="","","SH-"&amp;TEXT(ROW()-4,"0000"))</f>
        <v/>
      </c>
      <c r="B58" s="50" t="n"/>
      <c r="C58" s="49">
        <f>IF(B58="","",IFERROR(INDEX('المشروعات'!$B$5:$B$304,MATCH(B58,'المشروعات'!$A$5:$A$304,0)),""))</f>
        <v/>
      </c>
      <c r="D58" s="47" t="n"/>
      <c r="E58" s="40" t="n"/>
      <c r="F58" s="40" t="n"/>
      <c r="G58" s="40" t="n"/>
      <c r="H58" s="40" t="n"/>
      <c r="I58" s="40" t="n"/>
      <c r="J58" s="40" t="n"/>
      <c r="K58" s="40" t="n"/>
      <c r="L58" s="49">
        <f>IF(B58="","",IF(COUNTIF(E58:J58,"لا")&gt;0,"استلام بتحفظات ("&amp;COUNTIF(E58:J58,"لا")&amp;")","استلام كامل"))</f>
        <v/>
      </c>
    </row>
    <row r="59">
      <c r="A59" s="39">
        <f>IF(B59="","","SH-"&amp;TEXT(ROW()-4,"0000"))</f>
        <v/>
      </c>
      <c r="B59" s="50" t="n"/>
      <c r="C59" s="49">
        <f>IF(B59="","",IFERROR(INDEX('المشروعات'!$B$5:$B$304,MATCH(B59,'المشروعات'!$A$5:$A$304,0)),""))</f>
        <v/>
      </c>
      <c r="D59" s="47" t="n"/>
      <c r="E59" s="40" t="n"/>
      <c r="F59" s="40" t="n"/>
      <c r="G59" s="40" t="n"/>
      <c r="H59" s="40" t="n"/>
      <c r="I59" s="40" t="n"/>
      <c r="J59" s="40" t="n"/>
      <c r="K59" s="40" t="n"/>
      <c r="L59" s="49">
        <f>IF(B59="","",IF(COUNTIF(E59:J59,"لا")&gt;0,"استلام بتحفظات ("&amp;COUNTIF(E59:J59,"لا")&amp;")","استلام كامل"))</f>
        <v/>
      </c>
    </row>
    <row r="60">
      <c r="A60" s="39">
        <f>IF(B60="","","SH-"&amp;TEXT(ROW()-4,"0000"))</f>
        <v/>
      </c>
      <c r="B60" s="50" t="n"/>
      <c r="C60" s="49">
        <f>IF(B60="","",IFERROR(INDEX('المشروعات'!$B$5:$B$304,MATCH(B60,'المشروعات'!$A$5:$A$304,0)),""))</f>
        <v/>
      </c>
      <c r="D60" s="47" t="n"/>
      <c r="E60" s="40" t="n"/>
      <c r="F60" s="40" t="n"/>
      <c r="G60" s="40" t="n"/>
      <c r="H60" s="40" t="n"/>
      <c r="I60" s="40" t="n"/>
      <c r="J60" s="40" t="n"/>
      <c r="K60" s="40" t="n"/>
      <c r="L60" s="49">
        <f>IF(B60="","",IF(COUNTIF(E60:J60,"لا")&gt;0,"استلام بتحفظات ("&amp;COUNTIF(E60:J60,"لا")&amp;")","استلام كامل"))</f>
        <v/>
      </c>
    </row>
    <row r="61">
      <c r="A61" s="39">
        <f>IF(B61="","","SH-"&amp;TEXT(ROW()-4,"0000"))</f>
        <v/>
      </c>
      <c r="B61" s="50" t="n"/>
      <c r="C61" s="49">
        <f>IF(B61="","",IFERROR(INDEX('المشروعات'!$B$5:$B$304,MATCH(B61,'المشروعات'!$A$5:$A$304,0)),""))</f>
        <v/>
      </c>
      <c r="D61" s="47" t="n"/>
      <c r="E61" s="40" t="n"/>
      <c r="F61" s="40" t="n"/>
      <c r="G61" s="40" t="n"/>
      <c r="H61" s="40" t="n"/>
      <c r="I61" s="40" t="n"/>
      <c r="J61" s="40" t="n"/>
      <c r="K61" s="40" t="n"/>
      <c r="L61" s="49">
        <f>IF(B61="","",IF(COUNTIF(E61:J61,"لا")&gt;0,"استلام بتحفظات ("&amp;COUNTIF(E61:J61,"لا")&amp;")","استلام كامل"))</f>
        <v/>
      </c>
    </row>
    <row r="62">
      <c r="A62" s="39">
        <f>IF(B62="","","SH-"&amp;TEXT(ROW()-4,"0000"))</f>
        <v/>
      </c>
      <c r="B62" s="50" t="n"/>
      <c r="C62" s="49">
        <f>IF(B62="","",IFERROR(INDEX('المشروعات'!$B$5:$B$304,MATCH(B62,'المشروعات'!$A$5:$A$304,0)),""))</f>
        <v/>
      </c>
      <c r="D62" s="47" t="n"/>
      <c r="E62" s="40" t="n"/>
      <c r="F62" s="40" t="n"/>
      <c r="G62" s="40" t="n"/>
      <c r="H62" s="40" t="n"/>
      <c r="I62" s="40" t="n"/>
      <c r="J62" s="40" t="n"/>
      <c r="K62" s="40" t="n"/>
      <c r="L62" s="49">
        <f>IF(B62="","",IF(COUNTIF(E62:J62,"لا")&gt;0,"استلام بتحفظات ("&amp;COUNTIF(E62:J62,"لا")&amp;")","استلام كامل"))</f>
        <v/>
      </c>
    </row>
    <row r="63">
      <c r="A63" s="39">
        <f>IF(B63="","","SH-"&amp;TEXT(ROW()-4,"0000"))</f>
        <v/>
      </c>
      <c r="B63" s="50" t="n"/>
      <c r="C63" s="49">
        <f>IF(B63="","",IFERROR(INDEX('المشروعات'!$B$5:$B$304,MATCH(B63,'المشروعات'!$A$5:$A$304,0)),""))</f>
        <v/>
      </c>
      <c r="D63" s="47" t="n"/>
      <c r="E63" s="40" t="n"/>
      <c r="F63" s="40" t="n"/>
      <c r="G63" s="40" t="n"/>
      <c r="H63" s="40" t="n"/>
      <c r="I63" s="40" t="n"/>
      <c r="J63" s="40" t="n"/>
      <c r="K63" s="40" t="n"/>
      <c r="L63" s="49">
        <f>IF(B63="","",IF(COUNTIF(E63:J63,"لا")&gt;0,"استلام بتحفظات ("&amp;COUNTIF(E63:J63,"لا")&amp;")","استلام كامل"))</f>
        <v/>
      </c>
    </row>
    <row r="64">
      <c r="A64" s="39">
        <f>IF(B64="","","SH-"&amp;TEXT(ROW()-4,"0000"))</f>
        <v/>
      </c>
      <c r="B64" s="50" t="n"/>
      <c r="C64" s="49">
        <f>IF(B64="","",IFERROR(INDEX('المشروعات'!$B$5:$B$304,MATCH(B64,'المشروعات'!$A$5:$A$304,0)),""))</f>
        <v/>
      </c>
      <c r="D64" s="47" t="n"/>
      <c r="E64" s="40" t="n"/>
      <c r="F64" s="40" t="n"/>
      <c r="G64" s="40" t="n"/>
      <c r="H64" s="40" t="n"/>
      <c r="I64" s="40" t="n"/>
      <c r="J64" s="40" t="n"/>
      <c r="K64" s="40" t="n"/>
      <c r="L64" s="49">
        <f>IF(B64="","",IF(COUNTIF(E64:J64,"لا")&gt;0,"استلام بتحفظات ("&amp;COUNTIF(E64:J64,"لا")&amp;")","استلام كامل"))</f>
        <v/>
      </c>
    </row>
    <row r="65">
      <c r="A65" s="39">
        <f>IF(B65="","","SH-"&amp;TEXT(ROW()-4,"0000"))</f>
        <v/>
      </c>
      <c r="B65" s="50" t="n"/>
      <c r="C65" s="49">
        <f>IF(B65="","",IFERROR(INDEX('المشروعات'!$B$5:$B$304,MATCH(B65,'المشروعات'!$A$5:$A$304,0)),""))</f>
        <v/>
      </c>
      <c r="D65" s="47" t="n"/>
      <c r="E65" s="40" t="n"/>
      <c r="F65" s="40" t="n"/>
      <c r="G65" s="40" t="n"/>
      <c r="H65" s="40" t="n"/>
      <c r="I65" s="40" t="n"/>
      <c r="J65" s="40" t="n"/>
      <c r="K65" s="40" t="n"/>
      <c r="L65" s="49">
        <f>IF(B65="","",IF(COUNTIF(E65:J65,"لا")&gt;0,"استلام بتحفظات ("&amp;COUNTIF(E65:J65,"لا")&amp;")","استلام كامل"))</f>
        <v/>
      </c>
    </row>
    <row r="66">
      <c r="A66" s="39">
        <f>IF(B66="","","SH-"&amp;TEXT(ROW()-4,"0000"))</f>
        <v/>
      </c>
      <c r="B66" s="50" t="n"/>
      <c r="C66" s="49">
        <f>IF(B66="","",IFERROR(INDEX('المشروعات'!$B$5:$B$304,MATCH(B66,'المشروعات'!$A$5:$A$304,0)),""))</f>
        <v/>
      </c>
      <c r="D66" s="47" t="n"/>
      <c r="E66" s="40" t="n"/>
      <c r="F66" s="40" t="n"/>
      <c r="G66" s="40" t="n"/>
      <c r="H66" s="40" t="n"/>
      <c r="I66" s="40" t="n"/>
      <c r="J66" s="40" t="n"/>
      <c r="K66" s="40" t="n"/>
      <c r="L66" s="49">
        <f>IF(B66="","",IF(COUNTIF(E66:J66,"لا")&gt;0,"استلام بتحفظات ("&amp;COUNTIF(E66:J66,"لا")&amp;")","استلام كامل"))</f>
        <v/>
      </c>
    </row>
    <row r="67">
      <c r="A67" s="39">
        <f>IF(B67="","","SH-"&amp;TEXT(ROW()-4,"0000"))</f>
        <v/>
      </c>
      <c r="B67" s="50" t="n"/>
      <c r="C67" s="49">
        <f>IF(B67="","",IFERROR(INDEX('المشروعات'!$B$5:$B$304,MATCH(B67,'المشروعات'!$A$5:$A$304,0)),""))</f>
        <v/>
      </c>
      <c r="D67" s="47" t="n"/>
      <c r="E67" s="40" t="n"/>
      <c r="F67" s="40" t="n"/>
      <c r="G67" s="40" t="n"/>
      <c r="H67" s="40" t="n"/>
      <c r="I67" s="40" t="n"/>
      <c r="J67" s="40" t="n"/>
      <c r="K67" s="40" t="n"/>
      <c r="L67" s="49">
        <f>IF(B67="","",IF(COUNTIF(E67:J67,"لا")&gt;0,"استلام بتحفظات ("&amp;COUNTIF(E67:J67,"لا")&amp;")","استلام كامل"))</f>
        <v/>
      </c>
    </row>
    <row r="68">
      <c r="A68" s="39">
        <f>IF(B68="","","SH-"&amp;TEXT(ROW()-4,"0000"))</f>
        <v/>
      </c>
      <c r="B68" s="50" t="n"/>
      <c r="C68" s="49">
        <f>IF(B68="","",IFERROR(INDEX('المشروعات'!$B$5:$B$304,MATCH(B68,'المشروعات'!$A$5:$A$304,0)),""))</f>
        <v/>
      </c>
      <c r="D68" s="47" t="n"/>
      <c r="E68" s="40" t="n"/>
      <c r="F68" s="40" t="n"/>
      <c r="G68" s="40" t="n"/>
      <c r="H68" s="40" t="n"/>
      <c r="I68" s="40" t="n"/>
      <c r="J68" s="40" t="n"/>
      <c r="K68" s="40" t="n"/>
      <c r="L68" s="49">
        <f>IF(B68="","",IF(COUNTIF(E68:J68,"لا")&gt;0,"استلام بتحفظات ("&amp;COUNTIF(E68:J68,"لا")&amp;")","استلام كامل"))</f>
        <v/>
      </c>
    </row>
    <row r="69">
      <c r="A69" s="39">
        <f>IF(B69="","","SH-"&amp;TEXT(ROW()-4,"0000"))</f>
        <v/>
      </c>
      <c r="B69" s="50" t="n"/>
      <c r="C69" s="49">
        <f>IF(B69="","",IFERROR(INDEX('المشروعات'!$B$5:$B$304,MATCH(B69,'المشروعات'!$A$5:$A$304,0)),""))</f>
        <v/>
      </c>
      <c r="D69" s="47" t="n"/>
      <c r="E69" s="40" t="n"/>
      <c r="F69" s="40" t="n"/>
      <c r="G69" s="40" t="n"/>
      <c r="H69" s="40" t="n"/>
      <c r="I69" s="40" t="n"/>
      <c r="J69" s="40" t="n"/>
      <c r="K69" s="40" t="n"/>
      <c r="L69" s="49">
        <f>IF(B69="","",IF(COUNTIF(E69:J69,"لا")&gt;0,"استلام بتحفظات ("&amp;COUNTIF(E69:J69,"لا")&amp;")","استلام كامل"))</f>
        <v/>
      </c>
    </row>
    <row r="70">
      <c r="A70" s="39">
        <f>IF(B70="","","SH-"&amp;TEXT(ROW()-4,"0000"))</f>
        <v/>
      </c>
      <c r="B70" s="50" t="n"/>
      <c r="C70" s="49">
        <f>IF(B70="","",IFERROR(INDEX('المشروعات'!$B$5:$B$304,MATCH(B70,'المشروعات'!$A$5:$A$304,0)),""))</f>
        <v/>
      </c>
      <c r="D70" s="47" t="n"/>
      <c r="E70" s="40" t="n"/>
      <c r="F70" s="40" t="n"/>
      <c r="G70" s="40" t="n"/>
      <c r="H70" s="40" t="n"/>
      <c r="I70" s="40" t="n"/>
      <c r="J70" s="40" t="n"/>
      <c r="K70" s="40" t="n"/>
      <c r="L70" s="49">
        <f>IF(B70="","",IF(COUNTIF(E70:J70,"لا")&gt;0,"استلام بتحفظات ("&amp;COUNTIF(E70:J70,"لا")&amp;")","استلام كامل"))</f>
        <v/>
      </c>
    </row>
    <row r="71">
      <c r="A71" s="39">
        <f>IF(B71="","","SH-"&amp;TEXT(ROW()-4,"0000"))</f>
        <v/>
      </c>
      <c r="B71" s="50" t="n"/>
      <c r="C71" s="49">
        <f>IF(B71="","",IFERROR(INDEX('المشروعات'!$B$5:$B$304,MATCH(B71,'المشروعات'!$A$5:$A$304,0)),""))</f>
        <v/>
      </c>
      <c r="D71" s="47" t="n"/>
      <c r="E71" s="40" t="n"/>
      <c r="F71" s="40" t="n"/>
      <c r="G71" s="40" t="n"/>
      <c r="H71" s="40" t="n"/>
      <c r="I71" s="40" t="n"/>
      <c r="J71" s="40" t="n"/>
      <c r="K71" s="40" t="n"/>
      <c r="L71" s="49">
        <f>IF(B71="","",IF(COUNTIF(E71:J71,"لا")&gt;0,"استلام بتحفظات ("&amp;COUNTIF(E71:J71,"لا")&amp;")","استلام كامل"))</f>
        <v/>
      </c>
    </row>
    <row r="72">
      <c r="A72" s="39">
        <f>IF(B72="","","SH-"&amp;TEXT(ROW()-4,"0000"))</f>
        <v/>
      </c>
      <c r="B72" s="50" t="n"/>
      <c r="C72" s="49">
        <f>IF(B72="","",IFERROR(INDEX('المشروعات'!$B$5:$B$304,MATCH(B72,'المشروعات'!$A$5:$A$304,0)),""))</f>
        <v/>
      </c>
      <c r="D72" s="47" t="n"/>
      <c r="E72" s="40" t="n"/>
      <c r="F72" s="40" t="n"/>
      <c r="G72" s="40" t="n"/>
      <c r="H72" s="40" t="n"/>
      <c r="I72" s="40" t="n"/>
      <c r="J72" s="40" t="n"/>
      <c r="K72" s="40" t="n"/>
      <c r="L72" s="49">
        <f>IF(B72="","",IF(COUNTIF(E72:J72,"لا")&gt;0,"استلام بتحفظات ("&amp;COUNTIF(E72:J72,"لا")&amp;")","استلام كامل"))</f>
        <v/>
      </c>
    </row>
    <row r="73">
      <c r="A73" s="39">
        <f>IF(B73="","","SH-"&amp;TEXT(ROW()-4,"0000"))</f>
        <v/>
      </c>
      <c r="B73" s="50" t="n"/>
      <c r="C73" s="49">
        <f>IF(B73="","",IFERROR(INDEX('المشروعات'!$B$5:$B$304,MATCH(B73,'المشروعات'!$A$5:$A$304,0)),""))</f>
        <v/>
      </c>
      <c r="D73" s="47" t="n"/>
      <c r="E73" s="40" t="n"/>
      <c r="F73" s="40" t="n"/>
      <c r="G73" s="40" t="n"/>
      <c r="H73" s="40" t="n"/>
      <c r="I73" s="40" t="n"/>
      <c r="J73" s="40" t="n"/>
      <c r="K73" s="40" t="n"/>
      <c r="L73" s="49">
        <f>IF(B73="","",IF(COUNTIF(E73:J73,"لا")&gt;0,"استلام بتحفظات ("&amp;COUNTIF(E73:J73,"لا")&amp;")","استلام كامل"))</f>
        <v/>
      </c>
    </row>
    <row r="74">
      <c r="A74" s="39">
        <f>IF(B74="","","SH-"&amp;TEXT(ROW()-4,"0000"))</f>
        <v/>
      </c>
      <c r="B74" s="50" t="n"/>
      <c r="C74" s="49">
        <f>IF(B74="","",IFERROR(INDEX('المشروعات'!$B$5:$B$304,MATCH(B74,'المشروعات'!$A$5:$A$304,0)),""))</f>
        <v/>
      </c>
      <c r="D74" s="47" t="n"/>
      <c r="E74" s="40" t="n"/>
      <c r="F74" s="40" t="n"/>
      <c r="G74" s="40" t="n"/>
      <c r="H74" s="40" t="n"/>
      <c r="I74" s="40" t="n"/>
      <c r="J74" s="40" t="n"/>
      <c r="K74" s="40" t="n"/>
      <c r="L74" s="49">
        <f>IF(B74="","",IF(COUNTIF(E74:J74,"لا")&gt;0,"استلام بتحفظات ("&amp;COUNTIF(E74:J74,"لا")&amp;")","استلام كامل"))</f>
        <v/>
      </c>
    </row>
    <row r="75">
      <c r="A75" s="39">
        <f>IF(B75="","","SH-"&amp;TEXT(ROW()-4,"0000"))</f>
        <v/>
      </c>
      <c r="B75" s="50" t="n"/>
      <c r="C75" s="49">
        <f>IF(B75="","",IFERROR(INDEX('المشروعات'!$B$5:$B$304,MATCH(B75,'المشروعات'!$A$5:$A$304,0)),""))</f>
        <v/>
      </c>
      <c r="D75" s="47" t="n"/>
      <c r="E75" s="40" t="n"/>
      <c r="F75" s="40" t="n"/>
      <c r="G75" s="40" t="n"/>
      <c r="H75" s="40" t="n"/>
      <c r="I75" s="40" t="n"/>
      <c r="J75" s="40" t="n"/>
      <c r="K75" s="40" t="n"/>
      <c r="L75" s="49">
        <f>IF(B75="","",IF(COUNTIF(E75:J75,"لا")&gt;0,"استلام بتحفظات ("&amp;COUNTIF(E75:J75,"لا")&amp;")","استلام كامل"))</f>
        <v/>
      </c>
    </row>
    <row r="76">
      <c r="A76" s="39">
        <f>IF(B76="","","SH-"&amp;TEXT(ROW()-4,"0000"))</f>
        <v/>
      </c>
      <c r="B76" s="50" t="n"/>
      <c r="C76" s="49">
        <f>IF(B76="","",IFERROR(INDEX('المشروعات'!$B$5:$B$304,MATCH(B76,'المشروعات'!$A$5:$A$304,0)),""))</f>
        <v/>
      </c>
      <c r="D76" s="47" t="n"/>
      <c r="E76" s="40" t="n"/>
      <c r="F76" s="40" t="n"/>
      <c r="G76" s="40" t="n"/>
      <c r="H76" s="40" t="n"/>
      <c r="I76" s="40" t="n"/>
      <c r="J76" s="40" t="n"/>
      <c r="K76" s="40" t="n"/>
      <c r="L76" s="49">
        <f>IF(B76="","",IF(COUNTIF(E76:J76,"لا")&gt;0,"استلام بتحفظات ("&amp;COUNTIF(E76:J76,"لا")&amp;")","استلام كامل"))</f>
        <v/>
      </c>
    </row>
    <row r="77">
      <c r="A77" s="39">
        <f>IF(B77="","","SH-"&amp;TEXT(ROW()-4,"0000"))</f>
        <v/>
      </c>
      <c r="B77" s="50" t="n"/>
      <c r="C77" s="49">
        <f>IF(B77="","",IFERROR(INDEX('المشروعات'!$B$5:$B$304,MATCH(B77,'المشروعات'!$A$5:$A$304,0)),""))</f>
        <v/>
      </c>
      <c r="D77" s="47" t="n"/>
      <c r="E77" s="40" t="n"/>
      <c r="F77" s="40" t="n"/>
      <c r="G77" s="40" t="n"/>
      <c r="H77" s="40" t="n"/>
      <c r="I77" s="40" t="n"/>
      <c r="J77" s="40" t="n"/>
      <c r="K77" s="40" t="n"/>
      <c r="L77" s="49">
        <f>IF(B77="","",IF(COUNTIF(E77:J77,"لا")&gt;0,"استلام بتحفظات ("&amp;COUNTIF(E77:J77,"لا")&amp;")","استلام كامل"))</f>
        <v/>
      </c>
    </row>
    <row r="78">
      <c r="A78" s="39">
        <f>IF(B78="","","SH-"&amp;TEXT(ROW()-4,"0000"))</f>
        <v/>
      </c>
      <c r="B78" s="50" t="n"/>
      <c r="C78" s="49">
        <f>IF(B78="","",IFERROR(INDEX('المشروعات'!$B$5:$B$304,MATCH(B78,'المشروعات'!$A$5:$A$304,0)),""))</f>
        <v/>
      </c>
      <c r="D78" s="47" t="n"/>
      <c r="E78" s="40" t="n"/>
      <c r="F78" s="40" t="n"/>
      <c r="G78" s="40" t="n"/>
      <c r="H78" s="40" t="n"/>
      <c r="I78" s="40" t="n"/>
      <c r="J78" s="40" t="n"/>
      <c r="K78" s="40" t="n"/>
      <c r="L78" s="49">
        <f>IF(B78="","",IF(COUNTIF(E78:J78,"لا")&gt;0,"استلام بتحفظات ("&amp;COUNTIF(E78:J78,"لا")&amp;")","استلام كامل"))</f>
        <v/>
      </c>
    </row>
    <row r="79">
      <c r="A79" s="39">
        <f>IF(B79="","","SH-"&amp;TEXT(ROW()-4,"0000"))</f>
        <v/>
      </c>
      <c r="B79" s="50" t="n"/>
      <c r="C79" s="49">
        <f>IF(B79="","",IFERROR(INDEX('المشروعات'!$B$5:$B$304,MATCH(B79,'المشروعات'!$A$5:$A$304,0)),""))</f>
        <v/>
      </c>
      <c r="D79" s="47" t="n"/>
      <c r="E79" s="40" t="n"/>
      <c r="F79" s="40" t="n"/>
      <c r="G79" s="40" t="n"/>
      <c r="H79" s="40" t="n"/>
      <c r="I79" s="40" t="n"/>
      <c r="J79" s="40" t="n"/>
      <c r="K79" s="40" t="n"/>
      <c r="L79" s="49">
        <f>IF(B79="","",IF(COUNTIF(E79:J79,"لا")&gt;0,"استلام بتحفظات ("&amp;COUNTIF(E79:J79,"لا")&amp;")","استلام كامل"))</f>
        <v/>
      </c>
    </row>
    <row r="80">
      <c r="A80" s="39">
        <f>IF(B80="","","SH-"&amp;TEXT(ROW()-4,"0000"))</f>
        <v/>
      </c>
      <c r="B80" s="50" t="n"/>
      <c r="C80" s="49">
        <f>IF(B80="","",IFERROR(INDEX('المشروعات'!$B$5:$B$304,MATCH(B80,'المشروعات'!$A$5:$A$304,0)),""))</f>
        <v/>
      </c>
      <c r="D80" s="47" t="n"/>
      <c r="E80" s="40" t="n"/>
      <c r="F80" s="40" t="n"/>
      <c r="G80" s="40" t="n"/>
      <c r="H80" s="40" t="n"/>
      <c r="I80" s="40" t="n"/>
      <c r="J80" s="40" t="n"/>
      <c r="K80" s="40" t="n"/>
      <c r="L80" s="49">
        <f>IF(B80="","",IF(COUNTIF(E80:J80,"لا")&gt;0,"استلام بتحفظات ("&amp;COUNTIF(E80:J80,"لا")&amp;")","استلام كامل"))</f>
        <v/>
      </c>
    </row>
    <row r="81">
      <c r="A81" s="39">
        <f>IF(B81="","","SH-"&amp;TEXT(ROW()-4,"0000"))</f>
        <v/>
      </c>
      <c r="B81" s="50" t="n"/>
      <c r="C81" s="49">
        <f>IF(B81="","",IFERROR(INDEX('المشروعات'!$B$5:$B$304,MATCH(B81,'المشروعات'!$A$5:$A$304,0)),""))</f>
        <v/>
      </c>
      <c r="D81" s="47" t="n"/>
      <c r="E81" s="40" t="n"/>
      <c r="F81" s="40" t="n"/>
      <c r="G81" s="40" t="n"/>
      <c r="H81" s="40" t="n"/>
      <c r="I81" s="40" t="n"/>
      <c r="J81" s="40" t="n"/>
      <c r="K81" s="40" t="n"/>
      <c r="L81" s="49">
        <f>IF(B81="","",IF(COUNTIF(E81:J81,"لا")&gt;0,"استلام بتحفظات ("&amp;COUNTIF(E81:J81,"لا")&amp;")","استلام كامل"))</f>
        <v/>
      </c>
    </row>
    <row r="82">
      <c r="A82" s="39">
        <f>IF(B82="","","SH-"&amp;TEXT(ROW()-4,"0000"))</f>
        <v/>
      </c>
      <c r="B82" s="50" t="n"/>
      <c r="C82" s="49">
        <f>IF(B82="","",IFERROR(INDEX('المشروعات'!$B$5:$B$304,MATCH(B82,'المشروعات'!$A$5:$A$304,0)),""))</f>
        <v/>
      </c>
      <c r="D82" s="47" t="n"/>
      <c r="E82" s="40" t="n"/>
      <c r="F82" s="40" t="n"/>
      <c r="G82" s="40" t="n"/>
      <c r="H82" s="40" t="n"/>
      <c r="I82" s="40" t="n"/>
      <c r="J82" s="40" t="n"/>
      <c r="K82" s="40" t="n"/>
      <c r="L82" s="49">
        <f>IF(B82="","",IF(COUNTIF(E82:J82,"لا")&gt;0,"استلام بتحفظات ("&amp;COUNTIF(E82:J82,"لا")&amp;")","استلام كامل"))</f>
        <v/>
      </c>
    </row>
    <row r="83">
      <c r="A83" s="39">
        <f>IF(B83="","","SH-"&amp;TEXT(ROW()-4,"0000"))</f>
        <v/>
      </c>
      <c r="B83" s="50" t="n"/>
      <c r="C83" s="49">
        <f>IF(B83="","",IFERROR(INDEX('المشروعات'!$B$5:$B$304,MATCH(B83,'المشروعات'!$A$5:$A$304,0)),""))</f>
        <v/>
      </c>
      <c r="D83" s="47" t="n"/>
      <c r="E83" s="40" t="n"/>
      <c r="F83" s="40" t="n"/>
      <c r="G83" s="40" t="n"/>
      <c r="H83" s="40" t="n"/>
      <c r="I83" s="40" t="n"/>
      <c r="J83" s="40" t="n"/>
      <c r="K83" s="40" t="n"/>
      <c r="L83" s="49">
        <f>IF(B83="","",IF(COUNTIF(E83:J83,"لا")&gt;0,"استلام بتحفظات ("&amp;COUNTIF(E83:J83,"لا")&amp;")","استلام كامل"))</f>
        <v/>
      </c>
    </row>
    <row r="84">
      <c r="A84" s="39">
        <f>IF(B84="","","SH-"&amp;TEXT(ROW()-4,"0000"))</f>
        <v/>
      </c>
      <c r="B84" s="50" t="n"/>
      <c r="C84" s="49">
        <f>IF(B84="","",IFERROR(INDEX('المشروعات'!$B$5:$B$304,MATCH(B84,'المشروعات'!$A$5:$A$304,0)),""))</f>
        <v/>
      </c>
      <c r="D84" s="47" t="n"/>
      <c r="E84" s="40" t="n"/>
      <c r="F84" s="40" t="n"/>
      <c r="G84" s="40" t="n"/>
      <c r="H84" s="40" t="n"/>
      <c r="I84" s="40" t="n"/>
      <c r="J84" s="40" t="n"/>
      <c r="K84" s="40" t="n"/>
      <c r="L84" s="49">
        <f>IF(B84="","",IF(COUNTIF(E84:J84,"لا")&gt;0,"استلام بتحفظات ("&amp;COUNTIF(E84:J84,"لا")&amp;")","استلام كامل"))</f>
        <v/>
      </c>
    </row>
    <row r="85">
      <c r="A85" s="39">
        <f>IF(B85="","","SH-"&amp;TEXT(ROW()-4,"0000"))</f>
        <v/>
      </c>
      <c r="B85" s="50" t="n"/>
      <c r="C85" s="49">
        <f>IF(B85="","",IFERROR(INDEX('المشروعات'!$B$5:$B$304,MATCH(B85,'المشروعات'!$A$5:$A$304,0)),""))</f>
        <v/>
      </c>
      <c r="D85" s="47" t="n"/>
      <c r="E85" s="40" t="n"/>
      <c r="F85" s="40" t="n"/>
      <c r="G85" s="40" t="n"/>
      <c r="H85" s="40" t="n"/>
      <c r="I85" s="40" t="n"/>
      <c r="J85" s="40" t="n"/>
      <c r="K85" s="40" t="n"/>
      <c r="L85" s="49">
        <f>IF(B85="","",IF(COUNTIF(E85:J85,"لا")&gt;0,"استلام بتحفظات ("&amp;COUNTIF(E85:J85,"لا")&amp;")","استلام كامل"))</f>
        <v/>
      </c>
    </row>
    <row r="86">
      <c r="A86" s="39">
        <f>IF(B86="","","SH-"&amp;TEXT(ROW()-4,"0000"))</f>
        <v/>
      </c>
      <c r="B86" s="50" t="n"/>
      <c r="C86" s="49">
        <f>IF(B86="","",IFERROR(INDEX('المشروعات'!$B$5:$B$304,MATCH(B86,'المشروعات'!$A$5:$A$304,0)),""))</f>
        <v/>
      </c>
      <c r="D86" s="47" t="n"/>
      <c r="E86" s="40" t="n"/>
      <c r="F86" s="40" t="n"/>
      <c r="G86" s="40" t="n"/>
      <c r="H86" s="40" t="n"/>
      <c r="I86" s="40" t="n"/>
      <c r="J86" s="40" t="n"/>
      <c r="K86" s="40" t="n"/>
      <c r="L86" s="49">
        <f>IF(B86="","",IF(COUNTIF(E86:J86,"لا")&gt;0,"استلام بتحفظات ("&amp;COUNTIF(E86:J86,"لا")&amp;")","استلام كامل"))</f>
        <v/>
      </c>
    </row>
    <row r="87">
      <c r="A87" s="39">
        <f>IF(B87="","","SH-"&amp;TEXT(ROW()-4,"0000"))</f>
        <v/>
      </c>
      <c r="B87" s="50" t="n"/>
      <c r="C87" s="49">
        <f>IF(B87="","",IFERROR(INDEX('المشروعات'!$B$5:$B$304,MATCH(B87,'المشروعات'!$A$5:$A$304,0)),""))</f>
        <v/>
      </c>
      <c r="D87" s="47" t="n"/>
      <c r="E87" s="40" t="n"/>
      <c r="F87" s="40" t="n"/>
      <c r="G87" s="40" t="n"/>
      <c r="H87" s="40" t="n"/>
      <c r="I87" s="40" t="n"/>
      <c r="J87" s="40" t="n"/>
      <c r="K87" s="40" t="n"/>
      <c r="L87" s="49">
        <f>IF(B87="","",IF(COUNTIF(E87:J87,"لا")&gt;0,"استلام بتحفظات ("&amp;COUNTIF(E87:J87,"لا")&amp;")","استلام كامل"))</f>
        <v/>
      </c>
    </row>
    <row r="88">
      <c r="A88" s="39">
        <f>IF(B88="","","SH-"&amp;TEXT(ROW()-4,"0000"))</f>
        <v/>
      </c>
      <c r="B88" s="50" t="n"/>
      <c r="C88" s="49">
        <f>IF(B88="","",IFERROR(INDEX('المشروعات'!$B$5:$B$304,MATCH(B88,'المشروعات'!$A$5:$A$304,0)),""))</f>
        <v/>
      </c>
      <c r="D88" s="47" t="n"/>
      <c r="E88" s="40" t="n"/>
      <c r="F88" s="40" t="n"/>
      <c r="G88" s="40" t="n"/>
      <c r="H88" s="40" t="n"/>
      <c r="I88" s="40" t="n"/>
      <c r="J88" s="40" t="n"/>
      <c r="K88" s="40" t="n"/>
      <c r="L88" s="49">
        <f>IF(B88="","",IF(COUNTIF(E88:J88,"لا")&gt;0,"استلام بتحفظات ("&amp;COUNTIF(E88:J88,"لا")&amp;")","استلام كامل"))</f>
        <v/>
      </c>
    </row>
    <row r="89">
      <c r="A89" s="39">
        <f>IF(B89="","","SH-"&amp;TEXT(ROW()-4,"0000"))</f>
        <v/>
      </c>
      <c r="B89" s="50" t="n"/>
      <c r="C89" s="49">
        <f>IF(B89="","",IFERROR(INDEX('المشروعات'!$B$5:$B$304,MATCH(B89,'المشروعات'!$A$5:$A$304,0)),""))</f>
        <v/>
      </c>
      <c r="D89" s="47" t="n"/>
      <c r="E89" s="40" t="n"/>
      <c r="F89" s="40" t="n"/>
      <c r="G89" s="40" t="n"/>
      <c r="H89" s="40" t="n"/>
      <c r="I89" s="40" t="n"/>
      <c r="J89" s="40" t="n"/>
      <c r="K89" s="40" t="n"/>
      <c r="L89" s="49">
        <f>IF(B89="","",IF(COUNTIF(E89:J89,"لا")&gt;0,"استلام بتحفظات ("&amp;COUNTIF(E89:J89,"لا")&amp;")","استلام كامل"))</f>
        <v/>
      </c>
    </row>
    <row r="90">
      <c r="A90" s="39">
        <f>IF(B90="","","SH-"&amp;TEXT(ROW()-4,"0000"))</f>
        <v/>
      </c>
      <c r="B90" s="50" t="n"/>
      <c r="C90" s="49">
        <f>IF(B90="","",IFERROR(INDEX('المشروعات'!$B$5:$B$304,MATCH(B90,'المشروعات'!$A$5:$A$304,0)),""))</f>
        <v/>
      </c>
      <c r="D90" s="47" t="n"/>
      <c r="E90" s="40" t="n"/>
      <c r="F90" s="40" t="n"/>
      <c r="G90" s="40" t="n"/>
      <c r="H90" s="40" t="n"/>
      <c r="I90" s="40" t="n"/>
      <c r="J90" s="40" t="n"/>
      <c r="K90" s="40" t="n"/>
      <c r="L90" s="49">
        <f>IF(B90="","",IF(COUNTIF(E90:J90,"لا")&gt;0,"استلام بتحفظات ("&amp;COUNTIF(E90:J90,"لا")&amp;")","استلام كامل"))</f>
        <v/>
      </c>
    </row>
    <row r="91">
      <c r="A91" s="39">
        <f>IF(B91="","","SH-"&amp;TEXT(ROW()-4,"0000"))</f>
        <v/>
      </c>
      <c r="B91" s="50" t="n"/>
      <c r="C91" s="49">
        <f>IF(B91="","",IFERROR(INDEX('المشروعات'!$B$5:$B$304,MATCH(B91,'المشروعات'!$A$5:$A$304,0)),""))</f>
        <v/>
      </c>
      <c r="D91" s="47" t="n"/>
      <c r="E91" s="40" t="n"/>
      <c r="F91" s="40" t="n"/>
      <c r="G91" s="40" t="n"/>
      <c r="H91" s="40" t="n"/>
      <c r="I91" s="40" t="n"/>
      <c r="J91" s="40" t="n"/>
      <c r="K91" s="40" t="n"/>
      <c r="L91" s="49">
        <f>IF(B91="","",IF(COUNTIF(E91:J91,"لا")&gt;0,"استلام بتحفظات ("&amp;COUNTIF(E91:J91,"لا")&amp;")","استلام كامل"))</f>
        <v/>
      </c>
    </row>
    <row r="92">
      <c r="A92" s="39">
        <f>IF(B92="","","SH-"&amp;TEXT(ROW()-4,"0000"))</f>
        <v/>
      </c>
      <c r="B92" s="50" t="n"/>
      <c r="C92" s="49">
        <f>IF(B92="","",IFERROR(INDEX('المشروعات'!$B$5:$B$304,MATCH(B92,'المشروعات'!$A$5:$A$304,0)),""))</f>
        <v/>
      </c>
      <c r="D92" s="47" t="n"/>
      <c r="E92" s="40" t="n"/>
      <c r="F92" s="40" t="n"/>
      <c r="G92" s="40" t="n"/>
      <c r="H92" s="40" t="n"/>
      <c r="I92" s="40" t="n"/>
      <c r="J92" s="40" t="n"/>
      <c r="K92" s="40" t="n"/>
      <c r="L92" s="49">
        <f>IF(B92="","",IF(COUNTIF(E92:J92,"لا")&gt;0,"استلام بتحفظات ("&amp;COUNTIF(E92:J92,"لا")&amp;")","استلام كامل"))</f>
        <v/>
      </c>
    </row>
    <row r="93">
      <c r="A93" s="39">
        <f>IF(B93="","","SH-"&amp;TEXT(ROW()-4,"0000"))</f>
        <v/>
      </c>
      <c r="B93" s="50" t="n"/>
      <c r="C93" s="49">
        <f>IF(B93="","",IFERROR(INDEX('المشروعات'!$B$5:$B$304,MATCH(B93,'المشروعات'!$A$5:$A$304,0)),""))</f>
        <v/>
      </c>
      <c r="D93" s="47" t="n"/>
      <c r="E93" s="40" t="n"/>
      <c r="F93" s="40" t="n"/>
      <c r="G93" s="40" t="n"/>
      <c r="H93" s="40" t="n"/>
      <c r="I93" s="40" t="n"/>
      <c r="J93" s="40" t="n"/>
      <c r="K93" s="40" t="n"/>
      <c r="L93" s="49">
        <f>IF(B93="","",IF(COUNTIF(E93:J93,"لا")&gt;0,"استلام بتحفظات ("&amp;COUNTIF(E93:J93,"لا")&amp;")","استلام كامل"))</f>
        <v/>
      </c>
    </row>
    <row r="94">
      <c r="A94" s="39">
        <f>IF(B94="","","SH-"&amp;TEXT(ROW()-4,"0000"))</f>
        <v/>
      </c>
      <c r="B94" s="50" t="n"/>
      <c r="C94" s="49">
        <f>IF(B94="","",IFERROR(INDEX('المشروعات'!$B$5:$B$304,MATCH(B94,'المشروعات'!$A$5:$A$304,0)),""))</f>
        <v/>
      </c>
      <c r="D94" s="47" t="n"/>
      <c r="E94" s="40" t="n"/>
      <c r="F94" s="40" t="n"/>
      <c r="G94" s="40" t="n"/>
      <c r="H94" s="40" t="n"/>
      <c r="I94" s="40" t="n"/>
      <c r="J94" s="40" t="n"/>
      <c r="K94" s="40" t="n"/>
      <c r="L94" s="49">
        <f>IF(B94="","",IF(COUNTIF(E94:J94,"لا")&gt;0,"استلام بتحفظات ("&amp;COUNTIF(E94:J94,"لا")&amp;")","استلام كامل"))</f>
        <v/>
      </c>
    </row>
    <row r="95">
      <c r="A95" s="39">
        <f>IF(B95="","","SH-"&amp;TEXT(ROW()-4,"0000"))</f>
        <v/>
      </c>
      <c r="B95" s="50" t="n"/>
      <c r="C95" s="49">
        <f>IF(B95="","",IFERROR(INDEX('المشروعات'!$B$5:$B$304,MATCH(B95,'المشروعات'!$A$5:$A$304,0)),""))</f>
        <v/>
      </c>
      <c r="D95" s="47" t="n"/>
      <c r="E95" s="40" t="n"/>
      <c r="F95" s="40" t="n"/>
      <c r="G95" s="40" t="n"/>
      <c r="H95" s="40" t="n"/>
      <c r="I95" s="40" t="n"/>
      <c r="J95" s="40" t="n"/>
      <c r="K95" s="40" t="n"/>
      <c r="L95" s="49">
        <f>IF(B95="","",IF(COUNTIF(E95:J95,"لا")&gt;0,"استلام بتحفظات ("&amp;COUNTIF(E95:J95,"لا")&amp;")","استلام كامل"))</f>
        <v/>
      </c>
    </row>
    <row r="96">
      <c r="A96" s="39">
        <f>IF(B96="","","SH-"&amp;TEXT(ROW()-4,"0000"))</f>
        <v/>
      </c>
      <c r="B96" s="50" t="n"/>
      <c r="C96" s="49">
        <f>IF(B96="","",IFERROR(INDEX('المشروعات'!$B$5:$B$304,MATCH(B96,'المشروعات'!$A$5:$A$304,0)),""))</f>
        <v/>
      </c>
      <c r="D96" s="47" t="n"/>
      <c r="E96" s="40" t="n"/>
      <c r="F96" s="40" t="n"/>
      <c r="G96" s="40" t="n"/>
      <c r="H96" s="40" t="n"/>
      <c r="I96" s="40" t="n"/>
      <c r="J96" s="40" t="n"/>
      <c r="K96" s="40" t="n"/>
      <c r="L96" s="49">
        <f>IF(B96="","",IF(COUNTIF(E96:J96,"لا")&gt;0,"استلام بتحفظات ("&amp;COUNTIF(E96:J96,"لا")&amp;")","استلام كامل"))</f>
        <v/>
      </c>
    </row>
    <row r="97">
      <c r="A97" s="39">
        <f>IF(B97="","","SH-"&amp;TEXT(ROW()-4,"0000"))</f>
        <v/>
      </c>
      <c r="B97" s="50" t="n"/>
      <c r="C97" s="49">
        <f>IF(B97="","",IFERROR(INDEX('المشروعات'!$B$5:$B$304,MATCH(B97,'المشروعات'!$A$5:$A$304,0)),""))</f>
        <v/>
      </c>
      <c r="D97" s="47" t="n"/>
      <c r="E97" s="40" t="n"/>
      <c r="F97" s="40" t="n"/>
      <c r="G97" s="40" t="n"/>
      <c r="H97" s="40" t="n"/>
      <c r="I97" s="40" t="n"/>
      <c r="J97" s="40" t="n"/>
      <c r="K97" s="40" t="n"/>
      <c r="L97" s="49">
        <f>IF(B97="","",IF(COUNTIF(E97:J97,"لا")&gt;0,"استلام بتحفظات ("&amp;COUNTIF(E97:J97,"لا")&amp;")","استلام كامل"))</f>
        <v/>
      </c>
    </row>
    <row r="98">
      <c r="A98" s="39">
        <f>IF(B98="","","SH-"&amp;TEXT(ROW()-4,"0000"))</f>
        <v/>
      </c>
      <c r="B98" s="50" t="n"/>
      <c r="C98" s="49">
        <f>IF(B98="","",IFERROR(INDEX('المشروعات'!$B$5:$B$304,MATCH(B98,'المشروعات'!$A$5:$A$304,0)),""))</f>
        <v/>
      </c>
      <c r="D98" s="47" t="n"/>
      <c r="E98" s="40" t="n"/>
      <c r="F98" s="40" t="n"/>
      <c r="G98" s="40" t="n"/>
      <c r="H98" s="40" t="n"/>
      <c r="I98" s="40" t="n"/>
      <c r="J98" s="40" t="n"/>
      <c r="K98" s="40" t="n"/>
      <c r="L98" s="49">
        <f>IF(B98="","",IF(COUNTIF(E98:J98,"لا")&gt;0,"استلام بتحفظات ("&amp;COUNTIF(E98:J98,"لا")&amp;")","استلام كامل"))</f>
        <v/>
      </c>
    </row>
    <row r="99">
      <c r="A99" s="39">
        <f>IF(B99="","","SH-"&amp;TEXT(ROW()-4,"0000"))</f>
        <v/>
      </c>
      <c r="B99" s="50" t="n"/>
      <c r="C99" s="49">
        <f>IF(B99="","",IFERROR(INDEX('المشروعات'!$B$5:$B$304,MATCH(B99,'المشروعات'!$A$5:$A$304,0)),""))</f>
        <v/>
      </c>
      <c r="D99" s="47" t="n"/>
      <c r="E99" s="40" t="n"/>
      <c r="F99" s="40" t="n"/>
      <c r="G99" s="40" t="n"/>
      <c r="H99" s="40" t="n"/>
      <c r="I99" s="40" t="n"/>
      <c r="J99" s="40" t="n"/>
      <c r="K99" s="40" t="n"/>
      <c r="L99" s="49">
        <f>IF(B99="","",IF(COUNTIF(E99:J99,"لا")&gt;0,"استلام بتحفظات ("&amp;COUNTIF(E99:J99,"لا")&amp;")","استلام كامل"))</f>
        <v/>
      </c>
    </row>
    <row r="100">
      <c r="A100" s="39">
        <f>IF(B100="","","SH-"&amp;TEXT(ROW()-4,"0000"))</f>
        <v/>
      </c>
      <c r="B100" s="50" t="n"/>
      <c r="C100" s="49">
        <f>IF(B100="","",IFERROR(INDEX('المشروعات'!$B$5:$B$304,MATCH(B100,'المشروعات'!$A$5:$A$304,0)),""))</f>
        <v/>
      </c>
      <c r="D100" s="47" t="n"/>
      <c r="E100" s="40" t="n"/>
      <c r="F100" s="40" t="n"/>
      <c r="G100" s="40" t="n"/>
      <c r="H100" s="40" t="n"/>
      <c r="I100" s="40" t="n"/>
      <c r="J100" s="40" t="n"/>
      <c r="K100" s="40" t="n"/>
      <c r="L100" s="49">
        <f>IF(B100="","",IF(COUNTIF(E100:J100,"لا")&gt;0,"استلام بتحفظات ("&amp;COUNTIF(E100:J100,"لا")&amp;")","استلام كامل"))</f>
        <v/>
      </c>
    </row>
    <row r="101">
      <c r="A101" s="39">
        <f>IF(B101="","","SH-"&amp;TEXT(ROW()-4,"0000"))</f>
        <v/>
      </c>
      <c r="B101" s="50" t="n"/>
      <c r="C101" s="49">
        <f>IF(B101="","",IFERROR(INDEX('المشروعات'!$B$5:$B$304,MATCH(B101,'المشروعات'!$A$5:$A$304,0)),""))</f>
        <v/>
      </c>
      <c r="D101" s="47" t="n"/>
      <c r="E101" s="40" t="n"/>
      <c r="F101" s="40" t="n"/>
      <c r="G101" s="40" t="n"/>
      <c r="H101" s="40" t="n"/>
      <c r="I101" s="40" t="n"/>
      <c r="J101" s="40" t="n"/>
      <c r="K101" s="40" t="n"/>
      <c r="L101" s="49">
        <f>IF(B101="","",IF(COUNTIF(E101:J101,"لا")&gt;0,"استلام بتحفظات ("&amp;COUNTIF(E101:J101,"لا")&amp;")","استلام كامل"))</f>
        <v/>
      </c>
    </row>
    <row r="102">
      <c r="A102" s="39">
        <f>IF(B102="","","SH-"&amp;TEXT(ROW()-4,"0000"))</f>
        <v/>
      </c>
      <c r="B102" s="50" t="n"/>
      <c r="C102" s="49">
        <f>IF(B102="","",IFERROR(INDEX('المشروعات'!$B$5:$B$304,MATCH(B102,'المشروعات'!$A$5:$A$304,0)),""))</f>
        <v/>
      </c>
      <c r="D102" s="47" t="n"/>
      <c r="E102" s="40" t="n"/>
      <c r="F102" s="40" t="n"/>
      <c r="G102" s="40" t="n"/>
      <c r="H102" s="40" t="n"/>
      <c r="I102" s="40" t="n"/>
      <c r="J102" s="40" t="n"/>
      <c r="K102" s="40" t="n"/>
      <c r="L102" s="49">
        <f>IF(B102="","",IF(COUNTIF(E102:J102,"لا")&gt;0,"استلام بتحفظات ("&amp;COUNTIF(E102:J102,"لا")&amp;")","استلام كامل"))</f>
        <v/>
      </c>
    </row>
    <row r="103">
      <c r="A103" s="39">
        <f>IF(B103="","","SH-"&amp;TEXT(ROW()-4,"0000"))</f>
        <v/>
      </c>
      <c r="B103" s="50" t="n"/>
      <c r="C103" s="49">
        <f>IF(B103="","",IFERROR(INDEX('المشروعات'!$B$5:$B$304,MATCH(B103,'المشروعات'!$A$5:$A$304,0)),""))</f>
        <v/>
      </c>
      <c r="D103" s="47" t="n"/>
      <c r="E103" s="40" t="n"/>
      <c r="F103" s="40" t="n"/>
      <c r="G103" s="40" t="n"/>
      <c r="H103" s="40" t="n"/>
      <c r="I103" s="40" t="n"/>
      <c r="J103" s="40" t="n"/>
      <c r="K103" s="40" t="n"/>
      <c r="L103" s="49">
        <f>IF(B103="","",IF(COUNTIF(E103:J103,"لا")&gt;0,"استلام بتحفظات ("&amp;COUNTIF(E103:J103,"لا")&amp;")","استلام كامل"))</f>
        <v/>
      </c>
    </row>
    <row r="104">
      <c r="A104" s="39">
        <f>IF(B104="","","SH-"&amp;TEXT(ROW()-4,"0000"))</f>
        <v/>
      </c>
      <c r="B104" s="50" t="n"/>
      <c r="C104" s="49">
        <f>IF(B104="","",IFERROR(INDEX('المشروعات'!$B$5:$B$304,MATCH(B104,'المشروعات'!$A$5:$A$304,0)),""))</f>
        <v/>
      </c>
      <c r="D104" s="47" t="n"/>
      <c r="E104" s="40" t="n"/>
      <c r="F104" s="40" t="n"/>
      <c r="G104" s="40" t="n"/>
      <c r="H104" s="40" t="n"/>
      <c r="I104" s="40" t="n"/>
      <c r="J104" s="40" t="n"/>
      <c r="K104" s="40" t="n"/>
      <c r="L104" s="49">
        <f>IF(B104="","",IF(COUNTIF(E104:J104,"لا")&gt;0,"استلام بتحفظات ("&amp;COUNTIF(E104:J104,"لا")&amp;")","استلام كامل"))</f>
        <v/>
      </c>
    </row>
    <row r="105">
      <c r="A105" s="39">
        <f>IF(B105="","","SH-"&amp;TEXT(ROW()-4,"0000"))</f>
        <v/>
      </c>
      <c r="B105" s="50" t="n"/>
      <c r="C105" s="49">
        <f>IF(B105="","",IFERROR(INDEX('المشروعات'!$B$5:$B$304,MATCH(B105,'المشروعات'!$A$5:$A$304,0)),""))</f>
        <v/>
      </c>
      <c r="D105" s="47" t="n"/>
      <c r="E105" s="40" t="n"/>
      <c r="F105" s="40" t="n"/>
      <c r="G105" s="40" t="n"/>
      <c r="H105" s="40" t="n"/>
      <c r="I105" s="40" t="n"/>
      <c r="J105" s="40" t="n"/>
      <c r="K105" s="40" t="n"/>
      <c r="L105" s="49">
        <f>IF(B105="","",IF(COUNTIF(E105:J105,"لا")&gt;0,"استلام بتحفظات ("&amp;COUNTIF(E105:J105,"لا")&amp;")","استلام كامل"))</f>
        <v/>
      </c>
    </row>
    <row r="106">
      <c r="A106" s="39">
        <f>IF(B106="","","SH-"&amp;TEXT(ROW()-4,"0000"))</f>
        <v/>
      </c>
      <c r="B106" s="50" t="n"/>
      <c r="C106" s="49">
        <f>IF(B106="","",IFERROR(INDEX('المشروعات'!$B$5:$B$304,MATCH(B106,'المشروعات'!$A$5:$A$304,0)),""))</f>
        <v/>
      </c>
      <c r="D106" s="47" t="n"/>
      <c r="E106" s="40" t="n"/>
      <c r="F106" s="40" t="n"/>
      <c r="G106" s="40" t="n"/>
      <c r="H106" s="40" t="n"/>
      <c r="I106" s="40" t="n"/>
      <c r="J106" s="40" t="n"/>
      <c r="K106" s="40" t="n"/>
      <c r="L106" s="49">
        <f>IF(B106="","",IF(COUNTIF(E106:J106,"لا")&gt;0,"استلام بتحفظات ("&amp;COUNTIF(E106:J106,"لا")&amp;")","استلام كامل"))</f>
        <v/>
      </c>
    </row>
    <row r="107">
      <c r="A107" s="39">
        <f>IF(B107="","","SH-"&amp;TEXT(ROW()-4,"0000"))</f>
        <v/>
      </c>
      <c r="B107" s="50" t="n"/>
      <c r="C107" s="49">
        <f>IF(B107="","",IFERROR(INDEX('المشروعات'!$B$5:$B$304,MATCH(B107,'المشروعات'!$A$5:$A$304,0)),""))</f>
        <v/>
      </c>
      <c r="D107" s="47" t="n"/>
      <c r="E107" s="40" t="n"/>
      <c r="F107" s="40" t="n"/>
      <c r="G107" s="40" t="n"/>
      <c r="H107" s="40" t="n"/>
      <c r="I107" s="40" t="n"/>
      <c r="J107" s="40" t="n"/>
      <c r="K107" s="40" t="n"/>
      <c r="L107" s="49">
        <f>IF(B107="","",IF(COUNTIF(E107:J107,"لا")&gt;0,"استلام بتحفظات ("&amp;COUNTIF(E107:J107,"لا")&amp;")","استلام كامل"))</f>
        <v/>
      </c>
    </row>
    <row r="108">
      <c r="A108" s="39">
        <f>IF(B108="","","SH-"&amp;TEXT(ROW()-4,"0000"))</f>
        <v/>
      </c>
      <c r="B108" s="50" t="n"/>
      <c r="C108" s="49">
        <f>IF(B108="","",IFERROR(INDEX('المشروعات'!$B$5:$B$304,MATCH(B108,'المشروعات'!$A$5:$A$304,0)),""))</f>
        <v/>
      </c>
      <c r="D108" s="47" t="n"/>
      <c r="E108" s="40" t="n"/>
      <c r="F108" s="40" t="n"/>
      <c r="G108" s="40" t="n"/>
      <c r="H108" s="40" t="n"/>
      <c r="I108" s="40" t="n"/>
      <c r="J108" s="40" t="n"/>
      <c r="K108" s="40" t="n"/>
      <c r="L108" s="49">
        <f>IF(B108="","",IF(COUNTIF(E108:J108,"لا")&gt;0,"استلام بتحفظات ("&amp;COUNTIF(E108:J108,"لا")&amp;")","استلام كامل"))</f>
        <v/>
      </c>
    </row>
    <row r="109">
      <c r="A109" s="39">
        <f>IF(B109="","","SH-"&amp;TEXT(ROW()-4,"0000"))</f>
        <v/>
      </c>
      <c r="B109" s="50" t="n"/>
      <c r="C109" s="49">
        <f>IF(B109="","",IFERROR(INDEX('المشروعات'!$B$5:$B$304,MATCH(B109,'المشروعات'!$A$5:$A$304,0)),""))</f>
        <v/>
      </c>
      <c r="D109" s="47" t="n"/>
      <c r="E109" s="40" t="n"/>
      <c r="F109" s="40" t="n"/>
      <c r="G109" s="40" t="n"/>
      <c r="H109" s="40" t="n"/>
      <c r="I109" s="40" t="n"/>
      <c r="J109" s="40" t="n"/>
      <c r="K109" s="40" t="n"/>
      <c r="L109" s="49">
        <f>IF(B109="","",IF(COUNTIF(E109:J109,"لا")&gt;0,"استلام بتحفظات ("&amp;COUNTIF(E109:J109,"لا")&amp;")","استلام كامل"))</f>
        <v/>
      </c>
    </row>
    <row r="110">
      <c r="A110" s="39">
        <f>IF(B110="","","SH-"&amp;TEXT(ROW()-4,"0000"))</f>
        <v/>
      </c>
      <c r="B110" s="50" t="n"/>
      <c r="C110" s="49">
        <f>IF(B110="","",IFERROR(INDEX('المشروعات'!$B$5:$B$304,MATCH(B110,'المشروعات'!$A$5:$A$304,0)),""))</f>
        <v/>
      </c>
      <c r="D110" s="47" t="n"/>
      <c r="E110" s="40" t="n"/>
      <c r="F110" s="40" t="n"/>
      <c r="G110" s="40" t="n"/>
      <c r="H110" s="40" t="n"/>
      <c r="I110" s="40" t="n"/>
      <c r="J110" s="40" t="n"/>
      <c r="K110" s="40" t="n"/>
      <c r="L110" s="49">
        <f>IF(B110="","",IF(COUNTIF(E110:J110,"لا")&gt;0,"استلام بتحفظات ("&amp;COUNTIF(E110:J110,"لا")&amp;")","استلام كامل"))</f>
        <v/>
      </c>
    </row>
    <row r="111">
      <c r="A111" s="39">
        <f>IF(B111="","","SH-"&amp;TEXT(ROW()-4,"0000"))</f>
        <v/>
      </c>
      <c r="B111" s="50" t="n"/>
      <c r="C111" s="49">
        <f>IF(B111="","",IFERROR(INDEX('المشروعات'!$B$5:$B$304,MATCH(B111,'المشروعات'!$A$5:$A$304,0)),""))</f>
        <v/>
      </c>
      <c r="D111" s="47" t="n"/>
      <c r="E111" s="40" t="n"/>
      <c r="F111" s="40" t="n"/>
      <c r="G111" s="40" t="n"/>
      <c r="H111" s="40" t="n"/>
      <c r="I111" s="40" t="n"/>
      <c r="J111" s="40" t="n"/>
      <c r="K111" s="40" t="n"/>
      <c r="L111" s="49">
        <f>IF(B111="","",IF(COUNTIF(E111:J111,"لا")&gt;0,"استلام بتحفظات ("&amp;COUNTIF(E111:J111,"لا")&amp;")","استلام كامل"))</f>
        <v/>
      </c>
    </row>
    <row r="112">
      <c r="A112" s="39">
        <f>IF(B112="","","SH-"&amp;TEXT(ROW()-4,"0000"))</f>
        <v/>
      </c>
      <c r="B112" s="50" t="n"/>
      <c r="C112" s="49">
        <f>IF(B112="","",IFERROR(INDEX('المشروعات'!$B$5:$B$304,MATCH(B112,'المشروعات'!$A$5:$A$304,0)),""))</f>
        <v/>
      </c>
      <c r="D112" s="47" t="n"/>
      <c r="E112" s="40" t="n"/>
      <c r="F112" s="40" t="n"/>
      <c r="G112" s="40" t="n"/>
      <c r="H112" s="40" t="n"/>
      <c r="I112" s="40" t="n"/>
      <c r="J112" s="40" t="n"/>
      <c r="K112" s="40" t="n"/>
      <c r="L112" s="49">
        <f>IF(B112="","",IF(COUNTIF(E112:J112,"لا")&gt;0,"استلام بتحفظات ("&amp;COUNTIF(E112:J112,"لا")&amp;")","استلام كامل"))</f>
        <v/>
      </c>
    </row>
    <row r="113">
      <c r="A113" s="39">
        <f>IF(B113="","","SH-"&amp;TEXT(ROW()-4,"0000"))</f>
        <v/>
      </c>
      <c r="B113" s="50" t="n"/>
      <c r="C113" s="49">
        <f>IF(B113="","",IFERROR(INDEX('المشروعات'!$B$5:$B$304,MATCH(B113,'المشروعات'!$A$5:$A$304,0)),""))</f>
        <v/>
      </c>
      <c r="D113" s="47" t="n"/>
      <c r="E113" s="40" t="n"/>
      <c r="F113" s="40" t="n"/>
      <c r="G113" s="40" t="n"/>
      <c r="H113" s="40" t="n"/>
      <c r="I113" s="40" t="n"/>
      <c r="J113" s="40" t="n"/>
      <c r="K113" s="40" t="n"/>
      <c r="L113" s="49">
        <f>IF(B113="","",IF(COUNTIF(E113:J113,"لا")&gt;0,"استلام بتحفظات ("&amp;COUNTIF(E113:J113,"لا")&amp;")","استلام كامل"))</f>
        <v/>
      </c>
    </row>
    <row r="114">
      <c r="A114" s="39">
        <f>IF(B114="","","SH-"&amp;TEXT(ROW()-4,"0000"))</f>
        <v/>
      </c>
      <c r="B114" s="50" t="n"/>
      <c r="C114" s="49">
        <f>IF(B114="","",IFERROR(INDEX('المشروعات'!$B$5:$B$304,MATCH(B114,'المشروعات'!$A$5:$A$304,0)),""))</f>
        <v/>
      </c>
      <c r="D114" s="47" t="n"/>
      <c r="E114" s="40" t="n"/>
      <c r="F114" s="40" t="n"/>
      <c r="G114" s="40" t="n"/>
      <c r="H114" s="40" t="n"/>
      <c r="I114" s="40" t="n"/>
      <c r="J114" s="40" t="n"/>
      <c r="K114" s="40" t="n"/>
      <c r="L114" s="49">
        <f>IF(B114="","",IF(COUNTIF(E114:J114,"لا")&gt;0,"استلام بتحفظات ("&amp;COUNTIF(E114:J114,"لا")&amp;")","استلام كامل"))</f>
        <v/>
      </c>
    </row>
    <row r="115">
      <c r="A115" s="39">
        <f>IF(B115="","","SH-"&amp;TEXT(ROW()-4,"0000"))</f>
        <v/>
      </c>
      <c r="B115" s="50" t="n"/>
      <c r="C115" s="49">
        <f>IF(B115="","",IFERROR(INDEX('المشروعات'!$B$5:$B$304,MATCH(B115,'المشروعات'!$A$5:$A$304,0)),""))</f>
        <v/>
      </c>
      <c r="D115" s="47" t="n"/>
      <c r="E115" s="40" t="n"/>
      <c r="F115" s="40" t="n"/>
      <c r="G115" s="40" t="n"/>
      <c r="H115" s="40" t="n"/>
      <c r="I115" s="40" t="n"/>
      <c r="J115" s="40" t="n"/>
      <c r="K115" s="40" t="n"/>
      <c r="L115" s="49">
        <f>IF(B115="","",IF(COUNTIF(E115:J115,"لا")&gt;0,"استلام بتحفظات ("&amp;COUNTIF(E115:J115,"لا")&amp;")","استلام كامل"))</f>
        <v/>
      </c>
    </row>
    <row r="116">
      <c r="A116" s="39">
        <f>IF(B116="","","SH-"&amp;TEXT(ROW()-4,"0000"))</f>
        <v/>
      </c>
      <c r="B116" s="50" t="n"/>
      <c r="C116" s="49">
        <f>IF(B116="","",IFERROR(INDEX('المشروعات'!$B$5:$B$304,MATCH(B116,'المشروعات'!$A$5:$A$304,0)),""))</f>
        <v/>
      </c>
      <c r="D116" s="47" t="n"/>
      <c r="E116" s="40" t="n"/>
      <c r="F116" s="40" t="n"/>
      <c r="G116" s="40" t="n"/>
      <c r="H116" s="40" t="n"/>
      <c r="I116" s="40" t="n"/>
      <c r="J116" s="40" t="n"/>
      <c r="K116" s="40" t="n"/>
      <c r="L116" s="49">
        <f>IF(B116="","",IF(COUNTIF(E116:J116,"لا")&gt;0,"استلام بتحفظات ("&amp;COUNTIF(E116:J116,"لا")&amp;")","استلام كامل"))</f>
        <v/>
      </c>
    </row>
    <row r="117">
      <c r="A117" s="39">
        <f>IF(B117="","","SH-"&amp;TEXT(ROW()-4,"0000"))</f>
        <v/>
      </c>
      <c r="B117" s="50" t="n"/>
      <c r="C117" s="49">
        <f>IF(B117="","",IFERROR(INDEX('المشروعات'!$B$5:$B$304,MATCH(B117,'المشروعات'!$A$5:$A$304,0)),""))</f>
        <v/>
      </c>
      <c r="D117" s="47" t="n"/>
      <c r="E117" s="40" t="n"/>
      <c r="F117" s="40" t="n"/>
      <c r="G117" s="40" t="n"/>
      <c r="H117" s="40" t="n"/>
      <c r="I117" s="40" t="n"/>
      <c r="J117" s="40" t="n"/>
      <c r="K117" s="40" t="n"/>
      <c r="L117" s="49">
        <f>IF(B117="","",IF(COUNTIF(E117:J117,"لا")&gt;0,"استلام بتحفظات ("&amp;COUNTIF(E117:J117,"لا")&amp;")","استلام كامل"))</f>
        <v/>
      </c>
    </row>
    <row r="118">
      <c r="A118" s="39">
        <f>IF(B118="","","SH-"&amp;TEXT(ROW()-4,"0000"))</f>
        <v/>
      </c>
      <c r="B118" s="50" t="n"/>
      <c r="C118" s="49">
        <f>IF(B118="","",IFERROR(INDEX('المشروعات'!$B$5:$B$304,MATCH(B118,'المشروعات'!$A$5:$A$304,0)),""))</f>
        <v/>
      </c>
      <c r="D118" s="47" t="n"/>
      <c r="E118" s="40" t="n"/>
      <c r="F118" s="40" t="n"/>
      <c r="G118" s="40" t="n"/>
      <c r="H118" s="40" t="n"/>
      <c r="I118" s="40" t="n"/>
      <c r="J118" s="40" t="n"/>
      <c r="K118" s="40" t="n"/>
      <c r="L118" s="49">
        <f>IF(B118="","",IF(COUNTIF(E118:J118,"لا")&gt;0,"استلام بتحفظات ("&amp;COUNTIF(E118:J118,"لا")&amp;")","استلام كامل"))</f>
        <v/>
      </c>
    </row>
    <row r="119">
      <c r="A119" s="39">
        <f>IF(B119="","","SH-"&amp;TEXT(ROW()-4,"0000"))</f>
        <v/>
      </c>
      <c r="B119" s="50" t="n"/>
      <c r="C119" s="49">
        <f>IF(B119="","",IFERROR(INDEX('المشروعات'!$B$5:$B$304,MATCH(B119,'المشروعات'!$A$5:$A$304,0)),""))</f>
        <v/>
      </c>
      <c r="D119" s="47" t="n"/>
      <c r="E119" s="40" t="n"/>
      <c r="F119" s="40" t="n"/>
      <c r="G119" s="40" t="n"/>
      <c r="H119" s="40" t="n"/>
      <c r="I119" s="40" t="n"/>
      <c r="J119" s="40" t="n"/>
      <c r="K119" s="40" t="n"/>
      <c r="L119" s="49">
        <f>IF(B119="","",IF(COUNTIF(E119:J119,"لا")&gt;0,"استلام بتحفظات ("&amp;COUNTIF(E119:J119,"لا")&amp;")","استلام كامل"))</f>
        <v/>
      </c>
    </row>
    <row r="120">
      <c r="A120" s="39">
        <f>IF(B120="","","SH-"&amp;TEXT(ROW()-4,"0000"))</f>
        <v/>
      </c>
      <c r="B120" s="50" t="n"/>
      <c r="C120" s="49">
        <f>IF(B120="","",IFERROR(INDEX('المشروعات'!$B$5:$B$304,MATCH(B120,'المشروعات'!$A$5:$A$304,0)),""))</f>
        <v/>
      </c>
      <c r="D120" s="47" t="n"/>
      <c r="E120" s="40" t="n"/>
      <c r="F120" s="40" t="n"/>
      <c r="G120" s="40" t="n"/>
      <c r="H120" s="40" t="n"/>
      <c r="I120" s="40" t="n"/>
      <c r="J120" s="40" t="n"/>
      <c r="K120" s="40" t="n"/>
      <c r="L120" s="49">
        <f>IF(B120="","",IF(COUNTIF(E120:J120,"لا")&gt;0,"استلام بتحفظات ("&amp;COUNTIF(E120:J120,"لا")&amp;")","استلام كامل"))</f>
        <v/>
      </c>
    </row>
    <row r="121">
      <c r="A121" s="39">
        <f>IF(B121="","","SH-"&amp;TEXT(ROW()-4,"0000"))</f>
        <v/>
      </c>
      <c r="B121" s="50" t="n"/>
      <c r="C121" s="49">
        <f>IF(B121="","",IFERROR(INDEX('المشروعات'!$B$5:$B$304,MATCH(B121,'المشروعات'!$A$5:$A$304,0)),""))</f>
        <v/>
      </c>
      <c r="D121" s="47" t="n"/>
      <c r="E121" s="40" t="n"/>
      <c r="F121" s="40" t="n"/>
      <c r="G121" s="40" t="n"/>
      <c r="H121" s="40" t="n"/>
      <c r="I121" s="40" t="n"/>
      <c r="J121" s="40" t="n"/>
      <c r="K121" s="40" t="n"/>
      <c r="L121" s="49">
        <f>IF(B121="","",IF(COUNTIF(E121:J121,"لا")&gt;0,"استلام بتحفظات ("&amp;COUNTIF(E121:J121,"لا")&amp;")","استلام كامل"))</f>
        <v/>
      </c>
    </row>
    <row r="122">
      <c r="A122" s="39">
        <f>IF(B122="","","SH-"&amp;TEXT(ROW()-4,"0000"))</f>
        <v/>
      </c>
      <c r="B122" s="50" t="n"/>
      <c r="C122" s="49">
        <f>IF(B122="","",IFERROR(INDEX('المشروعات'!$B$5:$B$304,MATCH(B122,'المشروعات'!$A$5:$A$304,0)),""))</f>
        <v/>
      </c>
      <c r="D122" s="47" t="n"/>
      <c r="E122" s="40" t="n"/>
      <c r="F122" s="40" t="n"/>
      <c r="G122" s="40" t="n"/>
      <c r="H122" s="40" t="n"/>
      <c r="I122" s="40" t="n"/>
      <c r="J122" s="40" t="n"/>
      <c r="K122" s="40" t="n"/>
      <c r="L122" s="49">
        <f>IF(B122="","",IF(COUNTIF(E122:J122,"لا")&gt;0,"استلام بتحفظات ("&amp;COUNTIF(E122:J122,"لا")&amp;")","استلام كامل"))</f>
        <v/>
      </c>
    </row>
    <row r="123">
      <c r="A123" s="39">
        <f>IF(B123="","","SH-"&amp;TEXT(ROW()-4,"0000"))</f>
        <v/>
      </c>
      <c r="B123" s="50" t="n"/>
      <c r="C123" s="49">
        <f>IF(B123="","",IFERROR(INDEX('المشروعات'!$B$5:$B$304,MATCH(B123,'المشروعات'!$A$5:$A$304,0)),""))</f>
        <v/>
      </c>
      <c r="D123" s="47" t="n"/>
      <c r="E123" s="40" t="n"/>
      <c r="F123" s="40" t="n"/>
      <c r="G123" s="40" t="n"/>
      <c r="H123" s="40" t="n"/>
      <c r="I123" s="40" t="n"/>
      <c r="J123" s="40" t="n"/>
      <c r="K123" s="40" t="n"/>
      <c r="L123" s="49">
        <f>IF(B123="","",IF(COUNTIF(E123:J123,"لا")&gt;0,"استلام بتحفظات ("&amp;COUNTIF(E123:J123,"لا")&amp;")","استلام كامل"))</f>
        <v/>
      </c>
    </row>
    <row r="124">
      <c r="A124" s="39">
        <f>IF(B124="","","SH-"&amp;TEXT(ROW()-4,"0000"))</f>
        <v/>
      </c>
      <c r="B124" s="50" t="n"/>
      <c r="C124" s="49">
        <f>IF(B124="","",IFERROR(INDEX('المشروعات'!$B$5:$B$304,MATCH(B124,'المشروعات'!$A$5:$A$304,0)),""))</f>
        <v/>
      </c>
      <c r="D124" s="47" t="n"/>
      <c r="E124" s="40" t="n"/>
      <c r="F124" s="40" t="n"/>
      <c r="G124" s="40" t="n"/>
      <c r="H124" s="40" t="n"/>
      <c r="I124" s="40" t="n"/>
      <c r="J124" s="40" t="n"/>
      <c r="K124" s="40" t="n"/>
      <c r="L124" s="49">
        <f>IF(B124="","",IF(COUNTIF(E124:J124,"لا")&gt;0,"استلام بتحفظات ("&amp;COUNTIF(E124:J124,"لا")&amp;")","استلام كامل"))</f>
        <v/>
      </c>
    </row>
    <row r="125">
      <c r="A125" s="39">
        <f>IF(B125="","","SH-"&amp;TEXT(ROW()-4,"0000"))</f>
        <v/>
      </c>
      <c r="B125" s="50" t="n"/>
      <c r="C125" s="49">
        <f>IF(B125="","",IFERROR(INDEX('المشروعات'!$B$5:$B$304,MATCH(B125,'المشروعات'!$A$5:$A$304,0)),""))</f>
        <v/>
      </c>
      <c r="D125" s="47" t="n"/>
      <c r="E125" s="40" t="n"/>
      <c r="F125" s="40" t="n"/>
      <c r="G125" s="40" t="n"/>
      <c r="H125" s="40" t="n"/>
      <c r="I125" s="40" t="n"/>
      <c r="J125" s="40" t="n"/>
      <c r="K125" s="40" t="n"/>
      <c r="L125" s="49">
        <f>IF(B125="","",IF(COUNTIF(E125:J125,"لا")&gt;0,"استلام بتحفظات ("&amp;COUNTIF(E125:J125,"لا")&amp;")","استلام كامل"))</f>
        <v/>
      </c>
    </row>
    <row r="126">
      <c r="A126" s="39">
        <f>IF(B126="","","SH-"&amp;TEXT(ROW()-4,"0000"))</f>
        <v/>
      </c>
      <c r="B126" s="50" t="n"/>
      <c r="C126" s="49">
        <f>IF(B126="","",IFERROR(INDEX('المشروعات'!$B$5:$B$304,MATCH(B126,'المشروعات'!$A$5:$A$304,0)),""))</f>
        <v/>
      </c>
      <c r="D126" s="47" t="n"/>
      <c r="E126" s="40" t="n"/>
      <c r="F126" s="40" t="n"/>
      <c r="G126" s="40" t="n"/>
      <c r="H126" s="40" t="n"/>
      <c r="I126" s="40" t="n"/>
      <c r="J126" s="40" t="n"/>
      <c r="K126" s="40" t="n"/>
      <c r="L126" s="49">
        <f>IF(B126="","",IF(COUNTIF(E126:J126,"لا")&gt;0,"استلام بتحفظات ("&amp;COUNTIF(E126:J126,"لا")&amp;")","استلام كامل"))</f>
        <v/>
      </c>
    </row>
    <row r="127">
      <c r="A127" s="39">
        <f>IF(B127="","","SH-"&amp;TEXT(ROW()-4,"0000"))</f>
        <v/>
      </c>
      <c r="B127" s="50" t="n"/>
      <c r="C127" s="49">
        <f>IF(B127="","",IFERROR(INDEX('المشروعات'!$B$5:$B$304,MATCH(B127,'المشروعات'!$A$5:$A$304,0)),""))</f>
        <v/>
      </c>
      <c r="D127" s="47" t="n"/>
      <c r="E127" s="40" t="n"/>
      <c r="F127" s="40" t="n"/>
      <c r="G127" s="40" t="n"/>
      <c r="H127" s="40" t="n"/>
      <c r="I127" s="40" t="n"/>
      <c r="J127" s="40" t="n"/>
      <c r="K127" s="40" t="n"/>
      <c r="L127" s="49">
        <f>IF(B127="","",IF(COUNTIF(E127:J127,"لا")&gt;0,"استلام بتحفظات ("&amp;COUNTIF(E127:J127,"لا")&amp;")","استلام كامل"))</f>
        <v/>
      </c>
    </row>
    <row r="128">
      <c r="A128" s="39">
        <f>IF(B128="","","SH-"&amp;TEXT(ROW()-4,"0000"))</f>
        <v/>
      </c>
      <c r="B128" s="50" t="n"/>
      <c r="C128" s="49">
        <f>IF(B128="","",IFERROR(INDEX('المشروعات'!$B$5:$B$304,MATCH(B128,'المشروعات'!$A$5:$A$304,0)),""))</f>
        <v/>
      </c>
      <c r="D128" s="47" t="n"/>
      <c r="E128" s="40" t="n"/>
      <c r="F128" s="40" t="n"/>
      <c r="G128" s="40" t="n"/>
      <c r="H128" s="40" t="n"/>
      <c r="I128" s="40" t="n"/>
      <c r="J128" s="40" t="n"/>
      <c r="K128" s="40" t="n"/>
      <c r="L128" s="49">
        <f>IF(B128="","",IF(COUNTIF(E128:J128,"لا")&gt;0,"استلام بتحفظات ("&amp;COUNTIF(E128:J128,"لا")&amp;")","استلام كامل"))</f>
        <v/>
      </c>
    </row>
    <row r="129">
      <c r="A129" s="39">
        <f>IF(B129="","","SH-"&amp;TEXT(ROW()-4,"0000"))</f>
        <v/>
      </c>
      <c r="B129" s="50" t="n"/>
      <c r="C129" s="49">
        <f>IF(B129="","",IFERROR(INDEX('المشروعات'!$B$5:$B$304,MATCH(B129,'المشروعات'!$A$5:$A$304,0)),""))</f>
        <v/>
      </c>
      <c r="D129" s="47" t="n"/>
      <c r="E129" s="40" t="n"/>
      <c r="F129" s="40" t="n"/>
      <c r="G129" s="40" t="n"/>
      <c r="H129" s="40" t="n"/>
      <c r="I129" s="40" t="n"/>
      <c r="J129" s="40" t="n"/>
      <c r="K129" s="40" t="n"/>
      <c r="L129" s="49">
        <f>IF(B129="","",IF(COUNTIF(E129:J129,"لا")&gt;0,"استلام بتحفظات ("&amp;COUNTIF(E129:J129,"لا")&amp;")","استلام كامل"))</f>
        <v/>
      </c>
    </row>
    <row r="130">
      <c r="A130" s="39">
        <f>IF(B130="","","SH-"&amp;TEXT(ROW()-4,"0000"))</f>
        <v/>
      </c>
      <c r="B130" s="50" t="n"/>
      <c r="C130" s="49">
        <f>IF(B130="","",IFERROR(INDEX('المشروعات'!$B$5:$B$304,MATCH(B130,'المشروعات'!$A$5:$A$304,0)),""))</f>
        <v/>
      </c>
      <c r="D130" s="47" t="n"/>
      <c r="E130" s="40" t="n"/>
      <c r="F130" s="40" t="n"/>
      <c r="G130" s="40" t="n"/>
      <c r="H130" s="40" t="n"/>
      <c r="I130" s="40" t="n"/>
      <c r="J130" s="40" t="n"/>
      <c r="K130" s="40" t="n"/>
      <c r="L130" s="49">
        <f>IF(B130="","",IF(COUNTIF(E130:J130,"لا")&gt;0,"استلام بتحفظات ("&amp;COUNTIF(E130:J130,"لا")&amp;")","استلام كامل"))</f>
        <v/>
      </c>
    </row>
    <row r="131">
      <c r="A131" s="39">
        <f>IF(B131="","","SH-"&amp;TEXT(ROW()-4,"0000"))</f>
        <v/>
      </c>
      <c r="B131" s="50" t="n"/>
      <c r="C131" s="49">
        <f>IF(B131="","",IFERROR(INDEX('المشروعات'!$B$5:$B$304,MATCH(B131,'المشروعات'!$A$5:$A$304,0)),""))</f>
        <v/>
      </c>
      <c r="D131" s="47" t="n"/>
      <c r="E131" s="40" t="n"/>
      <c r="F131" s="40" t="n"/>
      <c r="G131" s="40" t="n"/>
      <c r="H131" s="40" t="n"/>
      <c r="I131" s="40" t="n"/>
      <c r="J131" s="40" t="n"/>
      <c r="K131" s="40" t="n"/>
      <c r="L131" s="49">
        <f>IF(B131="","",IF(COUNTIF(E131:J131,"لا")&gt;0,"استلام بتحفظات ("&amp;COUNTIF(E131:J131,"لا")&amp;")","استلام كامل"))</f>
        <v/>
      </c>
    </row>
    <row r="132">
      <c r="A132" s="39">
        <f>IF(B132="","","SH-"&amp;TEXT(ROW()-4,"0000"))</f>
        <v/>
      </c>
      <c r="B132" s="50" t="n"/>
      <c r="C132" s="49">
        <f>IF(B132="","",IFERROR(INDEX('المشروعات'!$B$5:$B$304,MATCH(B132,'المشروعات'!$A$5:$A$304,0)),""))</f>
        <v/>
      </c>
      <c r="D132" s="47" t="n"/>
      <c r="E132" s="40" t="n"/>
      <c r="F132" s="40" t="n"/>
      <c r="G132" s="40" t="n"/>
      <c r="H132" s="40" t="n"/>
      <c r="I132" s="40" t="n"/>
      <c r="J132" s="40" t="n"/>
      <c r="K132" s="40" t="n"/>
      <c r="L132" s="49">
        <f>IF(B132="","",IF(COUNTIF(E132:J132,"لا")&gt;0,"استلام بتحفظات ("&amp;COUNTIF(E132:J132,"لا")&amp;")","استلام كامل"))</f>
        <v/>
      </c>
    </row>
    <row r="133">
      <c r="A133" s="39">
        <f>IF(B133="","","SH-"&amp;TEXT(ROW()-4,"0000"))</f>
        <v/>
      </c>
      <c r="B133" s="50" t="n"/>
      <c r="C133" s="49">
        <f>IF(B133="","",IFERROR(INDEX('المشروعات'!$B$5:$B$304,MATCH(B133,'المشروعات'!$A$5:$A$304,0)),""))</f>
        <v/>
      </c>
      <c r="D133" s="47" t="n"/>
      <c r="E133" s="40" t="n"/>
      <c r="F133" s="40" t="n"/>
      <c r="G133" s="40" t="n"/>
      <c r="H133" s="40" t="n"/>
      <c r="I133" s="40" t="n"/>
      <c r="J133" s="40" t="n"/>
      <c r="K133" s="40" t="n"/>
      <c r="L133" s="49">
        <f>IF(B133="","",IF(COUNTIF(E133:J133,"لا")&gt;0,"استلام بتحفظات ("&amp;COUNTIF(E133:J133,"لا")&amp;")","استلام كامل"))</f>
        <v/>
      </c>
    </row>
    <row r="134">
      <c r="A134" s="39">
        <f>IF(B134="","","SH-"&amp;TEXT(ROW()-4,"0000"))</f>
        <v/>
      </c>
      <c r="B134" s="50" t="n"/>
      <c r="C134" s="49">
        <f>IF(B134="","",IFERROR(INDEX('المشروعات'!$B$5:$B$304,MATCH(B134,'المشروعات'!$A$5:$A$304,0)),""))</f>
        <v/>
      </c>
      <c r="D134" s="47" t="n"/>
      <c r="E134" s="40" t="n"/>
      <c r="F134" s="40" t="n"/>
      <c r="G134" s="40" t="n"/>
      <c r="H134" s="40" t="n"/>
      <c r="I134" s="40" t="n"/>
      <c r="J134" s="40" t="n"/>
      <c r="K134" s="40" t="n"/>
      <c r="L134" s="49">
        <f>IF(B134="","",IF(COUNTIF(E134:J134,"لا")&gt;0,"استلام بتحفظات ("&amp;COUNTIF(E134:J134,"لا")&amp;")","استلام كامل"))</f>
        <v/>
      </c>
    </row>
    <row r="135">
      <c r="A135" s="39">
        <f>IF(B135="","","SH-"&amp;TEXT(ROW()-4,"0000"))</f>
        <v/>
      </c>
      <c r="B135" s="50" t="n"/>
      <c r="C135" s="49">
        <f>IF(B135="","",IFERROR(INDEX('المشروعات'!$B$5:$B$304,MATCH(B135,'المشروعات'!$A$5:$A$304,0)),""))</f>
        <v/>
      </c>
      <c r="D135" s="47" t="n"/>
      <c r="E135" s="40" t="n"/>
      <c r="F135" s="40" t="n"/>
      <c r="G135" s="40" t="n"/>
      <c r="H135" s="40" t="n"/>
      <c r="I135" s="40" t="n"/>
      <c r="J135" s="40" t="n"/>
      <c r="K135" s="40" t="n"/>
      <c r="L135" s="49">
        <f>IF(B135="","",IF(COUNTIF(E135:J135,"لا")&gt;0,"استلام بتحفظات ("&amp;COUNTIF(E135:J135,"لا")&amp;")","استلام كامل"))</f>
        <v/>
      </c>
    </row>
    <row r="136">
      <c r="A136" s="39">
        <f>IF(B136="","","SH-"&amp;TEXT(ROW()-4,"0000"))</f>
        <v/>
      </c>
      <c r="B136" s="50" t="n"/>
      <c r="C136" s="49">
        <f>IF(B136="","",IFERROR(INDEX('المشروعات'!$B$5:$B$304,MATCH(B136,'المشروعات'!$A$5:$A$304,0)),""))</f>
        <v/>
      </c>
      <c r="D136" s="47" t="n"/>
      <c r="E136" s="40" t="n"/>
      <c r="F136" s="40" t="n"/>
      <c r="G136" s="40" t="n"/>
      <c r="H136" s="40" t="n"/>
      <c r="I136" s="40" t="n"/>
      <c r="J136" s="40" t="n"/>
      <c r="K136" s="40" t="n"/>
      <c r="L136" s="49">
        <f>IF(B136="","",IF(COUNTIF(E136:J136,"لا")&gt;0,"استلام بتحفظات ("&amp;COUNTIF(E136:J136,"لا")&amp;")","استلام كامل"))</f>
        <v/>
      </c>
    </row>
    <row r="137">
      <c r="A137" s="39">
        <f>IF(B137="","","SH-"&amp;TEXT(ROW()-4,"0000"))</f>
        <v/>
      </c>
      <c r="B137" s="50" t="n"/>
      <c r="C137" s="49">
        <f>IF(B137="","",IFERROR(INDEX('المشروعات'!$B$5:$B$304,MATCH(B137,'المشروعات'!$A$5:$A$304,0)),""))</f>
        <v/>
      </c>
      <c r="D137" s="47" t="n"/>
      <c r="E137" s="40" t="n"/>
      <c r="F137" s="40" t="n"/>
      <c r="G137" s="40" t="n"/>
      <c r="H137" s="40" t="n"/>
      <c r="I137" s="40" t="n"/>
      <c r="J137" s="40" t="n"/>
      <c r="K137" s="40" t="n"/>
      <c r="L137" s="49">
        <f>IF(B137="","",IF(COUNTIF(E137:J137,"لا")&gt;0,"استلام بتحفظات ("&amp;COUNTIF(E137:J137,"لا")&amp;")","استلام كامل"))</f>
        <v/>
      </c>
    </row>
    <row r="138">
      <c r="A138" s="39">
        <f>IF(B138="","","SH-"&amp;TEXT(ROW()-4,"0000"))</f>
        <v/>
      </c>
      <c r="B138" s="50" t="n"/>
      <c r="C138" s="49">
        <f>IF(B138="","",IFERROR(INDEX('المشروعات'!$B$5:$B$304,MATCH(B138,'المشروعات'!$A$5:$A$304,0)),""))</f>
        <v/>
      </c>
      <c r="D138" s="47" t="n"/>
      <c r="E138" s="40" t="n"/>
      <c r="F138" s="40" t="n"/>
      <c r="G138" s="40" t="n"/>
      <c r="H138" s="40" t="n"/>
      <c r="I138" s="40" t="n"/>
      <c r="J138" s="40" t="n"/>
      <c r="K138" s="40" t="n"/>
      <c r="L138" s="49">
        <f>IF(B138="","",IF(COUNTIF(E138:J138,"لا")&gt;0,"استلام بتحفظات ("&amp;COUNTIF(E138:J138,"لا")&amp;")","استلام كامل"))</f>
        <v/>
      </c>
    </row>
    <row r="139">
      <c r="A139" s="39">
        <f>IF(B139="","","SH-"&amp;TEXT(ROW()-4,"0000"))</f>
        <v/>
      </c>
      <c r="B139" s="50" t="n"/>
      <c r="C139" s="49">
        <f>IF(B139="","",IFERROR(INDEX('المشروعات'!$B$5:$B$304,MATCH(B139,'المشروعات'!$A$5:$A$304,0)),""))</f>
        <v/>
      </c>
      <c r="D139" s="47" t="n"/>
      <c r="E139" s="40" t="n"/>
      <c r="F139" s="40" t="n"/>
      <c r="G139" s="40" t="n"/>
      <c r="H139" s="40" t="n"/>
      <c r="I139" s="40" t="n"/>
      <c r="J139" s="40" t="n"/>
      <c r="K139" s="40" t="n"/>
      <c r="L139" s="49">
        <f>IF(B139="","",IF(COUNTIF(E139:J139,"لا")&gt;0,"استلام بتحفظات ("&amp;COUNTIF(E139:J139,"لا")&amp;")","استلام كامل"))</f>
        <v/>
      </c>
    </row>
    <row r="140">
      <c r="A140" s="39">
        <f>IF(B140="","","SH-"&amp;TEXT(ROW()-4,"0000"))</f>
        <v/>
      </c>
      <c r="B140" s="50" t="n"/>
      <c r="C140" s="49">
        <f>IF(B140="","",IFERROR(INDEX('المشروعات'!$B$5:$B$304,MATCH(B140,'المشروعات'!$A$5:$A$304,0)),""))</f>
        <v/>
      </c>
      <c r="D140" s="47" t="n"/>
      <c r="E140" s="40" t="n"/>
      <c r="F140" s="40" t="n"/>
      <c r="G140" s="40" t="n"/>
      <c r="H140" s="40" t="n"/>
      <c r="I140" s="40" t="n"/>
      <c r="J140" s="40" t="n"/>
      <c r="K140" s="40" t="n"/>
      <c r="L140" s="49">
        <f>IF(B140="","",IF(COUNTIF(E140:J140,"لا")&gt;0,"استلام بتحفظات ("&amp;COUNTIF(E140:J140,"لا")&amp;")","استلام كامل"))</f>
        <v/>
      </c>
    </row>
    <row r="141">
      <c r="A141" s="39">
        <f>IF(B141="","","SH-"&amp;TEXT(ROW()-4,"0000"))</f>
        <v/>
      </c>
      <c r="B141" s="50" t="n"/>
      <c r="C141" s="49">
        <f>IF(B141="","",IFERROR(INDEX('المشروعات'!$B$5:$B$304,MATCH(B141,'المشروعات'!$A$5:$A$304,0)),""))</f>
        <v/>
      </c>
      <c r="D141" s="47" t="n"/>
      <c r="E141" s="40" t="n"/>
      <c r="F141" s="40" t="n"/>
      <c r="G141" s="40" t="n"/>
      <c r="H141" s="40" t="n"/>
      <c r="I141" s="40" t="n"/>
      <c r="J141" s="40" t="n"/>
      <c r="K141" s="40" t="n"/>
      <c r="L141" s="49">
        <f>IF(B141="","",IF(COUNTIF(E141:J141,"لا")&gt;0,"استلام بتحفظات ("&amp;COUNTIF(E141:J141,"لا")&amp;")","استلام كامل"))</f>
        <v/>
      </c>
    </row>
    <row r="142">
      <c r="A142" s="39">
        <f>IF(B142="","","SH-"&amp;TEXT(ROW()-4,"0000"))</f>
        <v/>
      </c>
      <c r="B142" s="50" t="n"/>
      <c r="C142" s="49">
        <f>IF(B142="","",IFERROR(INDEX('المشروعات'!$B$5:$B$304,MATCH(B142,'المشروعات'!$A$5:$A$304,0)),""))</f>
        <v/>
      </c>
      <c r="D142" s="47" t="n"/>
      <c r="E142" s="40" t="n"/>
      <c r="F142" s="40" t="n"/>
      <c r="G142" s="40" t="n"/>
      <c r="H142" s="40" t="n"/>
      <c r="I142" s="40" t="n"/>
      <c r="J142" s="40" t="n"/>
      <c r="K142" s="40" t="n"/>
      <c r="L142" s="49">
        <f>IF(B142="","",IF(COUNTIF(E142:J142,"لا")&gt;0,"استلام بتحفظات ("&amp;COUNTIF(E142:J142,"لا")&amp;")","استلام كامل"))</f>
        <v/>
      </c>
    </row>
    <row r="143">
      <c r="A143" s="39">
        <f>IF(B143="","","SH-"&amp;TEXT(ROW()-4,"0000"))</f>
        <v/>
      </c>
      <c r="B143" s="50" t="n"/>
      <c r="C143" s="49">
        <f>IF(B143="","",IFERROR(INDEX('المشروعات'!$B$5:$B$304,MATCH(B143,'المشروعات'!$A$5:$A$304,0)),""))</f>
        <v/>
      </c>
      <c r="D143" s="47" t="n"/>
      <c r="E143" s="40" t="n"/>
      <c r="F143" s="40" t="n"/>
      <c r="G143" s="40" t="n"/>
      <c r="H143" s="40" t="n"/>
      <c r="I143" s="40" t="n"/>
      <c r="J143" s="40" t="n"/>
      <c r="K143" s="40" t="n"/>
      <c r="L143" s="49">
        <f>IF(B143="","",IF(COUNTIF(E143:J143,"لا")&gt;0,"استلام بتحفظات ("&amp;COUNTIF(E143:J143,"لا")&amp;")","استلام كامل"))</f>
        <v/>
      </c>
    </row>
    <row r="144">
      <c r="A144" s="39">
        <f>IF(B144="","","SH-"&amp;TEXT(ROW()-4,"0000"))</f>
        <v/>
      </c>
      <c r="B144" s="50" t="n"/>
      <c r="C144" s="49">
        <f>IF(B144="","",IFERROR(INDEX('المشروعات'!$B$5:$B$304,MATCH(B144,'المشروعات'!$A$5:$A$304,0)),""))</f>
        <v/>
      </c>
      <c r="D144" s="47" t="n"/>
      <c r="E144" s="40" t="n"/>
      <c r="F144" s="40" t="n"/>
      <c r="G144" s="40" t="n"/>
      <c r="H144" s="40" t="n"/>
      <c r="I144" s="40" t="n"/>
      <c r="J144" s="40" t="n"/>
      <c r="K144" s="40" t="n"/>
      <c r="L144" s="49">
        <f>IF(B144="","",IF(COUNTIF(E144:J144,"لا")&gt;0,"استلام بتحفظات ("&amp;COUNTIF(E144:J144,"لا")&amp;")","استلام كامل"))</f>
        <v/>
      </c>
    </row>
    <row r="145">
      <c r="A145" s="39">
        <f>IF(B145="","","SH-"&amp;TEXT(ROW()-4,"0000"))</f>
        <v/>
      </c>
      <c r="B145" s="50" t="n"/>
      <c r="C145" s="49">
        <f>IF(B145="","",IFERROR(INDEX('المشروعات'!$B$5:$B$304,MATCH(B145,'المشروعات'!$A$5:$A$304,0)),""))</f>
        <v/>
      </c>
      <c r="D145" s="47" t="n"/>
      <c r="E145" s="40" t="n"/>
      <c r="F145" s="40" t="n"/>
      <c r="G145" s="40" t="n"/>
      <c r="H145" s="40" t="n"/>
      <c r="I145" s="40" t="n"/>
      <c r="J145" s="40" t="n"/>
      <c r="K145" s="40" t="n"/>
      <c r="L145" s="49">
        <f>IF(B145="","",IF(COUNTIF(E145:J145,"لا")&gt;0,"استلام بتحفظات ("&amp;COUNTIF(E145:J145,"لا")&amp;")","استلام كامل"))</f>
        <v/>
      </c>
    </row>
    <row r="146">
      <c r="A146" s="39">
        <f>IF(B146="","","SH-"&amp;TEXT(ROW()-4,"0000"))</f>
        <v/>
      </c>
      <c r="B146" s="50" t="n"/>
      <c r="C146" s="49">
        <f>IF(B146="","",IFERROR(INDEX('المشروعات'!$B$5:$B$304,MATCH(B146,'المشروعات'!$A$5:$A$304,0)),""))</f>
        <v/>
      </c>
      <c r="D146" s="47" t="n"/>
      <c r="E146" s="40" t="n"/>
      <c r="F146" s="40" t="n"/>
      <c r="G146" s="40" t="n"/>
      <c r="H146" s="40" t="n"/>
      <c r="I146" s="40" t="n"/>
      <c r="J146" s="40" t="n"/>
      <c r="K146" s="40" t="n"/>
      <c r="L146" s="49">
        <f>IF(B146="","",IF(COUNTIF(E146:J146,"لا")&gt;0,"استلام بتحفظات ("&amp;COUNTIF(E146:J146,"لا")&amp;")","استلام كامل"))</f>
        <v/>
      </c>
    </row>
    <row r="147">
      <c r="A147" s="39">
        <f>IF(B147="","","SH-"&amp;TEXT(ROW()-4,"0000"))</f>
        <v/>
      </c>
      <c r="B147" s="50" t="n"/>
      <c r="C147" s="49">
        <f>IF(B147="","",IFERROR(INDEX('المشروعات'!$B$5:$B$304,MATCH(B147,'المشروعات'!$A$5:$A$304,0)),""))</f>
        <v/>
      </c>
      <c r="D147" s="47" t="n"/>
      <c r="E147" s="40" t="n"/>
      <c r="F147" s="40" t="n"/>
      <c r="G147" s="40" t="n"/>
      <c r="H147" s="40" t="n"/>
      <c r="I147" s="40" t="n"/>
      <c r="J147" s="40" t="n"/>
      <c r="K147" s="40" t="n"/>
      <c r="L147" s="49">
        <f>IF(B147="","",IF(COUNTIF(E147:J147,"لا")&gt;0,"استلام بتحفظات ("&amp;COUNTIF(E147:J147,"لا")&amp;")","استلام كامل"))</f>
        <v/>
      </c>
    </row>
    <row r="148">
      <c r="A148" s="39">
        <f>IF(B148="","","SH-"&amp;TEXT(ROW()-4,"0000"))</f>
        <v/>
      </c>
      <c r="B148" s="50" t="n"/>
      <c r="C148" s="49">
        <f>IF(B148="","",IFERROR(INDEX('المشروعات'!$B$5:$B$304,MATCH(B148,'المشروعات'!$A$5:$A$304,0)),""))</f>
        <v/>
      </c>
      <c r="D148" s="47" t="n"/>
      <c r="E148" s="40" t="n"/>
      <c r="F148" s="40" t="n"/>
      <c r="G148" s="40" t="n"/>
      <c r="H148" s="40" t="n"/>
      <c r="I148" s="40" t="n"/>
      <c r="J148" s="40" t="n"/>
      <c r="K148" s="40" t="n"/>
      <c r="L148" s="49">
        <f>IF(B148="","",IF(COUNTIF(E148:J148,"لا")&gt;0,"استلام بتحفظات ("&amp;COUNTIF(E148:J148,"لا")&amp;")","استلام كامل"))</f>
        <v/>
      </c>
    </row>
    <row r="149">
      <c r="A149" s="39">
        <f>IF(B149="","","SH-"&amp;TEXT(ROW()-4,"0000"))</f>
        <v/>
      </c>
      <c r="B149" s="50" t="n"/>
      <c r="C149" s="49">
        <f>IF(B149="","",IFERROR(INDEX('المشروعات'!$B$5:$B$304,MATCH(B149,'المشروعات'!$A$5:$A$304,0)),""))</f>
        <v/>
      </c>
      <c r="D149" s="47" t="n"/>
      <c r="E149" s="40" t="n"/>
      <c r="F149" s="40" t="n"/>
      <c r="G149" s="40" t="n"/>
      <c r="H149" s="40" t="n"/>
      <c r="I149" s="40" t="n"/>
      <c r="J149" s="40" t="n"/>
      <c r="K149" s="40" t="n"/>
      <c r="L149" s="49">
        <f>IF(B149="","",IF(COUNTIF(E149:J149,"لا")&gt;0,"استلام بتحفظات ("&amp;COUNTIF(E149:J149,"لا")&amp;")","استلام كامل"))</f>
        <v/>
      </c>
    </row>
    <row r="150">
      <c r="A150" s="39">
        <f>IF(B150="","","SH-"&amp;TEXT(ROW()-4,"0000"))</f>
        <v/>
      </c>
      <c r="B150" s="50" t="n"/>
      <c r="C150" s="49">
        <f>IF(B150="","",IFERROR(INDEX('المشروعات'!$B$5:$B$304,MATCH(B150,'المشروعات'!$A$5:$A$304,0)),""))</f>
        <v/>
      </c>
      <c r="D150" s="47" t="n"/>
      <c r="E150" s="40" t="n"/>
      <c r="F150" s="40" t="n"/>
      <c r="G150" s="40" t="n"/>
      <c r="H150" s="40" t="n"/>
      <c r="I150" s="40" t="n"/>
      <c r="J150" s="40" t="n"/>
      <c r="K150" s="40" t="n"/>
      <c r="L150" s="49">
        <f>IF(B150="","",IF(COUNTIF(E150:J150,"لا")&gt;0,"استلام بتحفظات ("&amp;COUNTIF(E150:J150,"لا")&amp;")","استلام كامل"))</f>
        <v/>
      </c>
    </row>
    <row r="151">
      <c r="A151" s="39">
        <f>IF(B151="","","SH-"&amp;TEXT(ROW()-4,"0000"))</f>
        <v/>
      </c>
      <c r="B151" s="50" t="n"/>
      <c r="C151" s="49">
        <f>IF(B151="","",IFERROR(INDEX('المشروعات'!$B$5:$B$304,MATCH(B151,'المشروعات'!$A$5:$A$304,0)),""))</f>
        <v/>
      </c>
      <c r="D151" s="47" t="n"/>
      <c r="E151" s="40" t="n"/>
      <c r="F151" s="40" t="n"/>
      <c r="G151" s="40" t="n"/>
      <c r="H151" s="40" t="n"/>
      <c r="I151" s="40" t="n"/>
      <c r="J151" s="40" t="n"/>
      <c r="K151" s="40" t="n"/>
      <c r="L151" s="49">
        <f>IF(B151="","",IF(COUNTIF(E151:J151,"لا")&gt;0,"استلام بتحفظات ("&amp;COUNTIF(E151:J151,"لا")&amp;")","استلام كامل"))</f>
        <v/>
      </c>
    </row>
    <row r="152">
      <c r="A152" s="39">
        <f>IF(B152="","","SH-"&amp;TEXT(ROW()-4,"0000"))</f>
        <v/>
      </c>
      <c r="B152" s="50" t="n"/>
      <c r="C152" s="49">
        <f>IF(B152="","",IFERROR(INDEX('المشروعات'!$B$5:$B$304,MATCH(B152,'المشروعات'!$A$5:$A$304,0)),""))</f>
        <v/>
      </c>
      <c r="D152" s="47" t="n"/>
      <c r="E152" s="40" t="n"/>
      <c r="F152" s="40" t="n"/>
      <c r="G152" s="40" t="n"/>
      <c r="H152" s="40" t="n"/>
      <c r="I152" s="40" t="n"/>
      <c r="J152" s="40" t="n"/>
      <c r="K152" s="40" t="n"/>
      <c r="L152" s="49">
        <f>IF(B152="","",IF(COUNTIF(E152:J152,"لا")&gt;0,"استلام بتحفظات ("&amp;COUNTIF(E152:J152,"لا")&amp;")","استلام كامل"))</f>
        <v/>
      </c>
    </row>
    <row r="153">
      <c r="A153" s="39">
        <f>IF(B153="","","SH-"&amp;TEXT(ROW()-4,"0000"))</f>
        <v/>
      </c>
      <c r="B153" s="50" t="n"/>
      <c r="C153" s="49">
        <f>IF(B153="","",IFERROR(INDEX('المشروعات'!$B$5:$B$304,MATCH(B153,'المشروعات'!$A$5:$A$304,0)),""))</f>
        <v/>
      </c>
      <c r="D153" s="47" t="n"/>
      <c r="E153" s="40" t="n"/>
      <c r="F153" s="40" t="n"/>
      <c r="G153" s="40" t="n"/>
      <c r="H153" s="40" t="n"/>
      <c r="I153" s="40" t="n"/>
      <c r="J153" s="40" t="n"/>
      <c r="K153" s="40" t="n"/>
      <c r="L153" s="49">
        <f>IF(B153="","",IF(COUNTIF(E153:J153,"لا")&gt;0,"استلام بتحفظات ("&amp;COUNTIF(E153:J153,"لا")&amp;")","استلام كامل"))</f>
        <v/>
      </c>
    </row>
    <row r="154">
      <c r="A154" s="39">
        <f>IF(B154="","","SH-"&amp;TEXT(ROW()-4,"0000"))</f>
        <v/>
      </c>
      <c r="B154" s="50" t="n"/>
      <c r="C154" s="49">
        <f>IF(B154="","",IFERROR(INDEX('المشروعات'!$B$5:$B$304,MATCH(B154,'المشروعات'!$A$5:$A$304,0)),""))</f>
        <v/>
      </c>
      <c r="D154" s="47" t="n"/>
      <c r="E154" s="40" t="n"/>
      <c r="F154" s="40" t="n"/>
      <c r="G154" s="40" t="n"/>
      <c r="H154" s="40" t="n"/>
      <c r="I154" s="40" t="n"/>
      <c r="J154" s="40" t="n"/>
      <c r="K154" s="40" t="n"/>
      <c r="L154" s="49">
        <f>IF(B154="","",IF(COUNTIF(E154:J154,"لا")&gt;0,"استلام بتحفظات ("&amp;COUNTIF(E154:J154,"لا")&amp;")","استلام كامل"))</f>
        <v/>
      </c>
    </row>
    <row r="155">
      <c r="A155" s="39">
        <f>IF(B155="","","SH-"&amp;TEXT(ROW()-4,"0000"))</f>
        <v/>
      </c>
      <c r="B155" s="50" t="n"/>
      <c r="C155" s="49">
        <f>IF(B155="","",IFERROR(INDEX('المشروعات'!$B$5:$B$304,MATCH(B155,'المشروعات'!$A$5:$A$304,0)),""))</f>
        <v/>
      </c>
      <c r="D155" s="47" t="n"/>
      <c r="E155" s="40" t="n"/>
      <c r="F155" s="40" t="n"/>
      <c r="G155" s="40" t="n"/>
      <c r="H155" s="40" t="n"/>
      <c r="I155" s="40" t="n"/>
      <c r="J155" s="40" t="n"/>
      <c r="K155" s="40" t="n"/>
      <c r="L155" s="49">
        <f>IF(B155="","",IF(COUNTIF(E155:J155,"لا")&gt;0,"استلام بتحفظات ("&amp;COUNTIF(E155:J155,"لا")&amp;")","استلام كامل"))</f>
        <v/>
      </c>
    </row>
    <row r="156">
      <c r="A156" s="39">
        <f>IF(B156="","","SH-"&amp;TEXT(ROW()-4,"0000"))</f>
        <v/>
      </c>
      <c r="B156" s="50" t="n"/>
      <c r="C156" s="49">
        <f>IF(B156="","",IFERROR(INDEX('المشروعات'!$B$5:$B$304,MATCH(B156,'المشروعات'!$A$5:$A$304,0)),""))</f>
        <v/>
      </c>
      <c r="D156" s="47" t="n"/>
      <c r="E156" s="40" t="n"/>
      <c r="F156" s="40" t="n"/>
      <c r="G156" s="40" t="n"/>
      <c r="H156" s="40" t="n"/>
      <c r="I156" s="40" t="n"/>
      <c r="J156" s="40" t="n"/>
      <c r="K156" s="40" t="n"/>
      <c r="L156" s="49">
        <f>IF(B156="","",IF(COUNTIF(E156:J156,"لا")&gt;0,"استلام بتحفظات ("&amp;COUNTIF(E156:J156,"لا")&amp;")","استلام كامل"))</f>
        <v/>
      </c>
    </row>
    <row r="157">
      <c r="A157" s="39">
        <f>IF(B157="","","SH-"&amp;TEXT(ROW()-4,"0000"))</f>
        <v/>
      </c>
      <c r="B157" s="50" t="n"/>
      <c r="C157" s="49">
        <f>IF(B157="","",IFERROR(INDEX('المشروعات'!$B$5:$B$304,MATCH(B157,'المشروعات'!$A$5:$A$304,0)),""))</f>
        <v/>
      </c>
      <c r="D157" s="47" t="n"/>
      <c r="E157" s="40" t="n"/>
      <c r="F157" s="40" t="n"/>
      <c r="G157" s="40" t="n"/>
      <c r="H157" s="40" t="n"/>
      <c r="I157" s="40" t="n"/>
      <c r="J157" s="40" t="n"/>
      <c r="K157" s="40" t="n"/>
      <c r="L157" s="49">
        <f>IF(B157="","",IF(COUNTIF(E157:J157,"لا")&gt;0,"استلام بتحفظات ("&amp;COUNTIF(E157:J157,"لا")&amp;")","استلام كامل"))</f>
        <v/>
      </c>
    </row>
    <row r="158">
      <c r="A158" s="39">
        <f>IF(B158="","","SH-"&amp;TEXT(ROW()-4,"0000"))</f>
        <v/>
      </c>
      <c r="B158" s="50" t="n"/>
      <c r="C158" s="49">
        <f>IF(B158="","",IFERROR(INDEX('المشروعات'!$B$5:$B$304,MATCH(B158,'المشروعات'!$A$5:$A$304,0)),""))</f>
        <v/>
      </c>
      <c r="D158" s="47" t="n"/>
      <c r="E158" s="40" t="n"/>
      <c r="F158" s="40" t="n"/>
      <c r="G158" s="40" t="n"/>
      <c r="H158" s="40" t="n"/>
      <c r="I158" s="40" t="n"/>
      <c r="J158" s="40" t="n"/>
      <c r="K158" s="40" t="n"/>
      <c r="L158" s="49">
        <f>IF(B158="","",IF(COUNTIF(E158:J158,"لا")&gt;0,"استلام بتحفظات ("&amp;COUNTIF(E158:J158,"لا")&amp;")","استلام كامل"))</f>
        <v/>
      </c>
    </row>
    <row r="159">
      <c r="A159" s="39">
        <f>IF(B159="","","SH-"&amp;TEXT(ROW()-4,"0000"))</f>
        <v/>
      </c>
      <c r="B159" s="50" t="n"/>
      <c r="C159" s="49">
        <f>IF(B159="","",IFERROR(INDEX('المشروعات'!$B$5:$B$304,MATCH(B159,'المشروعات'!$A$5:$A$304,0)),""))</f>
        <v/>
      </c>
      <c r="D159" s="47" t="n"/>
      <c r="E159" s="40" t="n"/>
      <c r="F159" s="40" t="n"/>
      <c r="G159" s="40" t="n"/>
      <c r="H159" s="40" t="n"/>
      <c r="I159" s="40" t="n"/>
      <c r="J159" s="40" t="n"/>
      <c r="K159" s="40" t="n"/>
      <c r="L159" s="49">
        <f>IF(B159="","",IF(COUNTIF(E159:J159,"لا")&gt;0,"استلام بتحفظات ("&amp;COUNTIF(E159:J159,"لا")&amp;")","استلام كامل"))</f>
        <v/>
      </c>
    </row>
    <row r="160">
      <c r="A160" s="39">
        <f>IF(B160="","","SH-"&amp;TEXT(ROW()-4,"0000"))</f>
        <v/>
      </c>
      <c r="B160" s="50" t="n"/>
      <c r="C160" s="49">
        <f>IF(B160="","",IFERROR(INDEX('المشروعات'!$B$5:$B$304,MATCH(B160,'المشروعات'!$A$5:$A$304,0)),""))</f>
        <v/>
      </c>
      <c r="D160" s="47" t="n"/>
      <c r="E160" s="40" t="n"/>
      <c r="F160" s="40" t="n"/>
      <c r="G160" s="40" t="n"/>
      <c r="H160" s="40" t="n"/>
      <c r="I160" s="40" t="n"/>
      <c r="J160" s="40" t="n"/>
      <c r="K160" s="40" t="n"/>
      <c r="L160" s="49">
        <f>IF(B160="","",IF(COUNTIF(E160:J160,"لا")&gt;0,"استلام بتحفظات ("&amp;COUNTIF(E160:J160,"لا")&amp;")","استلام كامل"))</f>
        <v/>
      </c>
    </row>
    <row r="161">
      <c r="A161" s="39">
        <f>IF(B161="","","SH-"&amp;TEXT(ROW()-4,"0000"))</f>
        <v/>
      </c>
      <c r="B161" s="50" t="n"/>
      <c r="C161" s="49">
        <f>IF(B161="","",IFERROR(INDEX('المشروعات'!$B$5:$B$304,MATCH(B161,'المشروعات'!$A$5:$A$304,0)),""))</f>
        <v/>
      </c>
      <c r="D161" s="47" t="n"/>
      <c r="E161" s="40" t="n"/>
      <c r="F161" s="40" t="n"/>
      <c r="G161" s="40" t="n"/>
      <c r="H161" s="40" t="n"/>
      <c r="I161" s="40" t="n"/>
      <c r="J161" s="40" t="n"/>
      <c r="K161" s="40" t="n"/>
      <c r="L161" s="49">
        <f>IF(B161="","",IF(COUNTIF(E161:J161,"لا")&gt;0,"استلام بتحفظات ("&amp;COUNTIF(E161:J161,"لا")&amp;")","استلام كامل"))</f>
        <v/>
      </c>
    </row>
    <row r="162">
      <c r="A162" s="39">
        <f>IF(B162="","","SH-"&amp;TEXT(ROW()-4,"0000"))</f>
        <v/>
      </c>
      <c r="B162" s="50" t="n"/>
      <c r="C162" s="49">
        <f>IF(B162="","",IFERROR(INDEX('المشروعات'!$B$5:$B$304,MATCH(B162,'المشروعات'!$A$5:$A$304,0)),""))</f>
        <v/>
      </c>
      <c r="D162" s="47" t="n"/>
      <c r="E162" s="40" t="n"/>
      <c r="F162" s="40" t="n"/>
      <c r="G162" s="40" t="n"/>
      <c r="H162" s="40" t="n"/>
      <c r="I162" s="40" t="n"/>
      <c r="J162" s="40" t="n"/>
      <c r="K162" s="40" t="n"/>
      <c r="L162" s="49">
        <f>IF(B162="","",IF(COUNTIF(E162:J162,"لا")&gt;0,"استلام بتحفظات ("&amp;COUNTIF(E162:J162,"لا")&amp;")","استلام كامل"))</f>
        <v/>
      </c>
    </row>
    <row r="163">
      <c r="A163" s="39">
        <f>IF(B163="","","SH-"&amp;TEXT(ROW()-4,"0000"))</f>
        <v/>
      </c>
      <c r="B163" s="50" t="n"/>
      <c r="C163" s="49">
        <f>IF(B163="","",IFERROR(INDEX('المشروعات'!$B$5:$B$304,MATCH(B163,'المشروعات'!$A$5:$A$304,0)),""))</f>
        <v/>
      </c>
      <c r="D163" s="47" t="n"/>
      <c r="E163" s="40" t="n"/>
      <c r="F163" s="40" t="n"/>
      <c r="G163" s="40" t="n"/>
      <c r="H163" s="40" t="n"/>
      <c r="I163" s="40" t="n"/>
      <c r="J163" s="40" t="n"/>
      <c r="K163" s="40" t="n"/>
      <c r="L163" s="49">
        <f>IF(B163="","",IF(COUNTIF(E163:J163,"لا")&gt;0,"استلام بتحفظات ("&amp;COUNTIF(E163:J163,"لا")&amp;")","استلام كامل"))</f>
        <v/>
      </c>
    </row>
    <row r="164">
      <c r="A164" s="39">
        <f>IF(B164="","","SH-"&amp;TEXT(ROW()-4,"0000"))</f>
        <v/>
      </c>
      <c r="B164" s="50" t="n"/>
      <c r="C164" s="49">
        <f>IF(B164="","",IFERROR(INDEX('المشروعات'!$B$5:$B$304,MATCH(B164,'المشروعات'!$A$5:$A$304,0)),""))</f>
        <v/>
      </c>
      <c r="D164" s="47" t="n"/>
      <c r="E164" s="40" t="n"/>
      <c r="F164" s="40" t="n"/>
      <c r="G164" s="40" t="n"/>
      <c r="H164" s="40" t="n"/>
      <c r="I164" s="40" t="n"/>
      <c r="J164" s="40" t="n"/>
      <c r="K164" s="40" t="n"/>
      <c r="L164" s="49">
        <f>IF(B164="","",IF(COUNTIF(E164:J164,"لا")&gt;0,"استلام بتحفظات ("&amp;COUNTIF(E164:J164,"لا")&amp;")","استلام كامل"))</f>
        <v/>
      </c>
    </row>
    <row r="165">
      <c r="A165" s="39">
        <f>IF(B165="","","SH-"&amp;TEXT(ROW()-4,"0000"))</f>
        <v/>
      </c>
      <c r="B165" s="50" t="n"/>
      <c r="C165" s="49">
        <f>IF(B165="","",IFERROR(INDEX('المشروعات'!$B$5:$B$304,MATCH(B165,'المشروعات'!$A$5:$A$304,0)),""))</f>
        <v/>
      </c>
      <c r="D165" s="47" t="n"/>
      <c r="E165" s="40" t="n"/>
      <c r="F165" s="40" t="n"/>
      <c r="G165" s="40" t="n"/>
      <c r="H165" s="40" t="n"/>
      <c r="I165" s="40" t="n"/>
      <c r="J165" s="40" t="n"/>
      <c r="K165" s="40" t="n"/>
      <c r="L165" s="49">
        <f>IF(B165="","",IF(COUNTIF(E165:J165,"لا")&gt;0,"استلام بتحفظات ("&amp;COUNTIF(E165:J165,"لا")&amp;")","استلام كامل"))</f>
        <v/>
      </c>
    </row>
    <row r="166">
      <c r="A166" s="39">
        <f>IF(B166="","","SH-"&amp;TEXT(ROW()-4,"0000"))</f>
        <v/>
      </c>
      <c r="B166" s="50" t="n"/>
      <c r="C166" s="49">
        <f>IF(B166="","",IFERROR(INDEX('المشروعات'!$B$5:$B$304,MATCH(B166,'المشروعات'!$A$5:$A$304,0)),""))</f>
        <v/>
      </c>
      <c r="D166" s="47" t="n"/>
      <c r="E166" s="40" t="n"/>
      <c r="F166" s="40" t="n"/>
      <c r="G166" s="40" t="n"/>
      <c r="H166" s="40" t="n"/>
      <c r="I166" s="40" t="n"/>
      <c r="J166" s="40" t="n"/>
      <c r="K166" s="40" t="n"/>
      <c r="L166" s="49">
        <f>IF(B166="","",IF(COUNTIF(E166:J166,"لا")&gt;0,"استلام بتحفظات ("&amp;COUNTIF(E166:J166,"لا")&amp;")","استلام كامل"))</f>
        <v/>
      </c>
    </row>
    <row r="167">
      <c r="A167" s="39">
        <f>IF(B167="","","SH-"&amp;TEXT(ROW()-4,"0000"))</f>
        <v/>
      </c>
      <c r="B167" s="50" t="n"/>
      <c r="C167" s="49">
        <f>IF(B167="","",IFERROR(INDEX('المشروعات'!$B$5:$B$304,MATCH(B167,'المشروعات'!$A$5:$A$304,0)),""))</f>
        <v/>
      </c>
      <c r="D167" s="47" t="n"/>
      <c r="E167" s="40" t="n"/>
      <c r="F167" s="40" t="n"/>
      <c r="G167" s="40" t="n"/>
      <c r="H167" s="40" t="n"/>
      <c r="I167" s="40" t="n"/>
      <c r="J167" s="40" t="n"/>
      <c r="K167" s="40" t="n"/>
      <c r="L167" s="49">
        <f>IF(B167="","",IF(COUNTIF(E167:J167,"لا")&gt;0,"استلام بتحفظات ("&amp;COUNTIF(E167:J167,"لا")&amp;")","استلام كامل"))</f>
        <v/>
      </c>
    </row>
    <row r="168">
      <c r="A168" s="39">
        <f>IF(B168="","","SH-"&amp;TEXT(ROW()-4,"0000"))</f>
        <v/>
      </c>
      <c r="B168" s="50" t="n"/>
      <c r="C168" s="49">
        <f>IF(B168="","",IFERROR(INDEX('المشروعات'!$B$5:$B$304,MATCH(B168,'المشروعات'!$A$5:$A$304,0)),""))</f>
        <v/>
      </c>
      <c r="D168" s="47" t="n"/>
      <c r="E168" s="40" t="n"/>
      <c r="F168" s="40" t="n"/>
      <c r="G168" s="40" t="n"/>
      <c r="H168" s="40" t="n"/>
      <c r="I168" s="40" t="n"/>
      <c r="J168" s="40" t="n"/>
      <c r="K168" s="40" t="n"/>
      <c r="L168" s="49">
        <f>IF(B168="","",IF(COUNTIF(E168:J168,"لا")&gt;0,"استلام بتحفظات ("&amp;COUNTIF(E168:J168,"لا")&amp;")","استلام كامل"))</f>
        <v/>
      </c>
    </row>
    <row r="169">
      <c r="A169" s="39">
        <f>IF(B169="","","SH-"&amp;TEXT(ROW()-4,"0000"))</f>
        <v/>
      </c>
      <c r="B169" s="50" t="n"/>
      <c r="C169" s="49">
        <f>IF(B169="","",IFERROR(INDEX('المشروعات'!$B$5:$B$304,MATCH(B169,'المشروعات'!$A$5:$A$304,0)),""))</f>
        <v/>
      </c>
      <c r="D169" s="47" t="n"/>
      <c r="E169" s="40" t="n"/>
      <c r="F169" s="40" t="n"/>
      <c r="G169" s="40" t="n"/>
      <c r="H169" s="40" t="n"/>
      <c r="I169" s="40" t="n"/>
      <c r="J169" s="40" t="n"/>
      <c r="K169" s="40" t="n"/>
      <c r="L169" s="49">
        <f>IF(B169="","",IF(COUNTIF(E169:J169,"لا")&gt;0,"استلام بتحفظات ("&amp;COUNTIF(E169:J169,"لا")&amp;")","استلام كامل"))</f>
        <v/>
      </c>
    </row>
    <row r="170">
      <c r="A170" s="39">
        <f>IF(B170="","","SH-"&amp;TEXT(ROW()-4,"0000"))</f>
        <v/>
      </c>
      <c r="B170" s="50" t="n"/>
      <c r="C170" s="49">
        <f>IF(B170="","",IFERROR(INDEX('المشروعات'!$B$5:$B$304,MATCH(B170,'المشروعات'!$A$5:$A$304,0)),""))</f>
        <v/>
      </c>
      <c r="D170" s="47" t="n"/>
      <c r="E170" s="40" t="n"/>
      <c r="F170" s="40" t="n"/>
      <c r="G170" s="40" t="n"/>
      <c r="H170" s="40" t="n"/>
      <c r="I170" s="40" t="n"/>
      <c r="J170" s="40" t="n"/>
      <c r="K170" s="40" t="n"/>
      <c r="L170" s="49">
        <f>IF(B170="","",IF(COUNTIF(E170:J170,"لا")&gt;0,"استلام بتحفظات ("&amp;COUNTIF(E170:J170,"لا")&amp;")","استلام كامل"))</f>
        <v/>
      </c>
    </row>
    <row r="171">
      <c r="A171" s="39">
        <f>IF(B171="","","SH-"&amp;TEXT(ROW()-4,"0000"))</f>
        <v/>
      </c>
      <c r="B171" s="50" t="n"/>
      <c r="C171" s="49">
        <f>IF(B171="","",IFERROR(INDEX('المشروعات'!$B$5:$B$304,MATCH(B171,'المشروعات'!$A$5:$A$304,0)),""))</f>
        <v/>
      </c>
      <c r="D171" s="47" t="n"/>
      <c r="E171" s="40" t="n"/>
      <c r="F171" s="40" t="n"/>
      <c r="G171" s="40" t="n"/>
      <c r="H171" s="40" t="n"/>
      <c r="I171" s="40" t="n"/>
      <c r="J171" s="40" t="n"/>
      <c r="K171" s="40" t="n"/>
      <c r="L171" s="49">
        <f>IF(B171="","",IF(COUNTIF(E171:J171,"لا")&gt;0,"استلام بتحفظات ("&amp;COUNTIF(E171:J171,"لا")&amp;")","استلام كامل"))</f>
        <v/>
      </c>
    </row>
    <row r="172">
      <c r="A172" s="39">
        <f>IF(B172="","","SH-"&amp;TEXT(ROW()-4,"0000"))</f>
        <v/>
      </c>
      <c r="B172" s="50" t="n"/>
      <c r="C172" s="49">
        <f>IF(B172="","",IFERROR(INDEX('المشروعات'!$B$5:$B$304,MATCH(B172,'المشروعات'!$A$5:$A$304,0)),""))</f>
        <v/>
      </c>
      <c r="D172" s="47" t="n"/>
      <c r="E172" s="40" t="n"/>
      <c r="F172" s="40" t="n"/>
      <c r="G172" s="40" t="n"/>
      <c r="H172" s="40" t="n"/>
      <c r="I172" s="40" t="n"/>
      <c r="J172" s="40" t="n"/>
      <c r="K172" s="40" t="n"/>
      <c r="L172" s="49">
        <f>IF(B172="","",IF(COUNTIF(E172:J172,"لا")&gt;0,"استلام بتحفظات ("&amp;COUNTIF(E172:J172,"لا")&amp;")","استلام كامل"))</f>
        <v/>
      </c>
    </row>
    <row r="173">
      <c r="A173" s="39">
        <f>IF(B173="","","SH-"&amp;TEXT(ROW()-4,"0000"))</f>
        <v/>
      </c>
      <c r="B173" s="50" t="n"/>
      <c r="C173" s="49">
        <f>IF(B173="","",IFERROR(INDEX('المشروعات'!$B$5:$B$304,MATCH(B173,'المشروعات'!$A$5:$A$304,0)),""))</f>
        <v/>
      </c>
      <c r="D173" s="47" t="n"/>
      <c r="E173" s="40" t="n"/>
      <c r="F173" s="40" t="n"/>
      <c r="G173" s="40" t="n"/>
      <c r="H173" s="40" t="n"/>
      <c r="I173" s="40" t="n"/>
      <c r="J173" s="40" t="n"/>
      <c r="K173" s="40" t="n"/>
      <c r="L173" s="49">
        <f>IF(B173="","",IF(COUNTIF(E173:J173,"لا")&gt;0,"استلام بتحفظات ("&amp;COUNTIF(E173:J173,"لا")&amp;")","استلام كامل"))</f>
        <v/>
      </c>
    </row>
    <row r="174">
      <c r="A174" s="39">
        <f>IF(B174="","","SH-"&amp;TEXT(ROW()-4,"0000"))</f>
        <v/>
      </c>
      <c r="B174" s="50" t="n"/>
      <c r="C174" s="49">
        <f>IF(B174="","",IFERROR(INDEX('المشروعات'!$B$5:$B$304,MATCH(B174,'المشروعات'!$A$5:$A$304,0)),""))</f>
        <v/>
      </c>
      <c r="D174" s="47" t="n"/>
      <c r="E174" s="40" t="n"/>
      <c r="F174" s="40" t="n"/>
      <c r="G174" s="40" t="n"/>
      <c r="H174" s="40" t="n"/>
      <c r="I174" s="40" t="n"/>
      <c r="J174" s="40" t="n"/>
      <c r="K174" s="40" t="n"/>
      <c r="L174" s="49">
        <f>IF(B174="","",IF(COUNTIF(E174:J174,"لا")&gt;0,"استلام بتحفظات ("&amp;COUNTIF(E174:J174,"لا")&amp;")","استلام كامل"))</f>
        <v/>
      </c>
    </row>
    <row r="175">
      <c r="A175" s="39">
        <f>IF(B175="","","SH-"&amp;TEXT(ROW()-4,"0000"))</f>
        <v/>
      </c>
      <c r="B175" s="50" t="n"/>
      <c r="C175" s="49">
        <f>IF(B175="","",IFERROR(INDEX('المشروعات'!$B$5:$B$304,MATCH(B175,'المشروعات'!$A$5:$A$304,0)),""))</f>
        <v/>
      </c>
      <c r="D175" s="47" t="n"/>
      <c r="E175" s="40" t="n"/>
      <c r="F175" s="40" t="n"/>
      <c r="G175" s="40" t="n"/>
      <c r="H175" s="40" t="n"/>
      <c r="I175" s="40" t="n"/>
      <c r="J175" s="40" t="n"/>
      <c r="K175" s="40" t="n"/>
      <c r="L175" s="49">
        <f>IF(B175="","",IF(COUNTIF(E175:J175,"لا")&gt;0,"استلام بتحفظات ("&amp;COUNTIF(E175:J175,"لا")&amp;")","استلام كامل"))</f>
        <v/>
      </c>
    </row>
    <row r="176">
      <c r="A176" s="39">
        <f>IF(B176="","","SH-"&amp;TEXT(ROW()-4,"0000"))</f>
        <v/>
      </c>
      <c r="B176" s="50" t="n"/>
      <c r="C176" s="49">
        <f>IF(B176="","",IFERROR(INDEX('المشروعات'!$B$5:$B$304,MATCH(B176,'المشروعات'!$A$5:$A$304,0)),""))</f>
        <v/>
      </c>
      <c r="D176" s="47" t="n"/>
      <c r="E176" s="40" t="n"/>
      <c r="F176" s="40" t="n"/>
      <c r="G176" s="40" t="n"/>
      <c r="H176" s="40" t="n"/>
      <c r="I176" s="40" t="n"/>
      <c r="J176" s="40" t="n"/>
      <c r="K176" s="40" t="n"/>
      <c r="L176" s="49">
        <f>IF(B176="","",IF(COUNTIF(E176:J176,"لا")&gt;0,"استلام بتحفظات ("&amp;COUNTIF(E176:J176,"لا")&amp;")","استلام كامل"))</f>
        <v/>
      </c>
    </row>
    <row r="177">
      <c r="A177" s="39">
        <f>IF(B177="","","SH-"&amp;TEXT(ROW()-4,"0000"))</f>
        <v/>
      </c>
      <c r="B177" s="50" t="n"/>
      <c r="C177" s="49">
        <f>IF(B177="","",IFERROR(INDEX('المشروعات'!$B$5:$B$304,MATCH(B177,'المشروعات'!$A$5:$A$304,0)),""))</f>
        <v/>
      </c>
      <c r="D177" s="47" t="n"/>
      <c r="E177" s="40" t="n"/>
      <c r="F177" s="40" t="n"/>
      <c r="G177" s="40" t="n"/>
      <c r="H177" s="40" t="n"/>
      <c r="I177" s="40" t="n"/>
      <c r="J177" s="40" t="n"/>
      <c r="K177" s="40" t="n"/>
      <c r="L177" s="49">
        <f>IF(B177="","",IF(COUNTIF(E177:J177,"لا")&gt;0,"استلام بتحفظات ("&amp;COUNTIF(E177:J177,"لا")&amp;")","استلام كامل"))</f>
        <v/>
      </c>
    </row>
    <row r="178">
      <c r="A178" s="39">
        <f>IF(B178="","","SH-"&amp;TEXT(ROW()-4,"0000"))</f>
        <v/>
      </c>
      <c r="B178" s="50" t="n"/>
      <c r="C178" s="49">
        <f>IF(B178="","",IFERROR(INDEX('المشروعات'!$B$5:$B$304,MATCH(B178,'المشروعات'!$A$5:$A$304,0)),""))</f>
        <v/>
      </c>
      <c r="D178" s="47" t="n"/>
      <c r="E178" s="40" t="n"/>
      <c r="F178" s="40" t="n"/>
      <c r="G178" s="40" t="n"/>
      <c r="H178" s="40" t="n"/>
      <c r="I178" s="40" t="n"/>
      <c r="J178" s="40" t="n"/>
      <c r="K178" s="40" t="n"/>
      <c r="L178" s="49">
        <f>IF(B178="","",IF(COUNTIF(E178:J178,"لا")&gt;0,"استلام بتحفظات ("&amp;COUNTIF(E178:J178,"لا")&amp;")","استلام كامل"))</f>
        <v/>
      </c>
    </row>
    <row r="179">
      <c r="A179" s="39">
        <f>IF(B179="","","SH-"&amp;TEXT(ROW()-4,"0000"))</f>
        <v/>
      </c>
      <c r="B179" s="50" t="n"/>
      <c r="C179" s="49">
        <f>IF(B179="","",IFERROR(INDEX('المشروعات'!$B$5:$B$304,MATCH(B179,'المشروعات'!$A$5:$A$304,0)),""))</f>
        <v/>
      </c>
      <c r="D179" s="47" t="n"/>
      <c r="E179" s="40" t="n"/>
      <c r="F179" s="40" t="n"/>
      <c r="G179" s="40" t="n"/>
      <c r="H179" s="40" t="n"/>
      <c r="I179" s="40" t="n"/>
      <c r="J179" s="40" t="n"/>
      <c r="K179" s="40" t="n"/>
      <c r="L179" s="49">
        <f>IF(B179="","",IF(COUNTIF(E179:J179,"لا")&gt;0,"استلام بتحفظات ("&amp;COUNTIF(E179:J179,"لا")&amp;")","استلام كامل"))</f>
        <v/>
      </c>
    </row>
    <row r="180">
      <c r="A180" s="39">
        <f>IF(B180="","","SH-"&amp;TEXT(ROW()-4,"0000"))</f>
        <v/>
      </c>
      <c r="B180" s="50" t="n"/>
      <c r="C180" s="49">
        <f>IF(B180="","",IFERROR(INDEX('المشروعات'!$B$5:$B$304,MATCH(B180,'المشروعات'!$A$5:$A$304,0)),""))</f>
        <v/>
      </c>
      <c r="D180" s="47" t="n"/>
      <c r="E180" s="40" t="n"/>
      <c r="F180" s="40" t="n"/>
      <c r="G180" s="40" t="n"/>
      <c r="H180" s="40" t="n"/>
      <c r="I180" s="40" t="n"/>
      <c r="J180" s="40" t="n"/>
      <c r="K180" s="40" t="n"/>
      <c r="L180" s="49">
        <f>IF(B180="","",IF(COUNTIF(E180:J180,"لا")&gt;0,"استلام بتحفظات ("&amp;COUNTIF(E180:J180,"لا")&amp;")","استلام كامل"))</f>
        <v/>
      </c>
    </row>
    <row r="181">
      <c r="A181" s="39">
        <f>IF(B181="","","SH-"&amp;TEXT(ROW()-4,"0000"))</f>
        <v/>
      </c>
      <c r="B181" s="50" t="n"/>
      <c r="C181" s="49">
        <f>IF(B181="","",IFERROR(INDEX('المشروعات'!$B$5:$B$304,MATCH(B181,'المشروعات'!$A$5:$A$304,0)),""))</f>
        <v/>
      </c>
      <c r="D181" s="47" t="n"/>
      <c r="E181" s="40" t="n"/>
      <c r="F181" s="40" t="n"/>
      <c r="G181" s="40" t="n"/>
      <c r="H181" s="40" t="n"/>
      <c r="I181" s="40" t="n"/>
      <c r="J181" s="40" t="n"/>
      <c r="K181" s="40" t="n"/>
      <c r="L181" s="49">
        <f>IF(B181="","",IF(COUNTIF(E181:J181,"لا")&gt;0,"استلام بتحفظات ("&amp;COUNTIF(E181:J181,"لا")&amp;")","استلام كامل"))</f>
        <v/>
      </c>
    </row>
    <row r="182">
      <c r="A182" s="39">
        <f>IF(B182="","","SH-"&amp;TEXT(ROW()-4,"0000"))</f>
        <v/>
      </c>
      <c r="B182" s="50" t="n"/>
      <c r="C182" s="49">
        <f>IF(B182="","",IFERROR(INDEX('المشروعات'!$B$5:$B$304,MATCH(B182,'المشروعات'!$A$5:$A$304,0)),""))</f>
        <v/>
      </c>
      <c r="D182" s="47" t="n"/>
      <c r="E182" s="40" t="n"/>
      <c r="F182" s="40" t="n"/>
      <c r="G182" s="40" t="n"/>
      <c r="H182" s="40" t="n"/>
      <c r="I182" s="40" t="n"/>
      <c r="J182" s="40" t="n"/>
      <c r="K182" s="40" t="n"/>
      <c r="L182" s="49">
        <f>IF(B182="","",IF(COUNTIF(E182:J182,"لا")&gt;0,"استلام بتحفظات ("&amp;COUNTIF(E182:J182,"لا")&amp;")","استلام كامل"))</f>
        <v/>
      </c>
    </row>
    <row r="183">
      <c r="A183" s="39">
        <f>IF(B183="","","SH-"&amp;TEXT(ROW()-4,"0000"))</f>
        <v/>
      </c>
      <c r="B183" s="50" t="n"/>
      <c r="C183" s="49">
        <f>IF(B183="","",IFERROR(INDEX('المشروعات'!$B$5:$B$304,MATCH(B183,'المشروعات'!$A$5:$A$304,0)),""))</f>
        <v/>
      </c>
      <c r="D183" s="47" t="n"/>
      <c r="E183" s="40" t="n"/>
      <c r="F183" s="40" t="n"/>
      <c r="G183" s="40" t="n"/>
      <c r="H183" s="40" t="n"/>
      <c r="I183" s="40" t="n"/>
      <c r="J183" s="40" t="n"/>
      <c r="K183" s="40" t="n"/>
      <c r="L183" s="49">
        <f>IF(B183="","",IF(COUNTIF(E183:J183,"لا")&gt;0,"استلام بتحفظات ("&amp;COUNTIF(E183:J183,"لا")&amp;")","استلام كامل"))</f>
        <v/>
      </c>
    </row>
    <row r="184">
      <c r="A184" s="39">
        <f>IF(B184="","","SH-"&amp;TEXT(ROW()-4,"0000"))</f>
        <v/>
      </c>
      <c r="B184" s="50" t="n"/>
      <c r="C184" s="49">
        <f>IF(B184="","",IFERROR(INDEX('المشروعات'!$B$5:$B$304,MATCH(B184,'المشروعات'!$A$5:$A$304,0)),""))</f>
        <v/>
      </c>
      <c r="D184" s="47" t="n"/>
      <c r="E184" s="40" t="n"/>
      <c r="F184" s="40" t="n"/>
      <c r="G184" s="40" t="n"/>
      <c r="H184" s="40" t="n"/>
      <c r="I184" s="40" t="n"/>
      <c r="J184" s="40" t="n"/>
      <c r="K184" s="40" t="n"/>
      <c r="L184" s="49">
        <f>IF(B184="","",IF(COUNTIF(E184:J184,"لا")&gt;0,"استلام بتحفظات ("&amp;COUNTIF(E184:J184,"لا")&amp;")","استلام كامل"))</f>
        <v/>
      </c>
    </row>
    <row r="185">
      <c r="A185" s="39">
        <f>IF(B185="","","SH-"&amp;TEXT(ROW()-4,"0000"))</f>
        <v/>
      </c>
      <c r="B185" s="50" t="n"/>
      <c r="C185" s="49">
        <f>IF(B185="","",IFERROR(INDEX('المشروعات'!$B$5:$B$304,MATCH(B185,'المشروعات'!$A$5:$A$304,0)),""))</f>
        <v/>
      </c>
      <c r="D185" s="47" t="n"/>
      <c r="E185" s="40" t="n"/>
      <c r="F185" s="40" t="n"/>
      <c r="G185" s="40" t="n"/>
      <c r="H185" s="40" t="n"/>
      <c r="I185" s="40" t="n"/>
      <c r="J185" s="40" t="n"/>
      <c r="K185" s="40" t="n"/>
      <c r="L185" s="49">
        <f>IF(B185="","",IF(COUNTIF(E185:J185,"لا")&gt;0,"استلام بتحفظات ("&amp;COUNTIF(E185:J185,"لا")&amp;")","استلام كامل"))</f>
        <v/>
      </c>
    </row>
    <row r="186">
      <c r="A186" s="39">
        <f>IF(B186="","","SH-"&amp;TEXT(ROW()-4,"0000"))</f>
        <v/>
      </c>
      <c r="B186" s="50" t="n"/>
      <c r="C186" s="49">
        <f>IF(B186="","",IFERROR(INDEX('المشروعات'!$B$5:$B$304,MATCH(B186,'المشروعات'!$A$5:$A$304,0)),""))</f>
        <v/>
      </c>
      <c r="D186" s="47" t="n"/>
      <c r="E186" s="40" t="n"/>
      <c r="F186" s="40" t="n"/>
      <c r="G186" s="40" t="n"/>
      <c r="H186" s="40" t="n"/>
      <c r="I186" s="40" t="n"/>
      <c r="J186" s="40" t="n"/>
      <c r="K186" s="40" t="n"/>
      <c r="L186" s="49">
        <f>IF(B186="","",IF(COUNTIF(E186:J186,"لا")&gt;0,"استلام بتحفظات ("&amp;COUNTIF(E186:J186,"لا")&amp;")","استلام كامل"))</f>
        <v/>
      </c>
    </row>
    <row r="187">
      <c r="A187" s="39">
        <f>IF(B187="","","SH-"&amp;TEXT(ROW()-4,"0000"))</f>
        <v/>
      </c>
      <c r="B187" s="50" t="n"/>
      <c r="C187" s="49">
        <f>IF(B187="","",IFERROR(INDEX('المشروعات'!$B$5:$B$304,MATCH(B187,'المشروعات'!$A$5:$A$304,0)),""))</f>
        <v/>
      </c>
      <c r="D187" s="47" t="n"/>
      <c r="E187" s="40" t="n"/>
      <c r="F187" s="40" t="n"/>
      <c r="G187" s="40" t="n"/>
      <c r="H187" s="40" t="n"/>
      <c r="I187" s="40" t="n"/>
      <c r="J187" s="40" t="n"/>
      <c r="K187" s="40" t="n"/>
      <c r="L187" s="49">
        <f>IF(B187="","",IF(COUNTIF(E187:J187,"لا")&gt;0,"استلام بتحفظات ("&amp;COUNTIF(E187:J187,"لا")&amp;")","استلام كامل"))</f>
        <v/>
      </c>
    </row>
    <row r="188">
      <c r="A188" s="39">
        <f>IF(B188="","","SH-"&amp;TEXT(ROW()-4,"0000"))</f>
        <v/>
      </c>
      <c r="B188" s="50" t="n"/>
      <c r="C188" s="49">
        <f>IF(B188="","",IFERROR(INDEX('المشروعات'!$B$5:$B$304,MATCH(B188,'المشروعات'!$A$5:$A$304,0)),""))</f>
        <v/>
      </c>
      <c r="D188" s="47" t="n"/>
      <c r="E188" s="40" t="n"/>
      <c r="F188" s="40" t="n"/>
      <c r="G188" s="40" t="n"/>
      <c r="H188" s="40" t="n"/>
      <c r="I188" s="40" t="n"/>
      <c r="J188" s="40" t="n"/>
      <c r="K188" s="40" t="n"/>
      <c r="L188" s="49">
        <f>IF(B188="","",IF(COUNTIF(E188:J188,"لا")&gt;0,"استلام بتحفظات ("&amp;COUNTIF(E188:J188,"لا")&amp;")","استلام كامل"))</f>
        <v/>
      </c>
    </row>
    <row r="189">
      <c r="A189" s="39">
        <f>IF(B189="","","SH-"&amp;TEXT(ROW()-4,"0000"))</f>
        <v/>
      </c>
      <c r="B189" s="50" t="n"/>
      <c r="C189" s="49">
        <f>IF(B189="","",IFERROR(INDEX('المشروعات'!$B$5:$B$304,MATCH(B189,'المشروعات'!$A$5:$A$304,0)),""))</f>
        <v/>
      </c>
      <c r="D189" s="47" t="n"/>
      <c r="E189" s="40" t="n"/>
      <c r="F189" s="40" t="n"/>
      <c r="G189" s="40" t="n"/>
      <c r="H189" s="40" t="n"/>
      <c r="I189" s="40" t="n"/>
      <c r="J189" s="40" t="n"/>
      <c r="K189" s="40" t="n"/>
      <c r="L189" s="49">
        <f>IF(B189="","",IF(COUNTIF(E189:J189,"لا")&gt;0,"استلام بتحفظات ("&amp;COUNTIF(E189:J189,"لا")&amp;")","استلام كامل"))</f>
        <v/>
      </c>
    </row>
    <row r="190">
      <c r="A190" s="39">
        <f>IF(B190="","","SH-"&amp;TEXT(ROW()-4,"0000"))</f>
        <v/>
      </c>
      <c r="B190" s="50" t="n"/>
      <c r="C190" s="49">
        <f>IF(B190="","",IFERROR(INDEX('المشروعات'!$B$5:$B$304,MATCH(B190,'المشروعات'!$A$5:$A$304,0)),""))</f>
        <v/>
      </c>
      <c r="D190" s="47" t="n"/>
      <c r="E190" s="40" t="n"/>
      <c r="F190" s="40" t="n"/>
      <c r="G190" s="40" t="n"/>
      <c r="H190" s="40" t="n"/>
      <c r="I190" s="40" t="n"/>
      <c r="J190" s="40" t="n"/>
      <c r="K190" s="40" t="n"/>
      <c r="L190" s="49">
        <f>IF(B190="","",IF(COUNTIF(E190:J190,"لا")&gt;0,"استلام بتحفظات ("&amp;COUNTIF(E190:J190,"لا")&amp;")","استلام كامل"))</f>
        <v/>
      </c>
    </row>
    <row r="191">
      <c r="A191" s="39">
        <f>IF(B191="","","SH-"&amp;TEXT(ROW()-4,"0000"))</f>
        <v/>
      </c>
      <c r="B191" s="50" t="n"/>
      <c r="C191" s="49">
        <f>IF(B191="","",IFERROR(INDEX('المشروعات'!$B$5:$B$304,MATCH(B191,'المشروعات'!$A$5:$A$304,0)),""))</f>
        <v/>
      </c>
      <c r="D191" s="47" t="n"/>
      <c r="E191" s="40" t="n"/>
      <c r="F191" s="40" t="n"/>
      <c r="G191" s="40" t="n"/>
      <c r="H191" s="40" t="n"/>
      <c r="I191" s="40" t="n"/>
      <c r="J191" s="40" t="n"/>
      <c r="K191" s="40" t="n"/>
      <c r="L191" s="49">
        <f>IF(B191="","",IF(COUNTIF(E191:J191,"لا")&gt;0,"استلام بتحفظات ("&amp;COUNTIF(E191:J191,"لا")&amp;")","استلام كامل"))</f>
        <v/>
      </c>
    </row>
    <row r="192">
      <c r="A192" s="39">
        <f>IF(B192="","","SH-"&amp;TEXT(ROW()-4,"0000"))</f>
        <v/>
      </c>
      <c r="B192" s="50" t="n"/>
      <c r="C192" s="49">
        <f>IF(B192="","",IFERROR(INDEX('المشروعات'!$B$5:$B$304,MATCH(B192,'المشروعات'!$A$5:$A$304,0)),""))</f>
        <v/>
      </c>
      <c r="D192" s="47" t="n"/>
      <c r="E192" s="40" t="n"/>
      <c r="F192" s="40" t="n"/>
      <c r="G192" s="40" t="n"/>
      <c r="H192" s="40" t="n"/>
      <c r="I192" s="40" t="n"/>
      <c r="J192" s="40" t="n"/>
      <c r="K192" s="40" t="n"/>
      <c r="L192" s="49">
        <f>IF(B192="","",IF(COUNTIF(E192:J192,"لا")&gt;0,"استلام بتحفظات ("&amp;COUNTIF(E192:J192,"لا")&amp;")","استلام كامل"))</f>
        <v/>
      </c>
    </row>
    <row r="193">
      <c r="A193" s="39">
        <f>IF(B193="","","SH-"&amp;TEXT(ROW()-4,"0000"))</f>
        <v/>
      </c>
      <c r="B193" s="50" t="n"/>
      <c r="C193" s="49">
        <f>IF(B193="","",IFERROR(INDEX('المشروعات'!$B$5:$B$304,MATCH(B193,'المشروعات'!$A$5:$A$304,0)),""))</f>
        <v/>
      </c>
      <c r="D193" s="47" t="n"/>
      <c r="E193" s="40" t="n"/>
      <c r="F193" s="40" t="n"/>
      <c r="G193" s="40" t="n"/>
      <c r="H193" s="40" t="n"/>
      <c r="I193" s="40" t="n"/>
      <c r="J193" s="40" t="n"/>
      <c r="K193" s="40" t="n"/>
      <c r="L193" s="49">
        <f>IF(B193="","",IF(COUNTIF(E193:J193,"لا")&gt;0,"استلام بتحفظات ("&amp;COUNTIF(E193:J193,"لا")&amp;")","استلام كامل"))</f>
        <v/>
      </c>
    </row>
    <row r="194">
      <c r="A194" s="39">
        <f>IF(B194="","","SH-"&amp;TEXT(ROW()-4,"0000"))</f>
        <v/>
      </c>
      <c r="B194" s="50" t="n"/>
      <c r="C194" s="49">
        <f>IF(B194="","",IFERROR(INDEX('المشروعات'!$B$5:$B$304,MATCH(B194,'المشروعات'!$A$5:$A$304,0)),""))</f>
        <v/>
      </c>
      <c r="D194" s="47" t="n"/>
      <c r="E194" s="40" t="n"/>
      <c r="F194" s="40" t="n"/>
      <c r="G194" s="40" t="n"/>
      <c r="H194" s="40" t="n"/>
      <c r="I194" s="40" t="n"/>
      <c r="J194" s="40" t="n"/>
      <c r="K194" s="40" t="n"/>
      <c r="L194" s="49">
        <f>IF(B194="","",IF(COUNTIF(E194:J194,"لا")&gt;0,"استلام بتحفظات ("&amp;COUNTIF(E194:J194,"لا")&amp;")","استلام كامل"))</f>
        <v/>
      </c>
    </row>
    <row r="195">
      <c r="A195" s="39">
        <f>IF(B195="","","SH-"&amp;TEXT(ROW()-4,"0000"))</f>
        <v/>
      </c>
      <c r="B195" s="50" t="n"/>
      <c r="C195" s="49">
        <f>IF(B195="","",IFERROR(INDEX('المشروعات'!$B$5:$B$304,MATCH(B195,'المشروعات'!$A$5:$A$304,0)),""))</f>
        <v/>
      </c>
      <c r="D195" s="47" t="n"/>
      <c r="E195" s="40" t="n"/>
      <c r="F195" s="40" t="n"/>
      <c r="G195" s="40" t="n"/>
      <c r="H195" s="40" t="n"/>
      <c r="I195" s="40" t="n"/>
      <c r="J195" s="40" t="n"/>
      <c r="K195" s="40" t="n"/>
      <c r="L195" s="49">
        <f>IF(B195="","",IF(COUNTIF(E195:J195,"لا")&gt;0,"استلام بتحفظات ("&amp;COUNTIF(E195:J195,"لا")&amp;")","استلام كامل"))</f>
        <v/>
      </c>
    </row>
    <row r="196">
      <c r="A196" s="39">
        <f>IF(B196="","","SH-"&amp;TEXT(ROW()-4,"0000"))</f>
        <v/>
      </c>
      <c r="B196" s="50" t="n"/>
      <c r="C196" s="49">
        <f>IF(B196="","",IFERROR(INDEX('المشروعات'!$B$5:$B$304,MATCH(B196,'المشروعات'!$A$5:$A$304,0)),""))</f>
        <v/>
      </c>
      <c r="D196" s="47" t="n"/>
      <c r="E196" s="40" t="n"/>
      <c r="F196" s="40" t="n"/>
      <c r="G196" s="40" t="n"/>
      <c r="H196" s="40" t="n"/>
      <c r="I196" s="40" t="n"/>
      <c r="J196" s="40" t="n"/>
      <c r="K196" s="40" t="n"/>
      <c r="L196" s="49">
        <f>IF(B196="","",IF(COUNTIF(E196:J196,"لا")&gt;0,"استلام بتحفظات ("&amp;COUNTIF(E196:J196,"لا")&amp;")","استلام كامل"))</f>
        <v/>
      </c>
    </row>
    <row r="197">
      <c r="A197" s="39">
        <f>IF(B197="","","SH-"&amp;TEXT(ROW()-4,"0000"))</f>
        <v/>
      </c>
      <c r="B197" s="50" t="n"/>
      <c r="C197" s="49">
        <f>IF(B197="","",IFERROR(INDEX('المشروعات'!$B$5:$B$304,MATCH(B197,'المشروعات'!$A$5:$A$304,0)),""))</f>
        <v/>
      </c>
      <c r="D197" s="47" t="n"/>
      <c r="E197" s="40" t="n"/>
      <c r="F197" s="40" t="n"/>
      <c r="G197" s="40" t="n"/>
      <c r="H197" s="40" t="n"/>
      <c r="I197" s="40" t="n"/>
      <c r="J197" s="40" t="n"/>
      <c r="K197" s="40" t="n"/>
      <c r="L197" s="49">
        <f>IF(B197="","",IF(COUNTIF(E197:J197,"لا")&gt;0,"استلام بتحفظات ("&amp;COUNTIF(E197:J197,"لا")&amp;")","استلام كامل"))</f>
        <v/>
      </c>
    </row>
    <row r="198">
      <c r="A198" s="39">
        <f>IF(B198="","","SH-"&amp;TEXT(ROW()-4,"0000"))</f>
        <v/>
      </c>
      <c r="B198" s="50" t="n"/>
      <c r="C198" s="49">
        <f>IF(B198="","",IFERROR(INDEX('المشروعات'!$B$5:$B$304,MATCH(B198,'المشروعات'!$A$5:$A$304,0)),""))</f>
        <v/>
      </c>
      <c r="D198" s="47" t="n"/>
      <c r="E198" s="40" t="n"/>
      <c r="F198" s="40" t="n"/>
      <c r="G198" s="40" t="n"/>
      <c r="H198" s="40" t="n"/>
      <c r="I198" s="40" t="n"/>
      <c r="J198" s="40" t="n"/>
      <c r="K198" s="40" t="n"/>
      <c r="L198" s="49">
        <f>IF(B198="","",IF(COUNTIF(E198:J198,"لا")&gt;0,"استلام بتحفظات ("&amp;COUNTIF(E198:J198,"لا")&amp;")","استلام كامل"))</f>
        <v/>
      </c>
    </row>
    <row r="199">
      <c r="A199" s="39">
        <f>IF(B199="","","SH-"&amp;TEXT(ROW()-4,"0000"))</f>
        <v/>
      </c>
      <c r="B199" s="50" t="n"/>
      <c r="C199" s="49">
        <f>IF(B199="","",IFERROR(INDEX('المشروعات'!$B$5:$B$304,MATCH(B199,'المشروعات'!$A$5:$A$304,0)),""))</f>
        <v/>
      </c>
      <c r="D199" s="47" t="n"/>
      <c r="E199" s="40" t="n"/>
      <c r="F199" s="40" t="n"/>
      <c r="G199" s="40" t="n"/>
      <c r="H199" s="40" t="n"/>
      <c r="I199" s="40" t="n"/>
      <c r="J199" s="40" t="n"/>
      <c r="K199" s="40" t="n"/>
      <c r="L199" s="49">
        <f>IF(B199="","",IF(COUNTIF(E199:J199,"لا")&gt;0,"استلام بتحفظات ("&amp;COUNTIF(E199:J199,"لا")&amp;")","استلام كامل"))</f>
        <v/>
      </c>
    </row>
    <row r="200">
      <c r="A200" s="39">
        <f>IF(B200="","","SH-"&amp;TEXT(ROW()-4,"0000"))</f>
        <v/>
      </c>
      <c r="B200" s="50" t="n"/>
      <c r="C200" s="49">
        <f>IF(B200="","",IFERROR(INDEX('المشروعات'!$B$5:$B$304,MATCH(B200,'المشروعات'!$A$5:$A$304,0)),""))</f>
        <v/>
      </c>
      <c r="D200" s="47" t="n"/>
      <c r="E200" s="40" t="n"/>
      <c r="F200" s="40" t="n"/>
      <c r="G200" s="40" t="n"/>
      <c r="H200" s="40" t="n"/>
      <c r="I200" s="40" t="n"/>
      <c r="J200" s="40" t="n"/>
      <c r="K200" s="40" t="n"/>
      <c r="L200" s="49">
        <f>IF(B200="","",IF(COUNTIF(E200:J200,"لا")&gt;0,"استلام بتحفظات ("&amp;COUNTIF(E200:J200,"لا")&amp;")","استلام كامل"))</f>
        <v/>
      </c>
    </row>
    <row r="201">
      <c r="A201" s="39">
        <f>IF(B201="","","SH-"&amp;TEXT(ROW()-4,"0000"))</f>
        <v/>
      </c>
      <c r="B201" s="50" t="n"/>
      <c r="C201" s="49">
        <f>IF(B201="","",IFERROR(INDEX('المشروعات'!$B$5:$B$304,MATCH(B201,'المشروعات'!$A$5:$A$304,0)),""))</f>
        <v/>
      </c>
      <c r="D201" s="47" t="n"/>
      <c r="E201" s="40" t="n"/>
      <c r="F201" s="40" t="n"/>
      <c r="G201" s="40" t="n"/>
      <c r="H201" s="40" t="n"/>
      <c r="I201" s="40" t="n"/>
      <c r="J201" s="40" t="n"/>
      <c r="K201" s="40" t="n"/>
      <c r="L201" s="49">
        <f>IF(B201="","",IF(COUNTIF(E201:J201,"لا")&gt;0,"استلام بتحفظات ("&amp;COUNTIF(E201:J201,"لا")&amp;")","استلام كامل"))</f>
        <v/>
      </c>
    </row>
    <row r="202">
      <c r="A202" s="39">
        <f>IF(B202="","","SH-"&amp;TEXT(ROW()-4,"0000"))</f>
        <v/>
      </c>
      <c r="B202" s="50" t="n"/>
      <c r="C202" s="49">
        <f>IF(B202="","",IFERROR(INDEX('المشروعات'!$B$5:$B$304,MATCH(B202,'المشروعات'!$A$5:$A$304,0)),""))</f>
        <v/>
      </c>
      <c r="D202" s="47" t="n"/>
      <c r="E202" s="40" t="n"/>
      <c r="F202" s="40" t="n"/>
      <c r="G202" s="40" t="n"/>
      <c r="H202" s="40" t="n"/>
      <c r="I202" s="40" t="n"/>
      <c r="J202" s="40" t="n"/>
      <c r="K202" s="40" t="n"/>
      <c r="L202" s="49">
        <f>IF(B202="","",IF(COUNTIF(E202:J202,"لا")&gt;0,"استلام بتحفظات ("&amp;COUNTIF(E202:J202,"لا")&amp;")","استلام كامل"))</f>
        <v/>
      </c>
    </row>
    <row r="203">
      <c r="A203" s="39">
        <f>IF(B203="","","SH-"&amp;TEXT(ROW()-4,"0000"))</f>
        <v/>
      </c>
      <c r="B203" s="50" t="n"/>
      <c r="C203" s="49">
        <f>IF(B203="","",IFERROR(INDEX('المشروعات'!$B$5:$B$304,MATCH(B203,'المشروعات'!$A$5:$A$304,0)),""))</f>
        <v/>
      </c>
      <c r="D203" s="47" t="n"/>
      <c r="E203" s="40" t="n"/>
      <c r="F203" s="40" t="n"/>
      <c r="G203" s="40" t="n"/>
      <c r="H203" s="40" t="n"/>
      <c r="I203" s="40" t="n"/>
      <c r="J203" s="40" t="n"/>
      <c r="K203" s="40" t="n"/>
      <c r="L203" s="49">
        <f>IF(B203="","",IF(COUNTIF(E203:J203,"لا")&gt;0,"استلام بتحفظات ("&amp;COUNTIF(E203:J203,"لا")&amp;")","استلام كامل"))</f>
        <v/>
      </c>
    </row>
    <row r="204">
      <c r="A204" s="39">
        <f>IF(B204="","","SH-"&amp;TEXT(ROW()-4,"0000"))</f>
        <v/>
      </c>
      <c r="B204" s="50" t="n"/>
      <c r="C204" s="49">
        <f>IF(B204="","",IFERROR(INDEX('المشروعات'!$B$5:$B$304,MATCH(B204,'المشروعات'!$A$5:$A$304,0)),""))</f>
        <v/>
      </c>
      <c r="D204" s="47" t="n"/>
      <c r="E204" s="40" t="n"/>
      <c r="F204" s="40" t="n"/>
      <c r="G204" s="40" t="n"/>
      <c r="H204" s="40" t="n"/>
      <c r="I204" s="40" t="n"/>
      <c r="J204" s="40" t="n"/>
      <c r="K204" s="40" t="n"/>
      <c r="L204" s="49">
        <f>IF(B204="","",IF(COUNTIF(E204:J204,"لا")&gt;0,"استلام بتحفظات ("&amp;COUNTIF(E204:J204,"لا")&amp;")","استلام كامل"))</f>
        <v/>
      </c>
    </row>
    <row r="205">
      <c r="A205" s="39">
        <f>IF(B205="","","SH-"&amp;TEXT(ROW()-4,"0000"))</f>
        <v/>
      </c>
      <c r="B205" s="50" t="n"/>
      <c r="C205" s="49">
        <f>IF(B205="","",IFERROR(INDEX('المشروعات'!$B$5:$B$304,MATCH(B205,'المشروعات'!$A$5:$A$304,0)),""))</f>
        <v/>
      </c>
      <c r="D205" s="47" t="n"/>
      <c r="E205" s="40" t="n"/>
      <c r="F205" s="40" t="n"/>
      <c r="G205" s="40" t="n"/>
      <c r="H205" s="40" t="n"/>
      <c r="I205" s="40" t="n"/>
      <c r="J205" s="40" t="n"/>
      <c r="K205" s="40" t="n"/>
      <c r="L205" s="49">
        <f>IF(B205="","",IF(COUNTIF(E205:J205,"لا")&gt;0,"استلام بتحفظات ("&amp;COUNTIF(E205:J205,"لا")&amp;")","استلام كامل"))</f>
        <v/>
      </c>
    </row>
    <row r="206">
      <c r="A206" s="39">
        <f>IF(B206="","","SH-"&amp;TEXT(ROW()-4,"0000"))</f>
        <v/>
      </c>
      <c r="B206" s="50" t="n"/>
      <c r="C206" s="49">
        <f>IF(B206="","",IFERROR(INDEX('المشروعات'!$B$5:$B$304,MATCH(B206,'المشروعات'!$A$5:$A$304,0)),""))</f>
        <v/>
      </c>
      <c r="D206" s="47" t="n"/>
      <c r="E206" s="40" t="n"/>
      <c r="F206" s="40" t="n"/>
      <c r="G206" s="40" t="n"/>
      <c r="H206" s="40" t="n"/>
      <c r="I206" s="40" t="n"/>
      <c r="J206" s="40" t="n"/>
      <c r="K206" s="40" t="n"/>
      <c r="L206" s="49">
        <f>IF(B206="","",IF(COUNTIF(E206:J206,"لا")&gt;0,"استلام بتحفظات ("&amp;COUNTIF(E206:J206,"لا")&amp;")","استلام كامل"))</f>
        <v/>
      </c>
    </row>
    <row r="207">
      <c r="A207" s="39">
        <f>IF(B207="","","SH-"&amp;TEXT(ROW()-4,"0000"))</f>
        <v/>
      </c>
      <c r="B207" s="50" t="n"/>
      <c r="C207" s="49">
        <f>IF(B207="","",IFERROR(INDEX('المشروعات'!$B$5:$B$304,MATCH(B207,'المشروعات'!$A$5:$A$304,0)),""))</f>
        <v/>
      </c>
      <c r="D207" s="47" t="n"/>
      <c r="E207" s="40" t="n"/>
      <c r="F207" s="40" t="n"/>
      <c r="G207" s="40" t="n"/>
      <c r="H207" s="40" t="n"/>
      <c r="I207" s="40" t="n"/>
      <c r="J207" s="40" t="n"/>
      <c r="K207" s="40" t="n"/>
      <c r="L207" s="49">
        <f>IF(B207="","",IF(COUNTIF(E207:J207,"لا")&gt;0,"استلام بتحفظات ("&amp;COUNTIF(E207:J207,"لا")&amp;")","استلام كامل"))</f>
        <v/>
      </c>
    </row>
    <row r="208">
      <c r="A208" s="39">
        <f>IF(B208="","","SH-"&amp;TEXT(ROW()-4,"0000"))</f>
        <v/>
      </c>
      <c r="B208" s="50" t="n"/>
      <c r="C208" s="49">
        <f>IF(B208="","",IFERROR(INDEX('المشروعات'!$B$5:$B$304,MATCH(B208,'المشروعات'!$A$5:$A$304,0)),""))</f>
        <v/>
      </c>
      <c r="D208" s="47" t="n"/>
      <c r="E208" s="40" t="n"/>
      <c r="F208" s="40" t="n"/>
      <c r="G208" s="40" t="n"/>
      <c r="H208" s="40" t="n"/>
      <c r="I208" s="40" t="n"/>
      <c r="J208" s="40" t="n"/>
      <c r="K208" s="40" t="n"/>
      <c r="L208" s="49">
        <f>IF(B208="","",IF(COUNTIF(E208:J208,"لا")&gt;0,"استلام بتحفظات ("&amp;COUNTIF(E208:J208,"لا")&amp;")","استلام كامل"))</f>
        <v/>
      </c>
    </row>
    <row r="209">
      <c r="A209" s="39">
        <f>IF(B209="","","SH-"&amp;TEXT(ROW()-4,"0000"))</f>
        <v/>
      </c>
      <c r="B209" s="50" t="n"/>
      <c r="C209" s="49">
        <f>IF(B209="","",IFERROR(INDEX('المشروعات'!$B$5:$B$304,MATCH(B209,'المشروعات'!$A$5:$A$304,0)),""))</f>
        <v/>
      </c>
      <c r="D209" s="47" t="n"/>
      <c r="E209" s="40" t="n"/>
      <c r="F209" s="40" t="n"/>
      <c r="G209" s="40" t="n"/>
      <c r="H209" s="40" t="n"/>
      <c r="I209" s="40" t="n"/>
      <c r="J209" s="40" t="n"/>
      <c r="K209" s="40" t="n"/>
      <c r="L209" s="49">
        <f>IF(B209="","",IF(COUNTIF(E209:J209,"لا")&gt;0,"استلام بتحفظات ("&amp;COUNTIF(E209:J209,"لا")&amp;")","استلام كامل"))</f>
        <v/>
      </c>
    </row>
    <row r="210">
      <c r="A210" s="39">
        <f>IF(B210="","","SH-"&amp;TEXT(ROW()-4,"0000"))</f>
        <v/>
      </c>
      <c r="B210" s="50" t="n"/>
      <c r="C210" s="49">
        <f>IF(B210="","",IFERROR(INDEX('المشروعات'!$B$5:$B$304,MATCH(B210,'المشروعات'!$A$5:$A$304,0)),""))</f>
        <v/>
      </c>
      <c r="D210" s="47" t="n"/>
      <c r="E210" s="40" t="n"/>
      <c r="F210" s="40" t="n"/>
      <c r="G210" s="40" t="n"/>
      <c r="H210" s="40" t="n"/>
      <c r="I210" s="40" t="n"/>
      <c r="J210" s="40" t="n"/>
      <c r="K210" s="40" t="n"/>
      <c r="L210" s="49">
        <f>IF(B210="","",IF(COUNTIF(E210:J210,"لا")&gt;0,"استلام بتحفظات ("&amp;COUNTIF(E210:J210,"لا")&amp;")","استلام كامل"))</f>
        <v/>
      </c>
    </row>
    <row r="211">
      <c r="A211" s="39">
        <f>IF(B211="","","SH-"&amp;TEXT(ROW()-4,"0000"))</f>
        <v/>
      </c>
      <c r="B211" s="50" t="n"/>
      <c r="C211" s="49">
        <f>IF(B211="","",IFERROR(INDEX('المشروعات'!$B$5:$B$304,MATCH(B211,'المشروعات'!$A$5:$A$304,0)),""))</f>
        <v/>
      </c>
      <c r="D211" s="47" t="n"/>
      <c r="E211" s="40" t="n"/>
      <c r="F211" s="40" t="n"/>
      <c r="G211" s="40" t="n"/>
      <c r="H211" s="40" t="n"/>
      <c r="I211" s="40" t="n"/>
      <c r="J211" s="40" t="n"/>
      <c r="K211" s="40" t="n"/>
      <c r="L211" s="49">
        <f>IF(B211="","",IF(COUNTIF(E211:J211,"لا")&gt;0,"استلام بتحفظات ("&amp;COUNTIF(E211:J211,"لا")&amp;")","استلام كامل"))</f>
        <v/>
      </c>
    </row>
    <row r="212">
      <c r="A212" s="39">
        <f>IF(B212="","","SH-"&amp;TEXT(ROW()-4,"0000"))</f>
        <v/>
      </c>
      <c r="B212" s="50" t="n"/>
      <c r="C212" s="49">
        <f>IF(B212="","",IFERROR(INDEX('المشروعات'!$B$5:$B$304,MATCH(B212,'المشروعات'!$A$5:$A$304,0)),""))</f>
        <v/>
      </c>
      <c r="D212" s="47" t="n"/>
      <c r="E212" s="40" t="n"/>
      <c r="F212" s="40" t="n"/>
      <c r="G212" s="40" t="n"/>
      <c r="H212" s="40" t="n"/>
      <c r="I212" s="40" t="n"/>
      <c r="J212" s="40" t="n"/>
      <c r="K212" s="40" t="n"/>
      <c r="L212" s="49">
        <f>IF(B212="","",IF(COUNTIF(E212:J212,"لا")&gt;0,"استلام بتحفظات ("&amp;COUNTIF(E212:J212,"لا")&amp;")","استلام كامل"))</f>
        <v/>
      </c>
    </row>
    <row r="213">
      <c r="A213" s="39">
        <f>IF(B213="","","SH-"&amp;TEXT(ROW()-4,"0000"))</f>
        <v/>
      </c>
      <c r="B213" s="50" t="n"/>
      <c r="C213" s="49">
        <f>IF(B213="","",IFERROR(INDEX('المشروعات'!$B$5:$B$304,MATCH(B213,'المشروعات'!$A$5:$A$304,0)),""))</f>
        <v/>
      </c>
      <c r="D213" s="47" t="n"/>
      <c r="E213" s="40" t="n"/>
      <c r="F213" s="40" t="n"/>
      <c r="G213" s="40" t="n"/>
      <c r="H213" s="40" t="n"/>
      <c r="I213" s="40" t="n"/>
      <c r="J213" s="40" t="n"/>
      <c r="K213" s="40" t="n"/>
      <c r="L213" s="49">
        <f>IF(B213="","",IF(COUNTIF(E213:J213,"لا")&gt;0,"استلام بتحفظات ("&amp;COUNTIF(E213:J213,"لا")&amp;")","استلام كامل"))</f>
        <v/>
      </c>
    </row>
    <row r="214">
      <c r="A214" s="39">
        <f>IF(B214="","","SH-"&amp;TEXT(ROW()-4,"0000"))</f>
        <v/>
      </c>
      <c r="B214" s="50" t="n"/>
      <c r="C214" s="49">
        <f>IF(B214="","",IFERROR(INDEX('المشروعات'!$B$5:$B$304,MATCH(B214,'المشروعات'!$A$5:$A$304,0)),""))</f>
        <v/>
      </c>
      <c r="D214" s="47" t="n"/>
      <c r="E214" s="40" t="n"/>
      <c r="F214" s="40" t="n"/>
      <c r="G214" s="40" t="n"/>
      <c r="H214" s="40" t="n"/>
      <c r="I214" s="40" t="n"/>
      <c r="J214" s="40" t="n"/>
      <c r="K214" s="40" t="n"/>
      <c r="L214" s="49">
        <f>IF(B214="","",IF(COUNTIF(E214:J214,"لا")&gt;0,"استلام بتحفظات ("&amp;COUNTIF(E214:J214,"لا")&amp;")","استلام كامل"))</f>
        <v/>
      </c>
    </row>
    <row r="215">
      <c r="A215" s="39">
        <f>IF(B215="","","SH-"&amp;TEXT(ROW()-4,"0000"))</f>
        <v/>
      </c>
      <c r="B215" s="50" t="n"/>
      <c r="C215" s="49">
        <f>IF(B215="","",IFERROR(INDEX('المشروعات'!$B$5:$B$304,MATCH(B215,'المشروعات'!$A$5:$A$304,0)),""))</f>
        <v/>
      </c>
      <c r="D215" s="47" t="n"/>
      <c r="E215" s="40" t="n"/>
      <c r="F215" s="40" t="n"/>
      <c r="G215" s="40" t="n"/>
      <c r="H215" s="40" t="n"/>
      <c r="I215" s="40" t="n"/>
      <c r="J215" s="40" t="n"/>
      <c r="K215" s="40" t="n"/>
      <c r="L215" s="49">
        <f>IF(B215="","",IF(COUNTIF(E215:J215,"لا")&gt;0,"استلام بتحفظات ("&amp;COUNTIF(E215:J215,"لا")&amp;")","استلام كامل"))</f>
        <v/>
      </c>
    </row>
    <row r="216">
      <c r="A216" s="39">
        <f>IF(B216="","","SH-"&amp;TEXT(ROW()-4,"0000"))</f>
        <v/>
      </c>
      <c r="B216" s="50" t="n"/>
      <c r="C216" s="49">
        <f>IF(B216="","",IFERROR(INDEX('المشروعات'!$B$5:$B$304,MATCH(B216,'المشروعات'!$A$5:$A$304,0)),""))</f>
        <v/>
      </c>
      <c r="D216" s="47" t="n"/>
      <c r="E216" s="40" t="n"/>
      <c r="F216" s="40" t="n"/>
      <c r="G216" s="40" t="n"/>
      <c r="H216" s="40" t="n"/>
      <c r="I216" s="40" t="n"/>
      <c r="J216" s="40" t="n"/>
      <c r="K216" s="40" t="n"/>
      <c r="L216" s="49">
        <f>IF(B216="","",IF(COUNTIF(E216:J216,"لا")&gt;0,"استلام بتحفظات ("&amp;COUNTIF(E216:J216,"لا")&amp;")","استلام كامل"))</f>
        <v/>
      </c>
    </row>
    <row r="217">
      <c r="A217" s="39">
        <f>IF(B217="","","SH-"&amp;TEXT(ROW()-4,"0000"))</f>
        <v/>
      </c>
      <c r="B217" s="50" t="n"/>
      <c r="C217" s="49">
        <f>IF(B217="","",IFERROR(INDEX('المشروعات'!$B$5:$B$304,MATCH(B217,'المشروعات'!$A$5:$A$304,0)),""))</f>
        <v/>
      </c>
      <c r="D217" s="47" t="n"/>
      <c r="E217" s="40" t="n"/>
      <c r="F217" s="40" t="n"/>
      <c r="G217" s="40" t="n"/>
      <c r="H217" s="40" t="n"/>
      <c r="I217" s="40" t="n"/>
      <c r="J217" s="40" t="n"/>
      <c r="K217" s="40" t="n"/>
      <c r="L217" s="49">
        <f>IF(B217="","",IF(COUNTIF(E217:J217,"لا")&gt;0,"استلام بتحفظات ("&amp;COUNTIF(E217:J217,"لا")&amp;")","استلام كامل"))</f>
        <v/>
      </c>
    </row>
    <row r="218">
      <c r="A218" s="39">
        <f>IF(B218="","","SH-"&amp;TEXT(ROW()-4,"0000"))</f>
        <v/>
      </c>
      <c r="B218" s="50" t="n"/>
      <c r="C218" s="49">
        <f>IF(B218="","",IFERROR(INDEX('المشروعات'!$B$5:$B$304,MATCH(B218,'المشروعات'!$A$5:$A$304,0)),""))</f>
        <v/>
      </c>
      <c r="D218" s="47" t="n"/>
      <c r="E218" s="40" t="n"/>
      <c r="F218" s="40" t="n"/>
      <c r="G218" s="40" t="n"/>
      <c r="H218" s="40" t="n"/>
      <c r="I218" s="40" t="n"/>
      <c r="J218" s="40" t="n"/>
      <c r="K218" s="40" t="n"/>
      <c r="L218" s="49">
        <f>IF(B218="","",IF(COUNTIF(E218:J218,"لا")&gt;0,"استلام بتحفظات ("&amp;COUNTIF(E218:J218,"لا")&amp;")","استلام كامل"))</f>
        <v/>
      </c>
    </row>
    <row r="219">
      <c r="A219" s="39">
        <f>IF(B219="","","SH-"&amp;TEXT(ROW()-4,"0000"))</f>
        <v/>
      </c>
      <c r="B219" s="50" t="n"/>
      <c r="C219" s="49">
        <f>IF(B219="","",IFERROR(INDEX('المشروعات'!$B$5:$B$304,MATCH(B219,'المشروعات'!$A$5:$A$304,0)),""))</f>
        <v/>
      </c>
      <c r="D219" s="47" t="n"/>
      <c r="E219" s="40" t="n"/>
      <c r="F219" s="40" t="n"/>
      <c r="G219" s="40" t="n"/>
      <c r="H219" s="40" t="n"/>
      <c r="I219" s="40" t="n"/>
      <c r="J219" s="40" t="n"/>
      <c r="K219" s="40" t="n"/>
      <c r="L219" s="49">
        <f>IF(B219="","",IF(COUNTIF(E219:J219,"لا")&gt;0,"استلام بتحفظات ("&amp;COUNTIF(E219:J219,"لا")&amp;")","استلام كامل"))</f>
        <v/>
      </c>
    </row>
    <row r="220">
      <c r="A220" s="39">
        <f>IF(B220="","","SH-"&amp;TEXT(ROW()-4,"0000"))</f>
        <v/>
      </c>
      <c r="B220" s="50" t="n"/>
      <c r="C220" s="49">
        <f>IF(B220="","",IFERROR(INDEX('المشروعات'!$B$5:$B$304,MATCH(B220,'المشروعات'!$A$5:$A$304,0)),""))</f>
        <v/>
      </c>
      <c r="D220" s="47" t="n"/>
      <c r="E220" s="40" t="n"/>
      <c r="F220" s="40" t="n"/>
      <c r="G220" s="40" t="n"/>
      <c r="H220" s="40" t="n"/>
      <c r="I220" s="40" t="n"/>
      <c r="J220" s="40" t="n"/>
      <c r="K220" s="40" t="n"/>
      <c r="L220" s="49">
        <f>IF(B220="","",IF(COUNTIF(E220:J220,"لا")&gt;0,"استلام بتحفظات ("&amp;COUNTIF(E220:J220,"لا")&amp;")","استلام كامل"))</f>
        <v/>
      </c>
    </row>
    <row r="221">
      <c r="A221" s="39">
        <f>IF(B221="","","SH-"&amp;TEXT(ROW()-4,"0000"))</f>
        <v/>
      </c>
      <c r="B221" s="50" t="n"/>
      <c r="C221" s="49">
        <f>IF(B221="","",IFERROR(INDEX('المشروعات'!$B$5:$B$304,MATCH(B221,'المشروعات'!$A$5:$A$304,0)),""))</f>
        <v/>
      </c>
      <c r="D221" s="47" t="n"/>
      <c r="E221" s="40" t="n"/>
      <c r="F221" s="40" t="n"/>
      <c r="G221" s="40" t="n"/>
      <c r="H221" s="40" t="n"/>
      <c r="I221" s="40" t="n"/>
      <c r="J221" s="40" t="n"/>
      <c r="K221" s="40" t="n"/>
      <c r="L221" s="49">
        <f>IF(B221="","",IF(COUNTIF(E221:J221,"لا")&gt;0,"استلام بتحفظات ("&amp;COUNTIF(E221:J221,"لا")&amp;")","استلام كامل"))</f>
        <v/>
      </c>
    </row>
    <row r="222">
      <c r="A222" s="39">
        <f>IF(B222="","","SH-"&amp;TEXT(ROW()-4,"0000"))</f>
        <v/>
      </c>
      <c r="B222" s="50" t="n"/>
      <c r="C222" s="49">
        <f>IF(B222="","",IFERROR(INDEX('المشروعات'!$B$5:$B$304,MATCH(B222,'المشروعات'!$A$5:$A$304,0)),""))</f>
        <v/>
      </c>
      <c r="D222" s="47" t="n"/>
      <c r="E222" s="40" t="n"/>
      <c r="F222" s="40" t="n"/>
      <c r="G222" s="40" t="n"/>
      <c r="H222" s="40" t="n"/>
      <c r="I222" s="40" t="n"/>
      <c r="J222" s="40" t="n"/>
      <c r="K222" s="40" t="n"/>
      <c r="L222" s="49">
        <f>IF(B222="","",IF(COUNTIF(E222:J222,"لا")&gt;0,"استلام بتحفظات ("&amp;COUNTIF(E222:J222,"لا")&amp;")","استلام كامل"))</f>
        <v/>
      </c>
    </row>
    <row r="223">
      <c r="A223" s="39">
        <f>IF(B223="","","SH-"&amp;TEXT(ROW()-4,"0000"))</f>
        <v/>
      </c>
      <c r="B223" s="50" t="n"/>
      <c r="C223" s="49">
        <f>IF(B223="","",IFERROR(INDEX('المشروعات'!$B$5:$B$304,MATCH(B223,'المشروعات'!$A$5:$A$304,0)),""))</f>
        <v/>
      </c>
      <c r="D223" s="47" t="n"/>
      <c r="E223" s="40" t="n"/>
      <c r="F223" s="40" t="n"/>
      <c r="G223" s="40" t="n"/>
      <c r="H223" s="40" t="n"/>
      <c r="I223" s="40" t="n"/>
      <c r="J223" s="40" t="n"/>
      <c r="K223" s="40" t="n"/>
      <c r="L223" s="49">
        <f>IF(B223="","",IF(COUNTIF(E223:J223,"لا")&gt;0,"استلام بتحفظات ("&amp;COUNTIF(E223:J223,"لا")&amp;")","استلام كامل"))</f>
        <v/>
      </c>
    </row>
    <row r="224">
      <c r="A224" s="39">
        <f>IF(B224="","","SH-"&amp;TEXT(ROW()-4,"0000"))</f>
        <v/>
      </c>
      <c r="B224" s="50" t="n"/>
      <c r="C224" s="49">
        <f>IF(B224="","",IFERROR(INDEX('المشروعات'!$B$5:$B$304,MATCH(B224,'المشروعات'!$A$5:$A$304,0)),""))</f>
        <v/>
      </c>
      <c r="D224" s="47" t="n"/>
      <c r="E224" s="40" t="n"/>
      <c r="F224" s="40" t="n"/>
      <c r="G224" s="40" t="n"/>
      <c r="H224" s="40" t="n"/>
      <c r="I224" s="40" t="n"/>
      <c r="J224" s="40" t="n"/>
      <c r="K224" s="40" t="n"/>
      <c r="L224" s="49">
        <f>IF(B224="","",IF(COUNTIF(E224:J224,"لا")&gt;0,"استلام بتحفظات ("&amp;COUNTIF(E224:J224,"لا")&amp;")","استلام كامل"))</f>
        <v/>
      </c>
    </row>
    <row r="225">
      <c r="A225" s="39">
        <f>IF(B225="","","SH-"&amp;TEXT(ROW()-4,"0000"))</f>
        <v/>
      </c>
      <c r="B225" s="50" t="n"/>
      <c r="C225" s="49">
        <f>IF(B225="","",IFERROR(INDEX('المشروعات'!$B$5:$B$304,MATCH(B225,'المشروعات'!$A$5:$A$304,0)),""))</f>
        <v/>
      </c>
      <c r="D225" s="47" t="n"/>
      <c r="E225" s="40" t="n"/>
      <c r="F225" s="40" t="n"/>
      <c r="G225" s="40" t="n"/>
      <c r="H225" s="40" t="n"/>
      <c r="I225" s="40" t="n"/>
      <c r="J225" s="40" t="n"/>
      <c r="K225" s="40" t="n"/>
      <c r="L225" s="49">
        <f>IF(B225="","",IF(COUNTIF(E225:J225,"لا")&gt;0,"استلام بتحفظات ("&amp;COUNTIF(E225:J225,"لا")&amp;")","استلام كامل"))</f>
        <v/>
      </c>
    </row>
    <row r="226">
      <c r="A226" s="39">
        <f>IF(B226="","","SH-"&amp;TEXT(ROW()-4,"0000"))</f>
        <v/>
      </c>
      <c r="B226" s="50" t="n"/>
      <c r="C226" s="49">
        <f>IF(B226="","",IFERROR(INDEX('المشروعات'!$B$5:$B$304,MATCH(B226,'المشروعات'!$A$5:$A$304,0)),""))</f>
        <v/>
      </c>
      <c r="D226" s="47" t="n"/>
      <c r="E226" s="40" t="n"/>
      <c r="F226" s="40" t="n"/>
      <c r="G226" s="40" t="n"/>
      <c r="H226" s="40" t="n"/>
      <c r="I226" s="40" t="n"/>
      <c r="J226" s="40" t="n"/>
      <c r="K226" s="40" t="n"/>
      <c r="L226" s="49">
        <f>IF(B226="","",IF(COUNTIF(E226:J226,"لا")&gt;0,"استلام بتحفظات ("&amp;COUNTIF(E226:J226,"لا")&amp;")","استلام كامل"))</f>
        <v/>
      </c>
    </row>
    <row r="227">
      <c r="A227" s="39">
        <f>IF(B227="","","SH-"&amp;TEXT(ROW()-4,"0000"))</f>
        <v/>
      </c>
      <c r="B227" s="50" t="n"/>
      <c r="C227" s="49">
        <f>IF(B227="","",IFERROR(INDEX('المشروعات'!$B$5:$B$304,MATCH(B227,'المشروعات'!$A$5:$A$304,0)),""))</f>
        <v/>
      </c>
      <c r="D227" s="47" t="n"/>
      <c r="E227" s="40" t="n"/>
      <c r="F227" s="40" t="n"/>
      <c r="G227" s="40" t="n"/>
      <c r="H227" s="40" t="n"/>
      <c r="I227" s="40" t="n"/>
      <c r="J227" s="40" t="n"/>
      <c r="K227" s="40" t="n"/>
      <c r="L227" s="49">
        <f>IF(B227="","",IF(COUNTIF(E227:J227,"لا")&gt;0,"استلام بتحفظات ("&amp;COUNTIF(E227:J227,"لا")&amp;")","استلام كامل"))</f>
        <v/>
      </c>
    </row>
    <row r="228">
      <c r="A228" s="39">
        <f>IF(B228="","","SH-"&amp;TEXT(ROW()-4,"0000"))</f>
        <v/>
      </c>
      <c r="B228" s="50" t="n"/>
      <c r="C228" s="49">
        <f>IF(B228="","",IFERROR(INDEX('المشروعات'!$B$5:$B$304,MATCH(B228,'المشروعات'!$A$5:$A$304,0)),""))</f>
        <v/>
      </c>
      <c r="D228" s="47" t="n"/>
      <c r="E228" s="40" t="n"/>
      <c r="F228" s="40" t="n"/>
      <c r="G228" s="40" t="n"/>
      <c r="H228" s="40" t="n"/>
      <c r="I228" s="40" t="n"/>
      <c r="J228" s="40" t="n"/>
      <c r="K228" s="40" t="n"/>
      <c r="L228" s="49">
        <f>IF(B228="","",IF(COUNTIF(E228:J228,"لا")&gt;0,"استلام بتحفظات ("&amp;COUNTIF(E228:J228,"لا")&amp;")","استلام كامل"))</f>
        <v/>
      </c>
    </row>
    <row r="229">
      <c r="A229" s="39">
        <f>IF(B229="","","SH-"&amp;TEXT(ROW()-4,"0000"))</f>
        <v/>
      </c>
      <c r="B229" s="50" t="n"/>
      <c r="C229" s="49">
        <f>IF(B229="","",IFERROR(INDEX('المشروعات'!$B$5:$B$304,MATCH(B229,'المشروعات'!$A$5:$A$304,0)),""))</f>
        <v/>
      </c>
      <c r="D229" s="47" t="n"/>
      <c r="E229" s="40" t="n"/>
      <c r="F229" s="40" t="n"/>
      <c r="G229" s="40" t="n"/>
      <c r="H229" s="40" t="n"/>
      <c r="I229" s="40" t="n"/>
      <c r="J229" s="40" t="n"/>
      <c r="K229" s="40" t="n"/>
      <c r="L229" s="49">
        <f>IF(B229="","",IF(COUNTIF(E229:J229,"لا")&gt;0,"استلام بتحفظات ("&amp;COUNTIF(E229:J229,"لا")&amp;")","استلام كامل"))</f>
        <v/>
      </c>
    </row>
    <row r="230">
      <c r="A230" s="39">
        <f>IF(B230="","","SH-"&amp;TEXT(ROW()-4,"0000"))</f>
        <v/>
      </c>
      <c r="B230" s="50" t="n"/>
      <c r="C230" s="49">
        <f>IF(B230="","",IFERROR(INDEX('المشروعات'!$B$5:$B$304,MATCH(B230,'المشروعات'!$A$5:$A$304,0)),""))</f>
        <v/>
      </c>
      <c r="D230" s="47" t="n"/>
      <c r="E230" s="40" t="n"/>
      <c r="F230" s="40" t="n"/>
      <c r="G230" s="40" t="n"/>
      <c r="H230" s="40" t="n"/>
      <c r="I230" s="40" t="n"/>
      <c r="J230" s="40" t="n"/>
      <c r="K230" s="40" t="n"/>
      <c r="L230" s="49">
        <f>IF(B230="","",IF(COUNTIF(E230:J230,"لا")&gt;0,"استلام بتحفظات ("&amp;COUNTIF(E230:J230,"لا")&amp;")","استلام كامل"))</f>
        <v/>
      </c>
    </row>
    <row r="231">
      <c r="A231" s="39">
        <f>IF(B231="","","SH-"&amp;TEXT(ROW()-4,"0000"))</f>
        <v/>
      </c>
      <c r="B231" s="50" t="n"/>
      <c r="C231" s="49">
        <f>IF(B231="","",IFERROR(INDEX('المشروعات'!$B$5:$B$304,MATCH(B231,'المشروعات'!$A$5:$A$304,0)),""))</f>
        <v/>
      </c>
      <c r="D231" s="47" t="n"/>
      <c r="E231" s="40" t="n"/>
      <c r="F231" s="40" t="n"/>
      <c r="G231" s="40" t="n"/>
      <c r="H231" s="40" t="n"/>
      <c r="I231" s="40" t="n"/>
      <c r="J231" s="40" t="n"/>
      <c r="K231" s="40" t="n"/>
      <c r="L231" s="49">
        <f>IF(B231="","",IF(COUNTIF(E231:J231,"لا")&gt;0,"استلام بتحفظات ("&amp;COUNTIF(E231:J231,"لا")&amp;")","استلام كامل"))</f>
        <v/>
      </c>
    </row>
    <row r="232">
      <c r="A232" s="39">
        <f>IF(B232="","","SH-"&amp;TEXT(ROW()-4,"0000"))</f>
        <v/>
      </c>
      <c r="B232" s="50" t="n"/>
      <c r="C232" s="49">
        <f>IF(B232="","",IFERROR(INDEX('المشروعات'!$B$5:$B$304,MATCH(B232,'المشروعات'!$A$5:$A$304,0)),""))</f>
        <v/>
      </c>
      <c r="D232" s="47" t="n"/>
      <c r="E232" s="40" t="n"/>
      <c r="F232" s="40" t="n"/>
      <c r="G232" s="40" t="n"/>
      <c r="H232" s="40" t="n"/>
      <c r="I232" s="40" t="n"/>
      <c r="J232" s="40" t="n"/>
      <c r="K232" s="40" t="n"/>
      <c r="L232" s="49">
        <f>IF(B232="","",IF(COUNTIF(E232:J232,"لا")&gt;0,"استلام بتحفظات ("&amp;COUNTIF(E232:J232,"لا")&amp;")","استلام كامل"))</f>
        <v/>
      </c>
    </row>
    <row r="233">
      <c r="A233" s="39">
        <f>IF(B233="","","SH-"&amp;TEXT(ROW()-4,"0000"))</f>
        <v/>
      </c>
      <c r="B233" s="50" t="n"/>
      <c r="C233" s="49">
        <f>IF(B233="","",IFERROR(INDEX('المشروعات'!$B$5:$B$304,MATCH(B233,'المشروعات'!$A$5:$A$304,0)),""))</f>
        <v/>
      </c>
      <c r="D233" s="47" t="n"/>
      <c r="E233" s="40" t="n"/>
      <c r="F233" s="40" t="n"/>
      <c r="G233" s="40" t="n"/>
      <c r="H233" s="40" t="n"/>
      <c r="I233" s="40" t="n"/>
      <c r="J233" s="40" t="n"/>
      <c r="K233" s="40" t="n"/>
      <c r="L233" s="49">
        <f>IF(B233="","",IF(COUNTIF(E233:J233,"لا")&gt;0,"استلام بتحفظات ("&amp;COUNTIF(E233:J233,"لا")&amp;")","استلام كامل"))</f>
        <v/>
      </c>
    </row>
    <row r="234">
      <c r="A234" s="39">
        <f>IF(B234="","","SH-"&amp;TEXT(ROW()-4,"0000"))</f>
        <v/>
      </c>
      <c r="B234" s="50" t="n"/>
      <c r="C234" s="49">
        <f>IF(B234="","",IFERROR(INDEX('المشروعات'!$B$5:$B$304,MATCH(B234,'المشروعات'!$A$5:$A$304,0)),""))</f>
        <v/>
      </c>
      <c r="D234" s="47" t="n"/>
      <c r="E234" s="40" t="n"/>
      <c r="F234" s="40" t="n"/>
      <c r="G234" s="40" t="n"/>
      <c r="H234" s="40" t="n"/>
      <c r="I234" s="40" t="n"/>
      <c r="J234" s="40" t="n"/>
      <c r="K234" s="40" t="n"/>
      <c r="L234" s="49">
        <f>IF(B234="","",IF(COUNTIF(E234:J234,"لا")&gt;0,"استلام بتحفظات ("&amp;COUNTIF(E234:J234,"لا")&amp;")","استلام كامل"))</f>
        <v/>
      </c>
    </row>
    <row r="235">
      <c r="A235" s="39">
        <f>IF(B235="","","SH-"&amp;TEXT(ROW()-4,"0000"))</f>
        <v/>
      </c>
      <c r="B235" s="50" t="n"/>
      <c r="C235" s="49">
        <f>IF(B235="","",IFERROR(INDEX('المشروعات'!$B$5:$B$304,MATCH(B235,'المشروعات'!$A$5:$A$304,0)),""))</f>
        <v/>
      </c>
      <c r="D235" s="47" t="n"/>
      <c r="E235" s="40" t="n"/>
      <c r="F235" s="40" t="n"/>
      <c r="G235" s="40" t="n"/>
      <c r="H235" s="40" t="n"/>
      <c r="I235" s="40" t="n"/>
      <c r="J235" s="40" t="n"/>
      <c r="K235" s="40" t="n"/>
      <c r="L235" s="49">
        <f>IF(B235="","",IF(COUNTIF(E235:J235,"لا")&gt;0,"استلام بتحفظات ("&amp;COUNTIF(E235:J235,"لا")&amp;")","استلام كامل"))</f>
        <v/>
      </c>
    </row>
    <row r="236">
      <c r="A236" s="39">
        <f>IF(B236="","","SH-"&amp;TEXT(ROW()-4,"0000"))</f>
        <v/>
      </c>
      <c r="B236" s="50" t="n"/>
      <c r="C236" s="49">
        <f>IF(B236="","",IFERROR(INDEX('المشروعات'!$B$5:$B$304,MATCH(B236,'المشروعات'!$A$5:$A$304,0)),""))</f>
        <v/>
      </c>
      <c r="D236" s="47" t="n"/>
      <c r="E236" s="40" t="n"/>
      <c r="F236" s="40" t="n"/>
      <c r="G236" s="40" t="n"/>
      <c r="H236" s="40" t="n"/>
      <c r="I236" s="40" t="n"/>
      <c r="J236" s="40" t="n"/>
      <c r="K236" s="40" t="n"/>
      <c r="L236" s="49">
        <f>IF(B236="","",IF(COUNTIF(E236:J236,"لا")&gt;0,"استلام بتحفظات ("&amp;COUNTIF(E236:J236,"لا")&amp;")","استلام كامل"))</f>
        <v/>
      </c>
    </row>
    <row r="237">
      <c r="A237" s="39">
        <f>IF(B237="","","SH-"&amp;TEXT(ROW()-4,"0000"))</f>
        <v/>
      </c>
      <c r="B237" s="50" t="n"/>
      <c r="C237" s="49">
        <f>IF(B237="","",IFERROR(INDEX('المشروعات'!$B$5:$B$304,MATCH(B237,'المشروعات'!$A$5:$A$304,0)),""))</f>
        <v/>
      </c>
      <c r="D237" s="47" t="n"/>
      <c r="E237" s="40" t="n"/>
      <c r="F237" s="40" t="n"/>
      <c r="G237" s="40" t="n"/>
      <c r="H237" s="40" t="n"/>
      <c r="I237" s="40" t="n"/>
      <c r="J237" s="40" t="n"/>
      <c r="K237" s="40" t="n"/>
      <c r="L237" s="49">
        <f>IF(B237="","",IF(COUNTIF(E237:J237,"لا")&gt;0,"استلام بتحفظات ("&amp;COUNTIF(E237:J237,"لا")&amp;")","استلام كامل"))</f>
        <v/>
      </c>
    </row>
    <row r="238">
      <c r="A238" s="39">
        <f>IF(B238="","","SH-"&amp;TEXT(ROW()-4,"0000"))</f>
        <v/>
      </c>
      <c r="B238" s="50" t="n"/>
      <c r="C238" s="49">
        <f>IF(B238="","",IFERROR(INDEX('المشروعات'!$B$5:$B$304,MATCH(B238,'المشروعات'!$A$5:$A$304,0)),""))</f>
        <v/>
      </c>
      <c r="D238" s="47" t="n"/>
      <c r="E238" s="40" t="n"/>
      <c r="F238" s="40" t="n"/>
      <c r="G238" s="40" t="n"/>
      <c r="H238" s="40" t="n"/>
      <c r="I238" s="40" t="n"/>
      <c r="J238" s="40" t="n"/>
      <c r="K238" s="40" t="n"/>
      <c r="L238" s="49">
        <f>IF(B238="","",IF(COUNTIF(E238:J238,"لا")&gt;0,"استلام بتحفظات ("&amp;COUNTIF(E238:J238,"لا")&amp;")","استلام كامل"))</f>
        <v/>
      </c>
    </row>
    <row r="239">
      <c r="A239" s="39">
        <f>IF(B239="","","SH-"&amp;TEXT(ROW()-4,"0000"))</f>
        <v/>
      </c>
      <c r="B239" s="50" t="n"/>
      <c r="C239" s="49">
        <f>IF(B239="","",IFERROR(INDEX('المشروعات'!$B$5:$B$304,MATCH(B239,'المشروعات'!$A$5:$A$304,0)),""))</f>
        <v/>
      </c>
      <c r="D239" s="47" t="n"/>
      <c r="E239" s="40" t="n"/>
      <c r="F239" s="40" t="n"/>
      <c r="G239" s="40" t="n"/>
      <c r="H239" s="40" t="n"/>
      <c r="I239" s="40" t="n"/>
      <c r="J239" s="40" t="n"/>
      <c r="K239" s="40" t="n"/>
      <c r="L239" s="49">
        <f>IF(B239="","",IF(COUNTIF(E239:J239,"لا")&gt;0,"استلام بتحفظات ("&amp;COUNTIF(E239:J239,"لا")&amp;")","استلام كامل"))</f>
        <v/>
      </c>
    </row>
    <row r="240">
      <c r="A240" s="39">
        <f>IF(B240="","","SH-"&amp;TEXT(ROW()-4,"0000"))</f>
        <v/>
      </c>
      <c r="B240" s="50" t="n"/>
      <c r="C240" s="49">
        <f>IF(B240="","",IFERROR(INDEX('المشروعات'!$B$5:$B$304,MATCH(B240,'المشروعات'!$A$5:$A$304,0)),""))</f>
        <v/>
      </c>
      <c r="D240" s="47" t="n"/>
      <c r="E240" s="40" t="n"/>
      <c r="F240" s="40" t="n"/>
      <c r="G240" s="40" t="n"/>
      <c r="H240" s="40" t="n"/>
      <c r="I240" s="40" t="n"/>
      <c r="J240" s="40" t="n"/>
      <c r="K240" s="40" t="n"/>
      <c r="L240" s="49">
        <f>IF(B240="","",IF(COUNTIF(E240:J240,"لا")&gt;0,"استلام بتحفظات ("&amp;COUNTIF(E240:J240,"لا")&amp;")","استلام كامل"))</f>
        <v/>
      </c>
    </row>
    <row r="241">
      <c r="A241" s="39">
        <f>IF(B241="","","SH-"&amp;TEXT(ROW()-4,"0000"))</f>
        <v/>
      </c>
      <c r="B241" s="50" t="n"/>
      <c r="C241" s="49">
        <f>IF(B241="","",IFERROR(INDEX('المشروعات'!$B$5:$B$304,MATCH(B241,'المشروعات'!$A$5:$A$304,0)),""))</f>
        <v/>
      </c>
      <c r="D241" s="47" t="n"/>
      <c r="E241" s="40" t="n"/>
      <c r="F241" s="40" t="n"/>
      <c r="G241" s="40" t="n"/>
      <c r="H241" s="40" t="n"/>
      <c r="I241" s="40" t="n"/>
      <c r="J241" s="40" t="n"/>
      <c r="K241" s="40" t="n"/>
      <c r="L241" s="49">
        <f>IF(B241="","",IF(COUNTIF(E241:J241,"لا")&gt;0,"استلام بتحفظات ("&amp;COUNTIF(E241:J241,"لا")&amp;")","استلام كامل"))</f>
        <v/>
      </c>
    </row>
    <row r="242">
      <c r="A242" s="39">
        <f>IF(B242="","","SH-"&amp;TEXT(ROW()-4,"0000"))</f>
        <v/>
      </c>
      <c r="B242" s="50" t="n"/>
      <c r="C242" s="49">
        <f>IF(B242="","",IFERROR(INDEX('المشروعات'!$B$5:$B$304,MATCH(B242,'المشروعات'!$A$5:$A$304,0)),""))</f>
        <v/>
      </c>
      <c r="D242" s="47" t="n"/>
      <c r="E242" s="40" t="n"/>
      <c r="F242" s="40" t="n"/>
      <c r="G242" s="40" t="n"/>
      <c r="H242" s="40" t="n"/>
      <c r="I242" s="40" t="n"/>
      <c r="J242" s="40" t="n"/>
      <c r="K242" s="40" t="n"/>
      <c r="L242" s="49">
        <f>IF(B242="","",IF(COUNTIF(E242:J242,"لا")&gt;0,"استلام بتحفظات ("&amp;COUNTIF(E242:J242,"لا")&amp;")","استلام كامل"))</f>
        <v/>
      </c>
    </row>
    <row r="243">
      <c r="A243" s="39">
        <f>IF(B243="","","SH-"&amp;TEXT(ROW()-4,"0000"))</f>
        <v/>
      </c>
      <c r="B243" s="50" t="n"/>
      <c r="C243" s="49">
        <f>IF(B243="","",IFERROR(INDEX('المشروعات'!$B$5:$B$304,MATCH(B243,'المشروعات'!$A$5:$A$304,0)),""))</f>
        <v/>
      </c>
      <c r="D243" s="47" t="n"/>
      <c r="E243" s="40" t="n"/>
      <c r="F243" s="40" t="n"/>
      <c r="G243" s="40" t="n"/>
      <c r="H243" s="40" t="n"/>
      <c r="I243" s="40" t="n"/>
      <c r="J243" s="40" t="n"/>
      <c r="K243" s="40" t="n"/>
      <c r="L243" s="49">
        <f>IF(B243="","",IF(COUNTIF(E243:J243,"لا")&gt;0,"استلام بتحفظات ("&amp;COUNTIF(E243:J243,"لا")&amp;")","استلام كامل"))</f>
        <v/>
      </c>
    </row>
    <row r="244">
      <c r="A244" s="39">
        <f>IF(B244="","","SH-"&amp;TEXT(ROW()-4,"0000"))</f>
        <v/>
      </c>
      <c r="B244" s="50" t="n"/>
      <c r="C244" s="49">
        <f>IF(B244="","",IFERROR(INDEX('المشروعات'!$B$5:$B$304,MATCH(B244,'المشروعات'!$A$5:$A$304,0)),""))</f>
        <v/>
      </c>
      <c r="D244" s="47" t="n"/>
      <c r="E244" s="40" t="n"/>
      <c r="F244" s="40" t="n"/>
      <c r="G244" s="40" t="n"/>
      <c r="H244" s="40" t="n"/>
      <c r="I244" s="40" t="n"/>
      <c r="J244" s="40" t="n"/>
      <c r="K244" s="40" t="n"/>
      <c r="L244" s="49">
        <f>IF(B244="","",IF(COUNTIF(E244:J244,"لا")&gt;0,"استلام بتحفظات ("&amp;COUNTIF(E244:J244,"لا")&amp;")","استلام كامل"))</f>
        <v/>
      </c>
    </row>
    <row r="245">
      <c r="A245" s="39">
        <f>IF(B245="","","SH-"&amp;TEXT(ROW()-4,"0000"))</f>
        <v/>
      </c>
      <c r="B245" s="50" t="n"/>
      <c r="C245" s="49">
        <f>IF(B245="","",IFERROR(INDEX('المشروعات'!$B$5:$B$304,MATCH(B245,'المشروعات'!$A$5:$A$304,0)),""))</f>
        <v/>
      </c>
      <c r="D245" s="47" t="n"/>
      <c r="E245" s="40" t="n"/>
      <c r="F245" s="40" t="n"/>
      <c r="G245" s="40" t="n"/>
      <c r="H245" s="40" t="n"/>
      <c r="I245" s="40" t="n"/>
      <c r="J245" s="40" t="n"/>
      <c r="K245" s="40" t="n"/>
      <c r="L245" s="49">
        <f>IF(B245="","",IF(COUNTIF(E245:J245,"لا")&gt;0,"استلام بتحفظات ("&amp;COUNTIF(E245:J245,"لا")&amp;")","استلام كامل"))</f>
        <v/>
      </c>
    </row>
    <row r="246">
      <c r="A246" s="39">
        <f>IF(B246="","","SH-"&amp;TEXT(ROW()-4,"0000"))</f>
        <v/>
      </c>
      <c r="B246" s="50" t="n"/>
      <c r="C246" s="49">
        <f>IF(B246="","",IFERROR(INDEX('المشروعات'!$B$5:$B$304,MATCH(B246,'المشروعات'!$A$5:$A$304,0)),""))</f>
        <v/>
      </c>
      <c r="D246" s="47" t="n"/>
      <c r="E246" s="40" t="n"/>
      <c r="F246" s="40" t="n"/>
      <c r="G246" s="40" t="n"/>
      <c r="H246" s="40" t="n"/>
      <c r="I246" s="40" t="n"/>
      <c r="J246" s="40" t="n"/>
      <c r="K246" s="40" t="n"/>
      <c r="L246" s="49">
        <f>IF(B246="","",IF(COUNTIF(E246:J246,"لا")&gt;0,"استلام بتحفظات ("&amp;COUNTIF(E246:J246,"لا")&amp;")","استلام كامل"))</f>
        <v/>
      </c>
    </row>
    <row r="247">
      <c r="A247" s="39">
        <f>IF(B247="","","SH-"&amp;TEXT(ROW()-4,"0000"))</f>
        <v/>
      </c>
      <c r="B247" s="50" t="n"/>
      <c r="C247" s="49">
        <f>IF(B247="","",IFERROR(INDEX('المشروعات'!$B$5:$B$304,MATCH(B247,'المشروعات'!$A$5:$A$304,0)),""))</f>
        <v/>
      </c>
      <c r="D247" s="47" t="n"/>
      <c r="E247" s="40" t="n"/>
      <c r="F247" s="40" t="n"/>
      <c r="G247" s="40" t="n"/>
      <c r="H247" s="40" t="n"/>
      <c r="I247" s="40" t="n"/>
      <c r="J247" s="40" t="n"/>
      <c r="K247" s="40" t="n"/>
      <c r="L247" s="49">
        <f>IF(B247="","",IF(COUNTIF(E247:J247,"لا")&gt;0,"استلام بتحفظات ("&amp;COUNTIF(E247:J247,"لا")&amp;")","استلام كامل"))</f>
        <v/>
      </c>
    </row>
    <row r="248">
      <c r="A248" s="39">
        <f>IF(B248="","","SH-"&amp;TEXT(ROW()-4,"0000"))</f>
        <v/>
      </c>
      <c r="B248" s="50" t="n"/>
      <c r="C248" s="49">
        <f>IF(B248="","",IFERROR(INDEX('المشروعات'!$B$5:$B$304,MATCH(B248,'المشروعات'!$A$5:$A$304,0)),""))</f>
        <v/>
      </c>
      <c r="D248" s="47" t="n"/>
      <c r="E248" s="40" t="n"/>
      <c r="F248" s="40" t="n"/>
      <c r="G248" s="40" t="n"/>
      <c r="H248" s="40" t="n"/>
      <c r="I248" s="40" t="n"/>
      <c r="J248" s="40" t="n"/>
      <c r="K248" s="40" t="n"/>
      <c r="L248" s="49">
        <f>IF(B248="","",IF(COUNTIF(E248:J248,"لا")&gt;0,"استلام بتحفظات ("&amp;COUNTIF(E248:J248,"لا")&amp;")","استلام كامل"))</f>
        <v/>
      </c>
    </row>
    <row r="249">
      <c r="A249" s="39">
        <f>IF(B249="","","SH-"&amp;TEXT(ROW()-4,"0000"))</f>
        <v/>
      </c>
      <c r="B249" s="50" t="n"/>
      <c r="C249" s="49">
        <f>IF(B249="","",IFERROR(INDEX('المشروعات'!$B$5:$B$304,MATCH(B249,'المشروعات'!$A$5:$A$304,0)),""))</f>
        <v/>
      </c>
      <c r="D249" s="47" t="n"/>
      <c r="E249" s="40" t="n"/>
      <c r="F249" s="40" t="n"/>
      <c r="G249" s="40" t="n"/>
      <c r="H249" s="40" t="n"/>
      <c r="I249" s="40" t="n"/>
      <c r="J249" s="40" t="n"/>
      <c r="K249" s="40" t="n"/>
      <c r="L249" s="49">
        <f>IF(B249="","",IF(COUNTIF(E249:J249,"لا")&gt;0,"استلام بتحفظات ("&amp;COUNTIF(E249:J249,"لا")&amp;")","استلام كامل"))</f>
        <v/>
      </c>
    </row>
    <row r="250">
      <c r="A250" s="39">
        <f>IF(B250="","","SH-"&amp;TEXT(ROW()-4,"0000"))</f>
        <v/>
      </c>
      <c r="B250" s="50" t="n"/>
      <c r="C250" s="49">
        <f>IF(B250="","",IFERROR(INDEX('المشروعات'!$B$5:$B$304,MATCH(B250,'المشروعات'!$A$5:$A$304,0)),""))</f>
        <v/>
      </c>
      <c r="D250" s="47" t="n"/>
      <c r="E250" s="40" t="n"/>
      <c r="F250" s="40" t="n"/>
      <c r="G250" s="40" t="n"/>
      <c r="H250" s="40" t="n"/>
      <c r="I250" s="40" t="n"/>
      <c r="J250" s="40" t="n"/>
      <c r="K250" s="40" t="n"/>
      <c r="L250" s="49">
        <f>IF(B250="","",IF(COUNTIF(E250:J250,"لا")&gt;0,"استلام بتحفظات ("&amp;COUNTIF(E250:J250,"لا")&amp;")","استلام كامل"))</f>
        <v/>
      </c>
    </row>
    <row r="251">
      <c r="A251" s="39">
        <f>IF(B251="","","SH-"&amp;TEXT(ROW()-4,"0000"))</f>
        <v/>
      </c>
      <c r="B251" s="50" t="n"/>
      <c r="C251" s="49">
        <f>IF(B251="","",IFERROR(INDEX('المشروعات'!$B$5:$B$304,MATCH(B251,'المشروعات'!$A$5:$A$304,0)),""))</f>
        <v/>
      </c>
      <c r="D251" s="47" t="n"/>
      <c r="E251" s="40" t="n"/>
      <c r="F251" s="40" t="n"/>
      <c r="G251" s="40" t="n"/>
      <c r="H251" s="40" t="n"/>
      <c r="I251" s="40" t="n"/>
      <c r="J251" s="40" t="n"/>
      <c r="K251" s="40" t="n"/>
      <c r="L251" s="49">
        <f>IF(B251="","",IF(COUNTIF(E251:J251,"لا")&gt;0,"استلام بتحفظات ("&amp;COUNTIF(E251:J251,"لا")&amp;")","استلام كامل"))</f>
        <v/>
      </c>
    </row>
    <row r="252">
      <c r="A252" s="39">
        <f>IF(B252="","","SH-"&amp;TEXT(ROW()-4,"0000"))</f>
        <v/>
      </c>
      <c r="B252" s="50" t="n"/>
      <c r="C252" s="49">
        <f>IF(B252="","",IFERROR(INDEX('المشروعات'!$B$5:$B$304,MATCH(B252,'المشروعات'!$A$5:$A$304,0)),""))</f>
        <v/>
      </c>
      <c r="D252" s="47" t="n"/>
      <c r="E252" s="40" t="n"/>
      <c r="F252" s="40" t="n"/>
      <c r="G252" s="40" t="n"/>
      <c r="H252" s="40" t="n"/>
      <c r="I252" s="40" t="n"/>
      <c r="J252" s="40" t="n"/>
      <c r="K252" s="40" t="n"/>
      <c r="L252" s="49">
        <f>IF(B252="","",IF(COUNTIF(E252:J252,"لا")&gt;0,"استلام بتحفظات ("&amp;COUNTIF(E252:J252,"لا")&amp;")","استلام كامل"))</f>
        <v/>
      </c>
    </row>
    <row r="253">
      <c r="A253" s="39">
        <f>IF(B253="","","SH-"&amp;TEXT(ROW()-4,"0000"))</f>
        <v/>
      </c>
      <c r="B253" s="50" t="n"/>
      <c r="C253" s="49">
        <f>IF(B253="","",IFERROR(INDEX('المشروعات'!$B$5:$B$304,MATCH(B253,'المشروعات'!$A$5:$A$304,0)),""))</f>
        <v/>
      </c>
      <c r="D253" s="47" t="n"/>
      <c r="E253" s="40" t="n"/>
      <c r="F253" s="40" t="n"/>
      <c r="G253" s="40" t="n"/>
      <c r="H253" s="40" t="n"/>
      <c r="I253" s="40" t="n"/>
      <c r="J253" s="40" t="n"/>
      <c r="K253" s="40" t="n"/>
      <c r="L253" s="49">
        <f>IF(B253="","",IF(COUNTIF(E253:J253,"لا")&gt;0,"استلام بتحفظات ("&amp;COUNTIF(E253:J253,"لا")&amp;")","استلام كامل"))</f>
        <v/>
      </c>
    </row>
    <row r="254">
      <c r="A254" s="39">
        <f>IF(B254="","","SH-"&amp;TEXT(ROW()-4,"0000"))</f>
        <v/>
      </c>
      <c r="B254" s="50" t="n"/>
      <c r="C254" s="49">
        <f>IF(B254="","",IFERROR(INDEX('المشروعات'!$B$5:$B$304,MATCH(B254,'المشروعات'!$A$5:$A$304,0)),""))</f>
        <v/>
      </c>
      <c r="D254" s="47" t="n"/>
      <c r="E254" s="40" t="n"/>
      <c r="F254" s="40" t="n"/>
      <c r="G254" s="40" t="n"/>
      <c r="H254" s="40" t="n"/>
      <c r="I254" s="40" t="n"/>
      <c r="J254" s="40" t="n"/>
      <c r="K254" s="40" t="n"/>
      <c r="L254" s="49">
        <f>IF(B254="","",IF(COUNTIF(E254:J254,"لا")&gt;0,"استلام بتحفظات ("&amp;COUNTIF(E254:J254,"لا")&amp;")","استلام كامل"))</f>
        <v/>
      </c>
    </row>
    <row r="255">
      <c r="A255" s="39">
        <f>IF(B255="","","SH-"&amp;TEXT(ROW()-4,"0000"))</f>
        <v/>
      </c>
      <c r="B255" s="50" t="n"/>
      <c r="C255" s="49">
        <f>IF(B255="","",IFERROR(INDEX('المشروعات'!$B$5:$B$304,MATCH(B255,'المشروعات'!$A$5:$A$304,0)),""))</f>
        <v/>
      </c>
      <c r="D255" s="47" t="n"/>
      <c r="E255" s="40" t="n"/>
      <c r="F255" s="40" t="n"/>
      <c r="G255" s="40" t="n"/>
      <c r="H255" s="40" t="n"/>
      <c r="I255" s="40" t="n"/>
      <c r="J255" s="40" t="n"/>
      <c r="K255" s="40" t="n"/>
      <c r="L255" s="49">
        <f>IF(B255="","",IF(COUNTIF(E255:J255,"لا")&gt;0,"استلام بتحفظات ("&amp;COUNTIF(E255:J255,"لا")&amp;")","استلام كامل"))</f>
        <v/>
      </c>
    </row>
    <row r="256">
      <c r="A256" s="39">
        <f>IF(B256="","","SH-"&amp;TEXT(ROW()-4,"0000"))</f>
        <v/>
      </c>
      <c r="B256" s="50" t="n"/>
      <c r="C256" s="49">
        <f>IF(B256="","",IFERROR(INDEX('المشروعات'!$B$5:$B$304,MATCH(B256,'المشروعات'!$A$5:$A$304,0)),""))</f>
        <v/>
      </c>
      <c r="D256" s="47" t="n"/>
      <c r="E256" s="40" t="n"/>
      <c r="F256" s="40" t="n"/>
      <c r="G256" s="40" t="n"/>
      <c r="H256" s="40" t="n"/>
      <c r="I256" s="40" t="n"/>
      <c r="J256" s="40" t="n"/>
      <c r="K256" s="40" t="n"/>
      <c r="L256" s="49">
        <f>IF(B256="","",IF(COUNTIF(E256:J256,"لا")&gt;0,"استلام بتحفظات ("&amp;COUNTIF(E256:J256,"لا")&amp;")","استلام كامل"))</f>
        <v/>
      </c>
    </row>
    <row r="257">
      <c r="A257" s="39">
        <f>IF(B257="","","SH-"&amp;TEXT(ROW()-4,"0000"))</f>
        <v/>
      </c>
      <c r="B257" s="50" t="n"/>
      <c r="C257" s="49">
        <f>IF(B257="","",IFERROR(INDEX('المشروعات'!$B$5:$B$304,MATCH(B257,'المشروعات'!$A$5:$A$304,0)),""))</f>
        <v/>
      </c>
      <c r="D257" s="47" t="n"/>
      <c r="E257" s="40" t="n"/>
      <c r="F257" s="40" t="n"/>
      <c r="G257" s="40" t="n"/>
      <c r="H257" s="40" t="n"/>
      <c r="I257" s="40" t="n"/>
      <c r="J257" s="40" t="n"/>
      <c r="K257" s="40" t="n"/>
      <c r="L257" s="49">
        <f>IF(B257="","",IF(COUNTIF(E257:J257,"لا")&gt;0,"استلام بتحفظات ("&amp;COUNTIF(E257:J257,"لا")&amp;")","استلام كامل"))</f>
        <v/>
      </c>
    </row>
    <row r="258">
      <c r="A258" s="39">
        <f>IF(B258="","","SH-"&amp;TEXT(ROW()-4,"0000"))</f>
        <v/>
      </c>
      <c r="B258" s="50" t="n"/>
      <c r="C258" s="49">
        <f>IF(B258="","",IFERROR(INDEX('المشروعات'!$B$5:$B$304,MATCH(B258,'المشروعات'!$A$5:$A$304,0)),""))</f>
        <v/>
      </c>
      <c r="D258" s="47" t="n"/>
      <c r="E258" s="40" t="n"/>
      <c r="F258" s="40" t="n"/>
      <c r="G258" s="40" t="n"/>
      <c r="H258" s="40" t="n"/>
      <c r="I258" s="40" t="n"/>
      <c r="J258" s="40" t="n"/>
      <c r="K258" s="40" t="n"/>
      <c r="L258" s="49">
        <f>IF(B258="","",IF(COUNTIF(E258:J258,"لا")&gt;0,"استلام بتحفظات ("&amp;COUNTIF(E258:J258,"لا")&amp;")","استلام كامل"))</f>
        <v/>
      </c>
    </row>
    <row r="259">
      <c r="A259" s="39">
        <f>IF(B259="","","SH-"&amp;TEXT(ROW()-4,"0000"))</f>
        <v/>
      </c>
      <c r="B259" s="50" t="n"/>
      <c r="C259" s="49">
        <f>IF(B259="","",IFERROR(INDEX('المشروعات'!$B$5:$B$304,MATCH(B259,'المشروعات'!$A$5:$A$304,0)),""))</f>
        <v/>
      </c>
      <c r="D259" s="47" t="n"/>
      <c r="E259" s="40" t="n"/>
      <c r="F259" s="40" t="n"/>
      <c r="G259" s="40" t="n"/>
      <c r="H259" s="40" t="n"/>
      <c r="I259" s="40" t="n"/>
      <c r="J259" s="40" t="n"/>
      <c r="K259" s="40" t="n"/>
      <c r="L259" s="49">
        <f>IF(B259="","",IF(COUNTIF(E259:J259,"لا")&gt;0,"استلام بتحفظات ("&amp;COUNTIF(E259:J259,"لا")&amp;")","استلام كامل"))</f>
        <v/>
      </c>
    </row>
    <row r="260">
      <c r="A260" s="39">
        <f>IF(B260="","","SH-"&amp;TEXT(ROW()-4,"0000"))</f>
        <v/>
      </c>
      <c r="B260" s="50" t="n"/>
      <c r="C260" s="49">
        <f>IF(B260="","",IFERROR(INDEX('المشروعات'!$B$5:$B$304,MATCH(B260,'المشروعات'!$A$5:$A$304,0)),""))</f>
        <v/>
      </c>
      <c r="D260" s="47" t="n"/>
      <c r="E260" s="40" t="n"/>
      <c r="F260" s="40" t="n"/>
      <c r="G260" s="40" t="n"/>
      <c r="H260" s="40" t="n"/>
      <c r="I260" s="40" t="n"/>
      <c r="J260" s="40" t="n"/>
      <c r="K260" s="40" t="n"/>
      <c r="L260" s="49">
        <f>IF(B260="","",IF(COUNTIF(E260:J260,"لا")&gt;0,"استلام بتحفظات ("&amp;COUNTIF(E260:J260,"لا")&amp;")","استلام كامل"))</f>
        <v/>
      </c>
    </row>
    <row r="261">
      <c r="A261" s="39">
        <f>IF(B261="","","SH-"&amp;TEXT(ROW()-4,"0000"))</f>
        <v/>
      </c>
      <c r="B261" s="50" t="n"/>
      <c r="C261" s="49">
        <f>IF(B261="","",IFERROR(INDEX('المشروعات'!$B$5:$B$304,MATCH(B261,'المشروعات'!$A$5:$A$304,0)),""))</f>
        <v/>
      </c>
      <c r="D261" s="47" t="n"/>
      <c r="E261" s="40" t="n"/>
      <c r="F261" s="40" t="n"/>
      <c r="G261" s="40" t="n"/>
      <c r="H261" s="40" t="n"/>
      <c r="I261" s="40" t="n"/>
      <c r="J261" s="40" t="n"/>
      <c r="K261" s="40" t="n"/>
      <c r="L261" s="49">
        <f>IF(B261="","",IF(COUNTIF(E261:J261,"لا")&gt;0,"استلام بتحفظات ("&amp;COUNTIF(E261:J261,"لا")&amp;")","استلام كامل"))</f>
        <v/>
      </c>
    </row>
    <row r="262">
      <c r="A262" s="39">
        <f>IF(B262="","","SH-"&amp;TEXT(ROW()-4,"0000"))</f>
        <v/>
      </c>
      <c r="B262" s="50" t="n"/>
      <c r="C262" s="49">
        <f>IF(B262="","",IFERROR(INDEX('المشروعات'!$B$5:$B$304,MATCH(B262,'المشروعات'!$A$5:$A$304,0)),""))</f>
        <v/>
      </c>
      <c r="D262" s="47" t="n"/>
      <c r="E262" s="40" t="n"/>
      <c r="F262" s="40" t="n"/>
      <c r="G262" s="40" t="n"/>
      <c r="H262" s="40" t="n"/>
      <c r="I262" s="40" t="n"/>
      <c r="J262" s="40" t="n"/>
      <c r="K262" s="40" t="n"/>
      <c r="L262" s="49">
        <f>IF(B262="","",IF(COUNTIF(E262:J262,"لا")&gt;0,"استلام بتحفظات ("&amp;COUNTIF(E262:J262,"لا")&amp;")","استلام كامل"))</f>
        <v/>
      </c>
    </row>
    <row r="263">
      <c r="A263" s="39">
        <f>IF(B263="","","SH-"&amp;TEXT(ROW()-4,"0000"))</f>
        <v/>
      </c>
      <c r="B263" s="50" t="n"/>
      <c r="C263" s="49">
        <f>IF(B263="","",IFERROR(INDEX('المشروعات'!$B$5:$B$304,MATCH(B263,'المشروعات'!$A$5:$A$304,0)),""))</f>
        <v/>
      </c>
      <c r="D263" s="47" t="n"/>
      <c r="E263" s="40" t="n"/>
      <c r="F263" s="40" t="n"/>
      <c r="G263" s="40" t="n"/>
      <c r="H263" s="40" t="n"/>
      <c r="I263" s="40" t="n"/>
      <c r="J263" s="40" t="n"/>
      <c r="K263" s="40" t="n"/>
      <c r="L263" s="49">
        <f>IF(B263="","",IF(COUNTIF(E263:J263,"لا")&gt;0,"استلام بتحفظات ("&amp;COUNTIF(E263:J263,"لا")&amp;")","استلام كامل"))</f>
        <v/>
      </c>
    </row>
    <row r="264">
      <c r="A264" s="39">
        <f>IF(B264="","","SH-"&amp;TEXT(ROW()-4,"0000"))</f>
        <v/>
      </c>
      <c r="B264" s="50" t="n"/>
      <c r="C264" s="49">
        <f>IF(B264="","",IFERROR(INDEX('المشروعات'!$B$5:$B$304,MATCH(B264,'المشروعات'!$A$5:$A$304,0)),""))</f>
        <v/>
      </c>
      <c r="D264" s="47" t="n"/>
      <c r="E264" s="40" t="n"/>
      <c r="F264" s="40" t="n"/>
      <c r="G264" s="40" t="n"/>
      <c r="H264" s="40" t="n"/>
      <c r="I264" s="40" t="n"/>
      <c r="J264" s="40" t="n"/>
      <c r="K264" s="40" t="n"/>
      <c r="L264" s="49">
        <f>IF(B264="","",IF(COUNTIF(E264:J264,"لا")&gt;0,"استلام بتحفظات ("&amp;COUNTIF(E264:J264,"لا")&amp;")","استلام كامل"))</f>
        <v/>
      </c>
    </row>
    <row r="265">
      <c r="A265" s="39">
        <f>IF(B265="","","SH-"&amp;TEXT(ROW()-4,"0000"))</f>
        <v/>
      </c>
      <c r="B265" s="50" t="n"/>
      <c r="C265" s="49">
        <f>IF(B265="","",IFERROR(INDEX('المشروعات'!$B$5:$B$304,MATCH(B265,'المشروعات'!$A$5:$A$304,0)),""))</f>
        <v/>
      </c>
      <c r="D265" s="47" t="n"/>
      <c r="E265" s="40" t="n"/>
      <c r="F265" s="40" t="n"/>
      <c r="G265" s="40" t="n"/>
      <c r="H265" s="40" t="n"/>
      <c r="I265" s="40" t="n"/>
      <c r="J265" s="40" t="n"/>
      <c r="K265" s="40" t="n"/>
      <c r="L265" s="49">
        <f>IF(B265="","",IF(COUNTIF(E265:J265,"لا")&gt;0,"استلام بتحفظات ("&amp;COUNTIF(E265:J265,"لا")&amp;")","استلام كامل"))</f>
        <v/>
      </c>
    </row>
    <row r="266">
      <c r="A266" s="39">
        <f>IF(B266="","","SH-"&amp;TEXT(ROW()-4,"0000"))</f>
        <v/>
      </c>
      <c r="B266" s="50" t="n"/>
      <c r="C266" s="49">
        <f>IF(B266="","",IFERROR(INDEX('المشروعات'!$B$5:$B$304,MATCH(B266,'المشروعات'!$A$5:$A$304,0)),""))</f>
        <v/>
      </c>
      <c r="D266" s="47" t="n"/>
      <c r="E266" s="40" t="n"/>
      <c r="F266" s="40" t="n"/>
      <c r="G266" s="40" t="n"/>
      <c r="H266" s="40" t="n"/>
      <c r="I266" s="40" t="n"/>
      <c r="J266" s="40" t="n"/>
      <c r="K266" s="40" t="n"/>
      <c r="L266" s="49">
        <f>IF(B266="","",IF(COUNTIF(E266:J266,"لا")&gt;0,"استلام بتحفظات ("&amp;COUNTIF(E266:J266,"لا")&amp;")","استلام كامل"))</f>
        <v/>
      </c>
    </row>
    <row r="267">
      <c r="A267" s="39">
        <f>IF(B267="","","SH-"&amp;TEXT(ROW()-4,"0000"))</f>
        <v/>
      </c>
      <c r="B267" s="50" t="n"/>
      <c r="C267" s="49">
        <f>IF(B267="","",IFERROR(INDEX('المشروعات'!$B$5:$B$304,MATCH(B267,'المشروعات'!$A$5:$A$304,0)),""))</f>
        <v/>
      </c>
      <c r="D267" s="47" t="n"/>
      <c r="E267" s="40" t="n"/>
      <c r="F267" s="40" t="n"/>
      <c r="G267" s="40" t="n"/>
      <c r="H267" s="40" t="n"/>
      <c r="I267" s="40" t="n"/>
      <c r="J267" s="40" t="n"/>
      <c r="K267" s="40" t="n"/>
      <c r="L267" s="49">
        <f>IF(B267="","",IF(COUNTIF(E267:J267,"لا")&gt;0,"استلام بتحفظات ("&amp;COUNTIF(E267:J267,"لا")&amp;")","استلام كامل"))</f>
        <v/>
      </c>
    </row>
    <row r="268">
      <c r="A268" s="39">
        <f>IF(B268="","","SH-"&amp;TEXT(ROW()-4,"0000"))</f>
        <v/>
      </c>
      <c r="B268" s="50" t="n"/>
      <c r="C268" s="49">
        <f>IF(B268="","",IFERROR(INDEX('المشروعات'!$B$5:$B$304,MATCH(B268,'المشروعات'!$A$5:$A$304,0)),""))</f>
        <v/>
      </c>
      <c r="D268" s="47" t="n"/>
      <c r="E268" s="40" t="n"/>
      <c r="F268" s="40" t="n"/>
      <c r="G268" s="40" t="n"/>
      <c r="H268" s="40" t="n"/>
      <c r="I268" s="40" t="n"/>
      <c r="J268" s="40" t="n"/>
      <c r="K268" s="40" t="n"/>
      <c r="L268" s="49">
        <f>IF(B268="","",IF(COUNTIF(E268:J268,"لا")&gt;0,"استلام بتحفظات ("&amp;COUNTIF(E268:J268,"لا")&amp;")","استلام كامل"))</f>
        <v/>
      </c>
    </row>
    <row r="269">
      <c r="A269" s="39">
        <f>IF(B269="","","SH-"&amp;TEXT(ROW()-4,"0000"))</f>
        <v/>
      </c>
      <c r="B269" s="50" t="n"/>
      <c r="C269" s="49">
        <f>IF(B269="","",IFERROR(INDEX('المشروعات'!$B$5:$B$304,MATCH(B269,'المشروعات'!$A$5:$A$304,0)),""))</f>
        <v/>
      </c>
      <c r="D269" s="47" t="n"/>
      <c r="E269" s="40" t="n"/>
      <c r="F269" s="40" t="n"/>
      <c r="G269" s="40" t="n"/>
      <c r="H269" s="40" t="n"/>
      <c r="I269" s="40" t="n"/>
      <c r="J269" s="40" t="n"/>
      <c r="K269" s="40" t="n"/>
      <c r="L269" s="49">
        <f>IF(B269="","",IF(COUNTIF(E269:J269,"لا")&gt;0,"استلام بتحفظات ("&amp;COUNTIF(E269:J269,"لا")&amp;")","استلام كامل"))</f>
        <v/>
      </c>
    </row>
    <row r="270">
      <c r="A270" s="39">
        <f>IF(B270="","","SH-"&amp;TEXT(ROW()-4,"0000"))</f>
        <v/>
      </c>
      <c r="B270" s="50" t="n"/>
      <c r="C270" s="49">
        <f>IF(B270="","",IFERROR(INDEX('المشروعات'!$B$5:$B$304,MATCH(B270,'المشروعات'!$A$5:$A$304,0)),""))</f>
        <v/>
      </c>
      <c r="D270" s="47" t="n"/>
      <c r="E270" s="40" t="n"/>
      <c r="F270" s="40" t="n"/>
      <c r="G270" s="40" t="n"/>
      <c r="H270" s="40" t="n"/>
      <c r="I270" s="40" t="n"/>
      <c r="J270" s="40" t="n"/>
      <c r="K270" s="40" t="n"/>
      <c r="L270" s="49">
        <f>IF(B270="","",IF(COUNTIF(E270:J270,"لا")&gt;0,"استلام بتحفظات ("&amp;COUNTIF(E270:J270,"لا")&amp;")","استلام كامل"))</f>
        <v/>
      </c>
    </row>
    <row r="271">
      <c r="A271" s="39">
        <f>IF(B271="","","SH-"&amp;TEXT(ROW()-4,"0000"))</f>
        <v/>
      </c>
      <c r="B271" s="50" t="n"/>
      <c r="C271" s="49">
        <f>IF(B271="","",IFERROR(INDEX('المشروعات'!$B$5:$B$304,MATCH(B271,'المشروعات'!$A$5:$A$304,0)),""))</f>
        <v/>
      </c>
      <c r="D271" s="47" t="n"/>
      <c r="E271" s="40" t="n"/>
      <c r="F271" s="40" t="n"/>
      <c r="G271" s="40" t="n"/>
      <c r="H271" s="40" t="n"/>
      <c r="I271" s="40" t="n"/>
      <c r="J271" s="40" t="n"/>
      <c r="K271" s="40" t="n"/>
      <c r="L271" s="49">
        <f>IF(B271="","",IF(COUNTIF(E271:J271,"لا")&gt;0,"استلام بتحفظات ("&amp;COUNTIF(E271:J271,"لا")&amp;")","استلام كامل"))</f>
        <v/>
      </c>
    </row>
    <row r="272">
      <c r="A272" s="39">
        <f>IF(B272="","","SH-"&amp;TEXT(ROW()-4,"0000"))</f>
        <v/>
      </c>
      <c r="B272" s="50" t="n"/>
      <c r="C272" s="49">
        <f>IF(B272="","",IFERROR(INDEX('المشروعات'!$B$5:$B$304,MATCH(B272,'المشروعات'!$A$5:$A$304,0)),""))</f>
        <v/>
      </c>
      <c r="D272" s="47" t="n"/>
      <c r="E272" s="40" t="n"/>
      <c r="F272" s="40" t="n"/>
      <c r="G272" s="40" t="n"/>
      <c r="H272" s="40" t="n"/>
      <c r="I272" s="40" t="n"/>
      <c r="J272" s="40" t="n"/>
      <c r="K272" s="40" t="n"/>
      <c r="L272" s="49">
        <f>IF(B272="","",IF(COUNTIF(E272:J272,"لا")&gt;0,"استلام بتحفظات ("&amp;COUNTIF(E272:J272,"لا")&amp;")","استلام كامل"))</f>
        <v/>
      </c>
    </row>
    <row r="273">
      <c r="A273" s="39">
        <f>IF(B273="","","SH-"&amp;TEXT(ROW()-4,"0000"))</f>
        <v/>
      </c>
      <c r="B273" s="50" t="n"/>
      <c r="C273" s="49">
        <f>IF(B273="","",IFERROR(INDEX('المشروعات'!$B$5:$B$304,MATCH(B273,'المشروعات'!$A$5:$A$304,0)),""))</f>
        <v/>
      </c>
      <c r="D273" s="47" t="n"/>
      <c r="E273" s="40" t="n"/>
      <c r="F273" s="40" t="n"/>
      <c r="G273" s="40" t="n"/>
      <c r="H273" s="40" t="n"/>
      <c r="I273" s="40" t="n"/>
      <c r="J273" s="40" t="n"/>
      <c r="K273" s="40" t="n"/>
      <c r="L273" s="49">
        <f>IF(B273="","",IF(COUNTIF(E273:J273,"لا")&gt;0,"استلام بتحفظات ("&amp;COUNTIF(E273:J273,"لا")&amp;")","استلام كامل"))</f>
        <v/>
      </c>
    </row>
    <row r="274">
      <c r="A274" s="39">
        <f>IF(B274="","","SH-"&amp;TEXT(ROW()-4,"0000"))</f>
        <v/>
      </c>
      <c r="B274" s="50" t="n"/>
      <c r="C274" s="49">
        <f>IF(B274="","",IFERROR(INDEX('المشروعات'!$B$5:$B$304,MATCH(B274,'المشروعات'!$A$5:$A$304,0)),""))</f>
        <v/>
      </c>
      <c r="D274" s="47" t="n"/>
      <c r="E274" s="40" t="n"/>
      <c r="F274" s="40" t="n"/>
      <c r="G274" s="40" t="n"/>
      <c r="H274" s="40" t="n"/>
      <c r="I274" s="40" t="n"/>
      <c r="J274" s="40" t="n"/>
      <c r="K274" s="40" t="n"/>
      <c r="L274" s="49">
        <f>IF(B274="","",IF(COUNTIF(E274:J274,"لا")&gt;0,"استلام بتحفظات ("&amp;COUNTIF(E274:J274,"لا")&amp;")","استلام كامل"))</f>
        <v/>
      </c>
    </row>
    <row r="275">
      <c r="A275" s="39">
        <f>IF(B275="","","SH-"&amp;TEXT(ROW()-4,"0000"))</f>
        <v/>
      </c>
      <c r="B275" s="50" t="n"/>
      <c r="C275" s="49">
        <f>IF(B275="","",IFERROR(INDEX('المشروعات'!$B$5:$B$304,MATCH(B275,'المشروعات'!$A$5:$A$304,0)),""))</f>
        <v/>
      </c>
      <c r="D275" s="47" t="n"/>
      <c r="E275" s="40" t="n"/>
      <c r="F275" s="40" t="n"/>
      <c r="G275" s="40" t="n"/>
      <c r="H275" s="40" t="n"/>
      <c r="I275" s="40" t="n"/>
      <c r="J275" s="40" t="n"/>
      <c r="K275" s="40" t="n"/>
      <c r="L275" s="49">
        <f>IF(B275="","",IF(COUNTIF(E275:J275,"لا")&gt;0,"استلام بتحفظات ("&amp;COUNTIF(E275:J275,"لا")&amp;")","استلام كامل"))</f>
        <v/>
      </c>
    </row>
    <row r="276">
      <c r="A276" s="39">
        <f>IF(B276="","","SH-"&amp;TEXT(ROW()-4,"0000"))</f>
        <v/>
      </c>
      <c r="B276" s="50" t="n"/>
      <c r="C276" s="49">
        <f>IF(B276="","",IFERROR(INDEX('المشروعات'!$B$5:$B$304,MATCH(B276,'المشروعات'!$A$5:$A$304,0)),""))</f>
        <v/>
      </c>
      <c r="D276" s="47" t="n"/>
      <c r="E276" s="40" t="n"/>
      <c r="F276" s="40" t="n"/>
      <c r="G276" s="40" t="n"/>
      <c r="H276" s="40" t="n"/>
      <c r="I276" s="40" t="n"/>
      <c r="J276" s="40" t="n"/>
      <c r="K276" s="40" t="n"/>
      <c r="L276" s="49">
        <f>IF(B276="","",IF(COUNTIF(E276:J276,"لا")&gt;0,"استلام بتحفظات ("&amp;COUNTIF(E276:J276,"لا")&amp;")","استلام كامل"))</f>
        <v/>
      </c>
    </row>
    <row r="277">
      <c r="A277" s="39">
        <f>IF(B277="","","SH-"&amp;TEXT(ROW()-4,"0000"))</f>
        <v/>
      </c>
      <c r="B277" s="50" t="n"/>
      <c r="C277" s="49">
        <f>IF(B277="","",IFERROR(INDEX('المشروعات'!$B$5:$B$304,MATCH(B277,'المشروعات'!$A$5:$A$304,0)),""))</f>
        <v/>
      </c>
      <c r="D277" s="47" t="n"/>
      <c r="E277" s="40" t="n"/>
      <c r="F277" s="40" t="n"/>
      <c r="G277" s="40" t="n"/>
      <c r="H277" s="40" t="n"/>
      <c r="I277" s="40" t="n"/>
      <c r="J277" s="40" t="n"/>
      <c r="K277" s="40" t="n"/>
      <c r="L277" s="49">
        <f>IF(B277="","",IF(COUNTIF(E277:J277,"لا")&gt;0,"استلام بتحفظات ("&amp;COUNTIF(E277:J277,"لا")&amp;")","استلام كامل"))</f>
        <v/>
      </c>
    </row>
    <row r="278">
      <c r="A278" s="39">
        <f>IF(B278="","","SH-"&amp;TEXT(ROW()-4,"0000"))</f>
        <v/>
      </c>
      <c r="B278" s="50" t="n"/>
      <c r="C278" s="49">
        <f>IF(B278="","",IFERROR(INDEX('المشروعات'!$B$5:$B$304,MATCH(B278,'المشروعات'!$A$5:$A$304,0)),""))</f>
        <v/>
      </c>
      <c r="D278" s="47" t="n"/>
      <c r="E278" s="40" t="n"/>
      <c r="F278" s="40" t="n"/>
      <c r="G278" s="40" t="n"/>
      <c r="H278" s="40" t="n"/>
      <c r="I278" s="40" t="n"/>
      <c r="J278" s="40" t="n"/>
      <c r="K278" s="40" t="n"/>
      <c r="L278" s="49">
        <f>IF(B278="","",IF(COUNTIF(E278:J278,"لا")&gt;0,"استلام بتحفظات ("&amp;COUNTIF(E278:J278,"لا")&amp;")","استلام كامل"))</f>
        <v/>
      </c>
    </row>
    <row r="279">
      <c r="A279" s="39">
        <f>IF(B279="","","SH-"&amp;TEXT(ROW()-4,"0000"))</f>
        <v/>
      </c>
      <c r="B279" s="50" t="n"/>
      <c r="C279" s="49">
        <f>IF(B279="","",IFERROR(INDEX('المشروعات'!$B$5:$B$304,MATCH(B279,'المشروعات'!$A$5:$A$304,0)),""))</f>
        <v/>
      </c>
      <c r="D279" s="47" t="n"/>
      <c r="E279" s="40" t="n"/>
      <c r="F279" s="40" t="n"/>
      <c r="G279" s="40" t="n"/>
      <c r="H279" s="40" t="n"/>
      <c r="I279" s="40" t="n"/>
      <c r="J279" s="40" t="n"/>
      <c r="K279" s="40" t="n"/>
      <c r="L279" s="49">
        <f>IF(B279="","",IF(COUNTIF(E279:J279,"لا")&gt;0,"استلام بتحفظات ("&amp;COUNTIF(E279:J279,"لا")&amp;")","استلام كامل"))</f>
        <v/>
      </c>
    </row>
    <row r="280">
      <c r="A280" s="39">
        <f>IF(B280="","","SH-"&amp;TEXT(ROW()-4,"0000"))</f>
        <v/>
      </c>
      <c r="B280" s="50" t="n"/>
      <c r="C280" s="49">
        <f>IF(B280="","",IFERROR(INDEX('المشروعات'!$B$5:$B$304,MATCH(B280,'المشروعات'!$A$5:$A$304,0)),""))</f>
        <v/>
      </c>
      <c r="D280" s="47" t="n"/>
      <c r="E280" s="40" t="n"/>
      <c r="F280" s="40" t="n"/>
      <c r="G280" s="40" t="n"/>
      <c r="H280" s="40" t="n"/>
      <c r="I280" s="40" t="n"/>
      <c r="J280" s="40" t="n"/>
      <c r="K280" s="40" t="n"/>
      <c r="L280" s="49">
        <f>IF(B280="","",IF(COUNTIF(E280:J280,"لا")&gt;0,"استلام بتحفظات ("&amp;COUNTIF(E280:J280,"لا")&amp;")","استلام كامل"))</f>
        <v/>
      </c>
    </row>
    <row r="281">
      <c r="A281" s="39">
        <f>IF(B281="","","SH-"&amp;TEXT(ROW()-4,"0000"))</f>
        <v/>
      </c>
      <c r="B281" s="50" t="n"/>
      <c r="C281" s="49">
        <f>IF(B281="","",IFERROR(INDEX('المشروعات'!$B$5:$B$304,MATCH(B281,'المشروعات'!$A$5:$A$304,0)),""))</f>
        <v/>
      </c>
      <c r="D281" s="47" t="n"/>
      <c r="E281" s="40" t="n"/>
      <c r="F281" s="40" t="n"/>
      <c r="G281" s="40" t="n"/>
      <c r="H281" s="40" t="n"/>
      <c r="I281" s="40" t="n"/>
      <c r="J281" s="40" t="n"/>
      <c r="K281" s="40" t="n"/>
      <c r="L281" s="49">
        <f>IF(B281="","",IF(COUNTIF(E281:J281,"لا")&gt;0,"استلام بتحفظات ("&amp;COUNTIF(E281:J281,"لا")&amp;")","استلام كامل"))</f>
        <v/>
      </c>
    </row>
    <row r="282">
      <c r="A282" s="39">
        <f>IF(B282="","","SH-"&amp;TEXT(ROW()-4,"0000"))</f>
        <v/>
      </c>
      <c r="B282" s="50" t="n"/>
      <c r="C282" s="49">
        <f>IF(B282="","",IFERROR(INDEX('المشروعات'!$B$5:$B$304,MATCH(B282,'المشروعات'!$A$5:$A$304,0)),""))</f>
        <v/>
      </c>
      <c r="D282" s="47" t="n"/>
      <c r="E282" s="40" t="n"/>
      <c r="F282" s="40" t="n"/>
      <c r="G282" s="40" t="n"/>
      <c r="H282" s="40" t="n"/>
      <c r="I282" s="40" t="n"/>
      <c r="J282" s="40" t="n"/>
      <c r="K282" s="40" t="n"/>
      <c r="L282" s="49">
        <f>IF(B282="","",IF(COUNTIF(E282:J282,"لا")&gt;0,"استلام بتحفظات ("&amp;COUNTIF(E282:J282,"لا")&amp;")","استلام كامل"))</f>
        <v/>
      </c>
    </row>
    <row r="283">
      <c r="A283" s="39">
        <f>IF(B283="","","SH-"&amp;TEXT(ROW()-4,"0000"))</f>
        <v/>
      </c>
      <c r="B283" s="50" t="n"/>
      <c r="C283" s="49">
        <f>IF(B283="","",IFERROR(INDEX('المشروعات'!$B$5:$B$304,MATCH(B283,'المشروعات'!$A$5:$A$304,0)),""))</f>
        <v/>
      </c>
      <c r="D283" s="47" t="n"/>
      <c r="E283" s="40" t="n"/>
      <c r="F283" s="40" t="n"/>
      <c r="G283" s="40" t="n"/>
      <c r="H283" s="40" t="n"/>
      <c r="I283" s="40" t="n"/>
      <c r="J283" s="40" t="n"/>
      <c r="K283" s="40" t="n"/>
      <c r="L283" s="49">
        <f>IF(B283="","",IF(COUNTIF(E283:J283,"لا")&gt;0,"استلام بتحفظات ("&amp;COUNTIF(E283:J283,"لا")&amp;")","استلام كامل"))</f>
        <v/>
      </c>
    </row>
    <row r="284">
      <c r="A284" s="39">
        <f>IF(B284="","","SH-"&amp;TEXT(ROW()-4,"0000"))</f>
        <v/>
      </c>
      <c r="B284" s="50" t="n"/>
      <c r="C284" s="49">
        <f>IF(B284="","",IFERROR(INDEX('المشروعات'!$B$5:$B$304,MATCH(B284,'المشروعات'!$A$5:$A$304,0)),""))</f>
        <v/>
      </c>
      <c r="D284" s="47" t="n"/>
      <c r="E284" s="40" t="n"/>
      <c r="F284" s="40" t="n"/>
      <c r="G284" s="40" t="n"/>
      <c r="H284" s="40" t="n"/>
      <c r="I284" s="40" t="n"/>
      <c r="J284" s="40" t="n"/>
      <c r="K284" s="40" t="n"/>
      <c r="L284" s="49">
        <f>IF(B284="","",IF(COUNTIF(E284:J284,"لا")&gt;0,"استلام بتحفظات ("&amp;COUNTIF(E284:J284,"لا")&amp;")","استلام كامل"))</f>
        <v/>
      </c>
    </row>
    <row r="285">
      <c r="A285" s="39">
        <f>IF(B285="","","SH-"&amp;TEXT(ROW()-4,"0000"))</f>
        <v/>
      </c>
      <c r="B285" s="50" t="n"/>
      <c r="C285" s="49">
        <f>IF(B285="","",IFERROR(INDEX('المشروعات'!$B$5:$B$304,MATCH(B285,'المشروعات'!$A$5:$A$304,0)),""))</f>
        <v/>
      </c>
      <c r="D285" s="47" t="n"/>
      <c r="E285" s="40" t="n"/>
      <c r="F285" s="40" t="n"/>
      <c r="G285" s="40" t="n"/>
      <c r="H285" s="40" t="n"/>
      <c r="I285" s="40" t="n"/>
      <c r="J285" s="40" t="n"/>
      <c r="K285" s="40" t="n"/>
      <c r="L285" s="49">
        <f>IF(B285="","",IF(COUNTIF(E285:J285,"لا")&gt;0,"استلام بتحفظات ("&amp;COUNTIF(E285:J285,"لا")&amp;")","استلام كامل"))</f>
        <v/>
      </c>
    </row>
    <row r="286">
      <c r="A286" s="39">
        <f>IF(B286="","","SH-"&amp;TEXT(ROW()-4,"0000"))</f>
        <v/>
      </c>
      <c r="B286" s="50" t="n"/>
      <c r="C286" s="49">
        <f>IF(B286="","",IFERROR(INDEX('المشروعات'!$B$5:$B$304,MATCH(B286,'المشروعات'!$A$5:$A$304,0)),""))</f>
        <v/>
      </c>
      <c r="D286" s="47" t="n"/>
      <c r="E286" s="40" t="n"/>
      <c r="F286" s="40" t="n"/>
      <c r="G286" s="40" t="n"/>
      <c r="H286" s="40" t="n"/>
      <c r="I286" s="40" t="n"/>
      <c r="J286" s="40" t="n"/>
      <c r="K286" s="40" t="n"/>
      <c r="L286" s="49">
        <f>IF(B286="","",IF(COUNTIF(E286:J286,"لا")&gt;0,"استلام بتحفظات ("&amp;COUNTIF(E286:J286,"لا")&amp;")","استلام كامل"))</f>
        <v/>
      </c>
    </row>
    <row r="287">
      <c r="A287" s="39">
        <f>IF(B287="","","SH-"&amp;TEXT(ROW()-4,"0000"))</f>
        <v/>
      </c>
      <c r="B287" s="50" t="n"/>
      <c r="C287" s="49">
        <f>IF(B287="","",IFERROR(INDEX('المشروعات'!$B$5:$B$304,MATCH(B287,'المشروعات'!$A$5:$A$304,0)),""))</f>
        <v/>
      </c>
      <c r="D287" s="47" t="n"/>
      <c r="E287" s="40" t="n"/>
      <c r="F287" s="40" t="n"/>
      <c r="G287" s="40" t="n"/>
      <c r="H287" s="40" t="n"/>
      <c r="I287" s="40" t="n"/>
      <c r="J287" s="40" t="n"/>
      <c r="K287" s="40" t="n"/>
      <c r="L287" s="49">
        <f>IF(B287="","",IF(COUNTIF(E287:J287,"لا")&gt;0,"استلام بتحفظات ("&amp;COUNTIF(E287:J287,"لا")&amp;")","استلام كامل"))</f>
        <v/>
      </c>
    </row>
    <row r="288">
      <c r="A288" s="39">
        <f>IF(B288="","","SH-"&amp;TEXT(ROW()-4,"0000"))</f>
        <v/>
      </c>
      <c r="B288" s="50" t="n"/>
      <c r="C288" s="49">
        <f>IF(B288="","",IFERROR(INDEX('المشروعات'!$B$5:$B$304,MATCH(B288,'المشروعات'!$A$5:$A$304,0)),""))</f>
        <v/>
      </c>
      <c r="D288" s="47" t="n"/>
      <c r="E288" s="40" t="n"/>
      <c r="F288" s="40" t="n"/>
      <c r="G288" s="40" t="n"/>
      <c r="H288" s="40" t="n"/>
      <c r="I288" s="40" t="n"/>
      <c r="J288" s="40" t="n"/>
      <c r="K288" s="40" t="n"/>
      <c r="L288" s="49">
        <f>IF(B288="","",IF(COUNTIF(E288:J288,"لا")&gt;0,"استلام بتحفظات ("&amp;COUNTIF(E288:J288,"لا")&amp;")","استلام كامل"))</f>
        <v/>
      </c>
    </row>
    <row r="289">
      <c r="A289" s="39">
        <f>IF(B289="","","SH-"&amp;TEXT(ROW()-4,"0000"))</f>
        <v/>
      </c>
      <c r="B289" s="50" t="n"/>
      <c r="C289" s="49">
        <f>IF(B289="","",IFERROR(INDEX('المشروعات'!$B$5:$B$304,MATCH(B289,'المشروعات'!$A$5:$A$304,0)),""))</f>
        <v/>
      </c>
      <c r="D289" s="47" t="n"/>
      <c r="E289" s="40" t="n"/>
      <c r="F289" s="40" t="n"/>
      <c r="G289" s="40" t="n"/>
      <c r="H289" s="40" t="n"/>
      <c r="I289" s="40" t="n"/>
      <c r="J289" s="40" t="n"/>
      <c r="K289" s="40" t="n"/>
      <c r="L289" s="49">
        <f>IF(B289="","",IF(COUNTIF(E289:J289,"لا")&gt;0,"استلام بتحفظات ("&amp;COUNTIF(E289:J289,"لا")&amp;")","استلام كامل"))</f>
        <v/>
      </c>
    </row>
    <row r="290">
      <c r="A290" s="39">
        <f>IF(B290="","","SH-"&amp;TEXT(ROW()-4,"0000"))</f>
        <v/>
      </c>
      <c r="B290" s="50" t="n"/>
      <c r="C290" s="49">
        <f>IF(B290="","",IFERROR(INDEX('المشروعات'!$B$5:$B$304,MATCH(B290,'المشروعات'!$A$5:$A$304,0)),""))</f>
        <v/>
      </c>
      <c r="D290" s="47" t="n"/>
      <c r="E290" s="40" t="n"/>
      <c r="F290" s="40" t="n"/>
      <c r="G290" s="40" t="n"/>
      <c r="H290" s="40" t="n"/>
      <c r="I290" s="40" t="n"/>
      <c r="J290" s="40" t="n"/>
      <c r="K290" s="40" t="n"/>
      <c r="L290" s="49">
        <f>IF(B290="","",IF(COUNTIF(E290:J290,"لا")&gt;0,"استلام بتحفظات ("&amp;COUNTIF(E290:J290,"لا")&amp;")","استلام كامل"))</f>
        <v/>
      </c>
    </row>
    <row r="291">
      <c r="A291" s="39">
        <f>IF(B291="","","SH-"&amp;TEXT(ROW()-4,"0000"))</f>
        <v/>
      </c>
      <c r="B291" s="50" t="n"/>
      <c r="C291" s="49">
        <f>IF(B291="","",IFERROR(INDEX('المشروعات'!$B$5:$B$304,MATCH(B291,'المشروعات'!$A$5:$A$304,0)),""))</f>
        <v/>
      </c>
      <c r="D291" s="47" t="n"/>
      <c r="E291" s="40" t="n"/>
      <c r="F291" s="40" t="n"/>
      <c r="G291" s="40" t="n"/>
      <c r="H291" s="40" t="n"/>
      <c r="I291" s="40" t="n"/>
      <c r="J291" s="40" t="n"/>
      <c r="K291" s="40" t="n"/>
      <c r="L291" s="49">
        <f>IF(B291="","",IF(COUNTIF(E291:J291,"لا")&gt;0,"استلام بتحفظات ("&amp;COUNTIF(E291:J291,"لا")&amp;")","استلام كامل"))</f>
        <v/>
      </c>
    </row>
    <row r="292">
      <c r="A292" s="39">
        <f>IF(B292="","","SH-"&amp;TEXT(ROW()-4,"0000"))</f>
        <v/>
      </c>
      <c r="B292" s="50" t="n"/>
      <c r="C292" s="49">
        <f>IF(B292="","",IFERROR(INDEX('المشروعات'!$B$5:$B$304,MATCH(B292,'المشروعات'!$A$5:$A$304,0)),""))</f>
        <v/>
      </c>
      <c r="D292" s="47" t="n"/>
      <c r="E292" s="40" t="n"/>
      <c r="F292" s="40" t="n"/>
      <c r="G292" s="40" t="n"/>
      <c r="H292" s="40" t="n"/>
      <c r="I292" s="40" t="n"/>
      <c r="J292" s="40" t="n"/>
      <c r="K292" s="40" t="n"/>
      <c r="L292" s="49">
        <f>IF(B292="","",IF(COUNTIF(E292:J292,"لا")&gt;0,"استلام بتحفظات ("&amp;COUNTIF(E292:J292,"لا")&amp;")","استلام كامل"))</f>
        <v/>
      </c>
    </row>
    <row r="293">
      <c r="A293" s="39">
        <f>IF(B293="","","SH-"&amp;TEXT(ROW()-4,"0000"))</f>
        <v/>
      </c>
      <c r="B293" s="50" t="n"/>
      <c r="C293" s="49">
        <f>IF(B293="","",IFERROR(INDEX('المشروعات'!$B$5:$B$304,MATCH(B293,'المشروعات'!$A$5:$A$304,0)),""))</f>
        <v/>
      </c>
      <c r="D293" s="47" t="n"/>
      <c r="E293" s="40" t="n"/>
      <c r="F293" s="40" t="n"/>
      <c r="G293" s="40" t="n"/>
      <c r="H293" s="40" t="n"/>
      <c r="I293" s="40" t="n"/>
      <c r="J293" s="40" t="n"/>
      <c r="K293" s="40" t="n"/>
      <c r="L293" s="49">
        <f>IF(B293="","",IF(COUNTIF(E293:J293,"لا")&gt;0,"استلام بتحفظات ("&amp;COUNTIF(E293:J293,"لا")&amp;")","استلام كامل"))</f>
        <v/>
      </c>
    </row>
    <row r="294">
      <c r="A294" s="39">
        <f>IF(B294="","","SH-"&amp;TEXT(ROW()-4,"0000"))</f>
        <v/>
      </c>
      <c r="B294" s="50" t="n"/>
      <c r="C294" s="49">
        <f>IF(B294="","",IFERROR(INDEX('المشروعات'!$B$5:$B$304,MATCH(B294,'المشروعات'!$A$5:$A$304,0)),""))</f>
        <v/>
      </c>
      <c r="D294" s="47" t="n"/>
      <c r="E294" s="40" t="n"/>
      <c r="F294" s="40" t="n"/>
      <c r="G294" s="40" t="n"/>
      <c r="H294" s="40" t="n"/>
      <c r="I294" s="40" t="n"/>
      <c r="J294" s="40" t="n"/>
      <c r="K294" s="40" t="n"/>
      <c r="L294" s="49">
        <f>IF(B294="","",IF(COUNTIF(E294:J294,"لا")&gt;0,"استلام بتحفظات ("&amp;COUNTIF(E294:J294,"لا")&amp;")","استلام كامل"))</f>
        <v/>
      </c>
    </row>
    <row r="295">
      <c r="A295" s="39">
        <f>IF(B295="","","SH-"&amp;TEXT(ROW()-4,"0000"))</f>
        <v/>
      </c>
      <c r="B295" s="50" t="n"/>
      <c r="C295" s="49">
        <f>IF(B295="","",IFERROR(INDEX('المشروعات'!$B$5:$B$304,MATCH(B295,'المشروعات'!$A$5:$A$304,0)),""))</f>
        <v/>
      </c>
      <c r="D295" s="47" t="n"/>
      <c r="E295" s="40" t="n"/>
      <c r="F295" s="40" t="n"/>
      <c r="G295" s="40" t="n"/>
      <c r="H295" s="40" t="n"/>
      <c r="I295" s="40" t="n"/>
      <c r="J295" s="40" t="n"/>
      <c r="K295" s="40" t="n"/>
      <c r="L295" s="49">
        <f>IF(B295="","",IF(COUNTIF(E295:J295,"لا")&gt;0,"استلام بتحفظات ("&amp;COUNTIF(E295:J295,"لا")&amp;")","استلام كامل"))</f>
        <v/>
      </c>
    </row>
    <row r="296">
      <c r="A296" s="39">
        <f>IF(B296="","","SH-"&amp;TEXT(ROW()-4,"0000"))</f>
        <v/>
      </c>
      <c r="B296" s="50" t="n"/>
      <c r="C296" s="49">
        <f>IF(B296="","",IFERROR(INDEX('المشروعات'!$B$5:$B$304,MATCH(B296,'المشروعات'!$A$5:$A$304,0)),""))</f>
        <v/>
      </c>
      <c r="D296" s="47" t="n"/>
      <c r="E296" s="40" t="n"/>
      <c r="F296" s="40" t="n"/>
      <c r="G296" s="40" t="n"/>
      <c r="H296" s="40" t="n"/>
      <c r="I296" s="40" t="n"/>
      <c r="J296" s="40" t="n"/>
      <c r="K296" s="40" t="n"/>
      <c r="L296" s="49">
        <f>IF(B296="","",IF(COUNTIF(E296:J296,"لا")&gt;0,"استلام بتحفظات ("&amp;COUNTIF(E296:J296,"لا")&amp;")","استلام كامل"))</f>
        <v/>
      </c>
    </row>
    <row r="297">
      <c r="A297" s="39">
        <f>IF(B297="","","SH-"&amp;TEXT(ROW()-4,"0000"))</f>
        <v/>
      </c>
      <c r="B297" s="50" t="n"/>
      <c r="C297" s="49">
        <f>IF(B297="","",IFERROR(INDEX('المشروعات'!$B$5:$B$304,MATCH(B297,'المشروعات'!$A$5:$A$304,0)),""))</f>
        <v/>
      </c>
      <c r="D297" s="47" t="n"/>
      <c r="E297" s="40" t="n"/>
      <c r="F297" s="40" t="n"/>
      <c r="G297" s="40" t="n"/>
      <c r="H297" s="40" t="n"/>
      <c r="I297" s="40" t="n"/>
      <c r="J297" s="40" t="n"/>
      <c r="K297" s="40" t="n"/>
      <c r="L297" s="49">
        <f>IF(B297="","",IF(COUNTIF(E297:J297,"لا")&gt;0,"استلام بتحفظات ("&amp;COUNTIF(E297:J297,"لا")&amp;")","استلام كامل"))</f>
        <v/>
      </c>
    </row>
    <row r="298">
      <c r="A298" s="39">
        <f>IF(B298="","","SH-"&amp;TEXT(ROW()-4,"0000"))</f>
        <v/>
      </c>
      <c r="B298" s="50" t="n"/>
      <c r="C298" s="49">
        <f>IF(B298="","",IFERROR(INDEX('المشروعات'!$B$5:$B$304,MATCH(B298,'المشروعات'!$A$5:$A$304,0)),""))</f>
        <v/>
      </c>
      <c r="D298" s="47" t="n"/>
      <c r="E298" s="40" t="n"/>
      <c r="F298" s="40" t="n"/>
      <c r="G298" s="40" t="n"/>
      <c r="H298" s="40" t="n"/>
      <c r="I298" s="40" t="n"/>
      <c r="J298" s="40" t="n"/>
      <c r="K298" s="40" t="n"/>
      <c r="L298" s="49">
        <f>IF(B298="","",IF(COUNTIF(E298:J298,"لا")&gt;0,"استلام بتحفظات ("&amp;COUNTIF(E298:J298,"لا")&amp;")","استلام كامل"))</f>
        <v/>
      </c>
    </row>
    <row r="299">
      <c r="A299" s="39">
        <f>IF(B299="","","SH-"&amp;TEXT(ROW()-4,"0000"))</f>
        <v/>
      </c>
      <c r="B299" s="50" t="n"/>
      <c r="C299" s="49">
        <f>IF(B299="","",IFERROR(INDEX('المشروعات'!$B$5:$B$304,MATCH(B299,'المشروعات'!$A$5:$A$304,0)),""))</f>
        <v/>
      </c>
      <c r="D299" s="47" t="n"/>
      <c r="E299" s="40" t="n"/>
      <c r="F299" s="40" t="n"/>
      <c r="G299" s="40" t="n"/>
      <c r="H299" s="40" t="n"/>
      <c r="I299" s="40" t="n"/>
      <c r="J299" s="40" t="n"/>
      <c r="K299" s="40" t="n"/>
      <c r="L299" s="49">
        <f>IF(B299="","",IF(COUNTIF(E299:J299,"لا")&gt;0,"استلام بتحفظات ("&amp;COUNTIF(E299:J299,"لا")&amp;")","استلام كامل"))</f>
        <v/>
      </c>
    </row>
    <row r="300">
      <c r="A300" s="39">
        <f>IF(B300="","","SH-"&amp;TEXT(ROW()-4,"0000"))</f>
        <v/>
      </c>
      <c r="B300" s="50" t="n"/>
      <c r="C300" s="49">
        <f>IF(B300="","",IFERROR(INDEX('المشروعات'!$B$5:$B$304,MATCH(B300,'المشروعات'!$A$5:$A$304,0)),""))</f>
        <v/>
      </c>
      <c r="D300" s="47" t="n"/>
      <c r="E300" s="40" t="n"/>
      <c r="F300" s="40" t="n"/>
      <c r="G300" s="40" t="n"/>
      <c r="H300" s="40" t="n"/>
      <c r="I300" s="40" t="n"/>
      <c r="J300" s="40" t="n"/>
      <c r="K300" s="40" t="n"/>
      <c r="L300" s="49">
        <f>IF(B300="","",IF(COUNTIF(E300:J300,"لا")&gt;0,"استلام بتحفظات ("&amp;COUNTIF(E300:J300,"لا")&amp;")","استلام كامل"))</f>
        <v/>
      </c>
    </row>
    <row r="301">
      <c r="A301" s="39">
        <f>IF(B301="","","SH-"&amp;TEXT(ROW()-4,"0000"))</f>
        <v/>
      </c>
      <c r="B301" s="50" t="n"/>
      <c r="C301" s="49">
        <f>IF(B301="","",IFERROR(INDEX('المشروعات'!$B$5:$B$304,MATCH(B301,'المشروعات'!$A$5:$A$304,0)),""))</f>
        <v/>
      </c>
      <c r="D301" s="47" t="n"/>
      <c r="E301" s="40" t="n"/>
      <c r="F301" s="40" t="n"/>
      <c r="G301" s="40" t="n"/>
      <c r="H301" s="40" t="n"/>
      <c r="I301" s="40" t="n"/>
      <c r="J301" s="40" t="n"/>
      <c r="K301" s="40" t="n"/>
      <c r="L301" s="49">
        <f>IF(B301="","",IF(COUNTIF(E301:J301,"لا")&gt;0,"استلام بتحفظات ("&amp;COUNTIF(E301:J301,"لا")&amp;")","استلام كامل"))</f>
        <v/>
      </c>
    </row>
    <row r="302">
      <c r="A302" s="39">
        <f>IF(B302="","","SH-"&amp;TEXT(ROW()-4,"0000"))</f>
        <v/>
      </c>
      <c r="B302" s="50" t="n"/>
      <c r="C302" s="49">
        <f>IF(B302="","",IFERROR(INDEX('المشروعات'!$B$5:$B$304,MATCH(B302,'المشروعات'!$A$5:$A$304,0)),""))</f>
        <v/>
      </c>
      <c r="D302" s="47" t="n"/>
      <c r="E302" s="40" t="n"/>
      <c r="F302" s="40" t="n"/>
      <c r="G302" s="40" t="n"/>
      <c r="H302" s="40" t="n"/>
      <c r="I302" s="40" t="n"/>
      <c r="J302" s="40" t="n"/>
      <c r="K302" s="40" t="n"/>
      <c r="L302" s="49">
        <f>IF(B302="","",IF(COUNTIF(E302:J302,"لا")&gt;0,"استلام بتحفظات ("&amp;COUNTIF(E302:J302,"لا")&amp;")","استلام كامل"))</f>
        <v/>
      </c>
    </row>
    <row r="303">
      <c r="A303" s="39">
        <f>IF(B303="","","SH-"&amp;TEXT(ROW()-4,"0000"))</f>
        <v/>
      </c>
      <c r="B303" s="50" t="n"/>
      <c r="C303" s="49">
        <f>IF(B303="","",IFERROR(INDEX('المشروعات'!$B$5:$B$304,MATCH(B303,'المشروعات'!$A$5:$A$304,0)),""))</f>
        <v/>
      </c>
      <c r="D303" s="47" t="n"/>
      <c r="E303" s="40" t="n"/>
      <c r="F303" s="40" t="n"/>
      <c r="G303" s="40" t="n"/>
      <c r="H303" s="40" t="n"/>
      <c r="I303" s="40" t="n"/>
      <c r="J303" s="40" t="n"/>
      <c r="K303" s="40" t="n"/>
      <c r="L303" s="49">
        <f>IF(B303="","",IF(COUNTIF(E303:J303,"لا")&gt;0,"استلام بتحفظات ("&amp;COUNTIF(E303:J303,"لا")&amp;")","استلام كامل"))</f>
        <v/>
      </c>
    </row>
    <row r="304">
      <c r="A304" s="39">
        <f>IF(B304="","","SH-"&amp;TEXT(ROW()-4,"0000"))</f>
        <v/>
      </c>
      <c r="B304" s="50" t="n"/>
      <c r="C304" s="49">
        <f>IF(B304="","",IFERROR(INDEX('المشروعات'!$B$5:$B$304,MATCH(B304,'المشروعات'!$A$5:$A$304,0)),""))</f>
        <v/>
      </c>
      <c r="D304" s="47" t="n"/>
      <c r="E304" s="40" t="n"/>
      <c r="F304" s="40" t="n"/>
      <c r="G304" s="40" t="n"/>
      <c r="H304" s="40" t="n"/>
      <c r="I304" s="40" t="n"/>
      <c r="J304" s="40" t="n"/>
      <c r="K304" s="40" t="n"/>
      <c r="L304" s="49">
        <f>IF(B304="","",IF(COUNTIF(E304:J304,"لا")&gt;0,"استلام بتحفظات ("&amp;COUNTIF(E304:J304,"لا")&amp;")","استلام كامل"))</f>
        <v/>
      </c>
    </row>
  </sheetData>
  <autoFilter ref="A4:L304"/>
  <mergeCells count="2">
    <mergeCell ref="A2:L2"/>
    <mergeCell ref="A1:L1"/>
  </mergeCells>
  <conditionalFormatting sqref="L5:L304">
    <cfRule type="expression" priority="1" dxfId="0" stopIfTrue="1">
      <formula>OR(ISNUMBER(SEARCH("متأخر",L5)),ISNUMBER(SEARCH("مرفوض",L5)),ISNUMBER(SEARCH("غير معتمدة",L5)),ISNUMBER(SEARCH("غير محصّل",L5)),ISNUMBER(SEARCH("سالب",L5)),ISNUMBER(SEARCH("أكثر من الرصيد",L5)),ISNUMBER(SEARCH("بتحفظات",L5)))</formula>
    </cfRule>
    <cfRule type="expression" priority="2" dxfId="1" stopIfTrue="1">
      <formula>OR(ISNUMBER(SEARCH("قيد",L5)),ISNUMBER(SEARCH("جزئي",L5)),ISNUMBER(SEARCH("بانتظار",L5)),ISNUMBER(SEARCH("مفتوح",L5)),ISNUMBER(SEARCH("أعد الطلب",L5)),ISNUMBER(SEARCH("لم يُورد",L5)),ISNUMBER(SEARCH("فترة الضمان",L5)),ISNUMBER(SEARCH("مُقدم",L5)))</formula>
    </cfRule>
    <cfRule type="expression" priority="3" dxfId="2" stopIfTrue="1">
      <formula>OR(ISNUMBER(SEARCH("معتمد",L5)),ISNUMBER(SEARCH("مقبول",L5)),ISNUMBER(SEARCH("مكتمل",L5)),ISNUMBER(SEARCH("مغلق",L5)),ISNUMBER(SEARCH("بالكامل",L5)),ISNUMBER(SEARCH("مسلّم",L5)),ISNUMBER(SEARCH("كامل",L5)),ISNUMBER(SEARCH("متاح",L5)),ISNUMBER(SEARCH("جاري",L5)))</formula>
    </cfRule>
  </conditionalFormatting>
  <dataValidations count="8">
    <dataValidation sqref="B5:B304" showDropDown="0" showInputMessage="0" showErrorMessage="1" allowBlank="1" errorTitle="قيمة غير صحيحة" error="اختر من القائمة المنسدلة فقط" type="list">
      <formula1>=L_Proj</formula1>
    </dataValidation>
    <dataValidation sqref="D5:D304" showDropDown="0" showInputMessage="0" showErrorMessage="1" allowBlank="1" errorTitle="تاريخ" error="أدخل تاريخاً صحيحاً" type="date" operator="between">
      <formula1>DATE(2000,1,1)</formula1>
      <formula2>DATE(2100,12,31)</formula2>
    </dataValidation>
    <dataValidation sqref="E5:E304" showDropDown="0" showInputMessage="0" showErrorMessage="1" allowBlank="1" errorTitle="قيمة غير صحيحة" error="اختر من القائمة المنسدلة فقط" type="list">
      <formula1>=L_YesNo</formula1>
    </dataValidation>
    <dataValidation sqref="F5:F304" showDropDown="0" showInputMessage="0" showErrorMessage="1" allowBlank="1" errorTitle="قيمة غير صحيحة" error="اختر من القائمة المنسدلة فقط" type="list">
      <formula1>=L_YesNo</formula1>
    </dataValidation>
    <dataValidation sqref="G5:G304" showDropDown="0" showInputMessage="0" showErrorMessage="1" allowBlank="1" errorTitle="قيمة غير صحيحة" error="اختر من القائمة المنسدلة فقط" type="list">
      <formula1>=L_YesNo</formula1>
    </dataValidation>
    <dataValidation sqref="H5:H304" showDropDown="0" showInputMessage="0" showErrorMessage="1" allowBlank="1" errorTitle="قيمة غير صحيحة" error="اختر من القائمة المنسدلة فقط" type="list">
      <formula1>=L_YesNo</formula1>
    </dataValidation>
    <dataValidation sqref="I5:I304" showDropDown="0" showInputMessage="0" showErrorMessage="1" allowBlank="1" errorTitle="قيمة غير صحيحة" error="اختر من القائمة المنسدلة فقط" type="list">
      <formula1>=L_YesNo</formula1>
    </dataValidation>
    <dataValidation sqref="J5:J304" showDropDown="0" showInputMessage="0" showErrorMessage="1" allowBlank="1" errorTitle="قيمة غير صحيحة" error="اختر من القائمة المنسدلة فقط" type="list">
      <formula1>=L_YesNo</formula1>
    </dataValidation>
  </dataValidations>
  <hyperlinks>
    <hyperlink xmlns:r="http://schemas.openxmlformats.org/officeDocument/2006/relationships" ref="A3" r:id="rId1"/>
  </hyperlinks>
  <printOptions horizontalCentered="1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tabColor rgb="002E7D7A"/>
    <outlinePr summaryBelow="1" summaryRight="1"/>
    <pageSetUpPr fitToPage="1"/>
  </sheetPr>
  <dimension ref="A1:P304"/>
  <sheetViews>
    <sheetView showGridLines="0" rightToLeft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24" customWidth="1" min="4" max="4"/>
    <col width="9" customWidth="1" min="5" max="5"/>
    <col width="10" customWidth="1" min="6" max="6"/>
    <col width="16" customWidth="1" min="7" max="7"/>
    <col width="16" customWidth="1" min="8" max="8"/>
    <col width="7" customWidth="1" min="9" max="9"/>
    <col width="12" customWidth="1" min="10" max="10"/>
    <col width="12" customWidth="1" min="11" max="11"/>
    <col width="7" customWidth="1" min="12" max="12"/>
    <col width="16" customWidth="1" min="13" max="13"/>
    <col width="9" customWidth="1" min="14" max="14"/>
    <col width="14" customWidth="1" min="15" max="15"/>
    <col width="11" customWidth="1" min="16" max="16"/>
  </cols>
  <sheetData>
    <row r="1" ht="32" customHeight="1">
      <c r="A1" s="34">
        <f>S_Company&amp;"  |  اعتماد المواد"</f>
        <v/>
      </c>
    </row>
    <row r="2">
      <c r="A2" s="35" t="inlineStr">
        <is>
          <t>سجل طلبات اعتماد المواد MAR (QF-MA-02)</t>
        </is>
      </c>
    </row>
    <row r="3">
      <c r="A3" s="33" t="inlineStr">
        <is>
          <t>↩ الرئيسية</t>
        </is>
      </c>
      <c r="B3" s="36" t="inlineStr">
        <is>
          <t xml:space="preserve">   ■ أصفر = إدخال يدوي    ■ رمادي = معادلة تلقائية (لا تكتب فيها)    — الصفوف الأولى أمثلة توضيحية؛ احذف قيم الإدخال واستبدلها ببياناتك</t>
        </is>
      </c>
    </row>
    <row r="4" ht="42" customHeight="1">
      <c r="A4" s="37" t="inlineStr">
        <is>
          <t>رقم الطلب</t>
        </is>
      </c>
      <c r="B4" s="38" t="inlineStr">
        <is>
          <t>كود المشروع</t>
        </is>
      </c>
      <c r="C4" s="37" t="inlineStr">
        <is>
          <t>اسم المشروع</t>
        </is>
      </c>
      <c r="D4" s="38" t="inlineStr">
        <is>
          <t>المادة</t>
        </is>
      </c>
      <c r="E4" s="38" t="inlineStr">
        <is>
          <t>رقم البند</t>
        </is>
      </c>
      <c r="F4" s="38" t="inlineStr">
        <is>
          <t>رقم المواصفة</t>
        </is>
      </c>
      <c r="G4" s="38" t="inlineStr">
        <is>
          <t>المصنّع / المنشأ</t>
        </is>
      </c>
      <c r="H4" s="38" t="inlineStr">
        <is>
          <t>المورّد</t>
        </is>
      </c>
      <c r="I4" s="38" t="inlineStr">
        <is>
          <t>المراجعة</t>
        </is>
      </c>
      <c r="J4" s="38" t="inlineStr">
        <is>
          <t>تاريخ التقديم</t>
        </is>
      </c>
      <c r="K4" s="38" t="inlineStr">
        <is>
          <t>تاريخ الرد</t>
        </is>
      </c>
      <c r="L4" s="38" t="inlineStr">
        <is>
          <t>كود الرد</t>
        </is>
      </c>
      <c r="M4" s="37" t="inlineStr">
        <is>
          <t>الحالة</t>
        </is>
      </c>
      <c r="N4" s="37" t="inlineStr">
        <is>
          <t>أيام المراجعة</t>
        </is>
      </c>
      <c r="O4" s="37" t="inlineStr">
        <is>
          <t>تنبيه</t>
        </is>
      </c>
      <c r="P4" s="37" t="inlineStr">
        <is>
          <t>صالح للتوريد؟</t>
        </is>
      </c>
    </row>
    <row r="5">
      <c r="A5" s="39">
        <f>IF(B5="","","MAR-"&amp;TEXT(ROW()-4,"0000"))</f>
        <v/>
      </c>
      <c r="B5" s="50" t="inlineStr">
        <is>
          <t>PRJ-001</t>
        </is>
      </c>
      <c r="C5" s="49">
        <f>IF(B5="","",IFERROR(INDEX('المشروعات'!$B$5:$B$304,MATCH(B5,'المشروعات'!$A$5:$A$304,0)),""))</f>
        <v/>
      </c>
      <c r="D5" s="40" t="inlineStr">
        <is>
          <t>حديد تسليح عالي المقاومة B500</t>
        </is>
      </c>
      <c r="E5" s="40" t="inlineStr">
        <is>
          <t>03-200</t>
        </is>
      </c>
      <c r="F5" s="40" t="inlineStr">
        <is>
          <t>03 21 00</t>
        </is>
      </c>
      <c r="G5" s="40" t="inlineStr">
        <is>
          <t>حديد عز – مصر</t>
        </is>
      </c>
      <c r="H5" s="40" t="inlineStr">
        <is>
          <t>الموزع المعتمد للحديد</t>
        </is>
      </c>
      <c r="I5" s="51" t="n">
        <v>0</v>
      </c>
      <c r="J5" s="47" t="n">
        <v>45971</v>
      </c>
      <c r="K5" s="47" t="n">
        <v>45979</v>
      </c>
      <c r="L5" s="50" t="inlineStr">
        <is>
          <t>A</t>
        </is>
      </c>
      <c r="M5" s="49">
        <f>IF(B5="","",IF(L5="","قيد المراجعة",IF(L5="A","معتمد",IF(L5="B","معتمد بملاحظات",IF(L5="C","مرفوض – يعاد التقديم","مرفوض نهائياً")))))</f>
        <v/>
      </c>
      <c r="N5" s="48">
        <f>IF(J5="","",IF(K5="",TODAY(),K5)-J5)</f>
        <v/>
      </c>
      <c r="O5" s="49">
        <f>IF(B5="","",IF(AND(L5="",N(N5)&gt;S_SLA),"متأخر رد الاستشاري",""))</f>
        <v/>
      </c>
      <c r="P5" s="49">
        <f>IF(B5="","",IF(OR(L5="A",L5="B"),"نعم","لا"))</f>
        <v/>
      </c>
    </row>
    <row r="6">
      <c r="A6" s="39">
        <f>IF(B6="","","MAR-"&amp;TEXT(ROW()-4,"0000"))</f>
        <v/>
      </c>
      <c r="B6" s="50" t="inlineStr">
        <is>
          <t>PRJ-001</t>
        </is>
      </c>
      <c r="C6" s="49">
        <f>IF(B6="","",IFERROR(INDEX('المشروعات'!$B$5:$B$304,MATCH(B6,'المشروعات'!$A$5:$A$304,0)),""))</f>
        <v/>
      </c>
      <c r="D6" s="40" t="inlineStr">
        <is>
          <t>أسمنت بورتلاندي 42.5N</t>
        </is>
      </c>
      <c r="E6" s="40" t="inlineStr">
        <is>
          <t>03-100</t>
        </is>
      </c>
      <c r="F6" s="40" t="inlineStr">
        <is>
          <t>03 30 00</t>
        </is>
      </c>
      <c r="G6" s="40" t="inlineStr">
        <is>
          <t>أسمنت السويس</t>
        </is>
      </c>
      <c r="H6" s="40" t="inlineStr">
        <is>
          <t>مؤسسة مواد البناء</t>
        </is>
      </c>
      <c r="I6" s="51" t="n">
        <v>1</v>
      </c>
      <c r="J6" s="47" t="n">
        <v>45973</v>
      </c>
      <c r="K6" s="47" t="n">
        <v>45986</v>
      </c>
      <c r="L6" s="50" t="inlineStr">
        <is>
          <t>B</t>
        </is>
      </c>
      <c r="M6" s="49">
        <f>IF(B6="","",IF(L6="","قيد المراجعة",IF(L6="A","معتمد",IF(L6="B","معتمد بملاحظات",IF(L6="C","مرفوض – يعاد التقديم","مرفوض نهائياً")))))</f>
        <v/>
      </c>
      <c r="N6" s="48">
        <f>IF(J6="","",IF(K6="",TODAY(),K6)-J6)</f>
        <v/>
      </c>
      <c r="O6" s="49">
        <f>IF(B6="","",IF(AND(L6="",N(N6)&gt;S_SLA),"متأخر رد الاستشاري",""))</f>
        <v/>
      </c>
      <c r="P6" s="49">
        <f>IF(B6="","",IF(OR(L6="A",L6="B"),"نعم","لا"))</f>
        <v/>
      </c>
    </row>
    <row r="7">
      <c r="A7" s="39">
        <f>IF(B7="","","MAR-"&amp;TEXT(ROW()-4,"0000"))</f>
        <v/>
      </c>
      <c r="B7" s="50" t="inlineStr">
        <is>
          <t>PRJ-001</t>
        </is>
      </c>
      <c r="C7" s="49">
        <f>IF(B7="","",IFERROR(INDEX('المشروعات'!$B$5:$B$304,MATCH(B7,'المشروعات'!$A$5:$A$304,0)),""))</f>
        <v/>
      </c>
      <c r="D7" s="40" t="inlineStr">
        <is>
          <t>بلوك خرساني مصمت 20 سم</t>
        </is>
      </c>
      <c r="E7" s="40" t="inlineStr">
        <is>
          <t>04-100</t>
        </is>
      </c>
      <c r="F7" s="40" t="inlineStr">
        <is>
          <t>04 22 00</t>
        </is>
      </c>
      <c r="G7" s="40" t="inlineStr">
        <is>
          <t>مصنع البلوك الحديث</t>
        </is>
      </c>
      <c r="H7" s="40" t="inlineStr">
        <is>
          <t>مصنع البلوك الحديث</t>
        </is>
      </c>
      <c r="I7" s="51" t="n">
        <v>0</v>
      </c>
      <c r="J7" s="47" t="n">
        <v>46266</v>
      </c>
      <c r="K7" s="47" t="n"/>
      <c r="L7" s="50" t="n"/>
      <c r="M7" s="49">
        <f>IF(B7="","",IF(L7="","قيد المراجعة",IF(L7="A","معتمد",IF(L7="B","معتمد بملاحظات",IF(L7="C","مرفوض – يعاد التقديم","مرفوض نهائياً")))))</f>
        <v/>
      </c>
      <c r="N7" s="48">
        <f>IF(J7="","",IF(K7="",TODAY(),K7)-J7)</f>
        <v/>
      </c>
      <c r="O7" s="49">
        <f>IF(B7="","",IF(AND(L7="",N(N7)&gt;S_SLA),"متأخر رد الاستشاري",""))</f>
        <v/>
      </c>
      <c r="P7" s="49">
        <f>IF(B7="","",IF(OR(L7="A",L7="B"),"نعم","لا"))</f>
        <v/>
      </c>
    </row>
    <row r="8">
      <c r="A8" s="39">
        <f>IF(B8="","","MAR-"&amp;TEXT(ROW()-4,"0000"))</f>
        <v/>
      </c>
      <c r="B8" s="50" t="inlineStr">
        <is>
          <t>PRJ-002</t>
        </is>
      </c>
      <c r="C8" s="49">
        <f>IF(B8="","",IFERROR(INDEX('المشروعات'!$B$5:$B$304,MATCH(B8,'المشروعات'!$A$5:$A$304,0)),""))</f>
        <v/>
      </c>
      <c r="D8" s="40" t="inlineStr">
        <is>
          <t>خرسانة جاهزة C30</t>
        </is>
      </c>
      <c r="E8" s="40" t="inlineStr">
        <is>
          <t>03-300</t>
        </is>
      </c>
      <c r="F8" s="40" t="inlineStr">
        <is>
          <t>03 30 00</t>
        </is>
      </c>
      <c r="G8" s="40" t="inlineStr">
        <is>
          <t>محطة خرسانة معتمدة</t>
        </is>
      </c>
      <c r="H8" s="40" t="inlineStr">
        <is>
          <t>شركة الخرسانة الجاهزة</t>
        </is>
      </c>
      <c r="I8" s="51" t="n">
        <v>0</v>
      </c>
      <c r="J8" s="47" t="n">
        <v>46167</v>
      </c>
      <c r="K8" s="47" t="n">
        <v>46175</v>
      </c>
      <c r="L8" s="50" t="inlineStr">
        <is>
          <t>A</t>
        </is>
      </c>
      <c r="M8" s="49">
        <f>IF(B8="","",IF(L8="","قيد المراجعة",IF(L8="A","معتمد",IF(L8="B","معتمد بملاحظات",IF(L8="C","مرفوض – يعاد التقديم","مرفوض نهائياً")))))</f>
        <v/>
      </c>
      <c r="N8" s="48">
        <f>IF(J8="","",IF(K8="",TODAY(),K8)-J8)</f>
        <v/>
      </c>
      <c r="O8" s="49">
        <f>IF(B8="","",IF(AND(L8="",N(N8)&gt;S_SLA),"متأخر رد الاستشاري",""))</f>
        <v/>
      </c>
      <c r="P8" s="49">
        <f>IF(B8="","",IF(OR(L8="A",L8="B"),"نعم","لا"))</f>
        <v/>
      </c>
    </row>
    <row r="9">
      <c r="A9" s="39">
        <f>IF(B9="","","MAR-"&amp;TEXT(ROW()-4,"0000"))</f>
        <v/>
      </c>
      <c r="B9" s="50" t="n"/>
      <c r="C9" s="49">
        <f>IF(B9="","",IFERROR(INDEX('المشروعات'!$B$5:$B$304,MATCH(B9,'المشروعات'!$A$5:$A$304,0)),""))</f>
        <v/>
      </c>
      <c r="D9" s="40" t="n"/>
      <c r="E9" s="40" t="n"/>
      <c r="F9" s="40" t="n"/>
      <c r="G9" s="40" t="n"/>
      <c r="H9" s="40" t="n"/>
      <c r="I9" s="51" t="n"/>
      <c r="J9" s="47" t="n"/>
      <c r="K9" s="47" t="n"/>
      <c r="L9" s="50" t="n"/>
      <c r="M9" s="49">
        <f>IF(B9="","",IF(L9="","قيد المراجعة",IF(L9="A","معتمد",IF(L9="B","معتمد بملاحظات",IF(L9="C","مرفوض – يعاد التقديم","مرفوض نهائياً")))))</f>
        <v/>
      </c>
      <c r="N9" s="48">
        <f>IF(J9="","",IF(K9="",TODAY(),K9)-J9)</f>
        <v/>
      </c>
      <c r="O9" s="49">
        <f>IF(B9="","",IF(AND(L9="",N(N9)&gt;S_SLA),"متأخر رد الاستشاري",""))</f>
        <v/>
      </c>
      <c r="P9" s="49">
        <f>IF(B9="","",IF(OR(L9="A",L9="B"),"نعم","لا"))</f>
        <v/>
      </c>
    </row>
    <row r="10">
      <c r="A10" s="39">
        <f>IF(B10="","","MAR-"&amp;TEXT(ROW()-4,"0000"))</f>
        <v/>
      </c>
      <c r="B10" s="50" t="n"/>
      <c r="C10" s="49">
        <f>IF(B10="","",IFERROR(INDEX('المشروعات'!$B$5:$B$304,MATCH(B10,'المشروعات'!$A$5:$A$304,0)),""))</f>
        <v/>
      </c>
      <c r="D10" s="40" t="n"/>
      <c r="E10" s="40" t="n"/>
      <c r="F10" s="40" t="n"/>
      <c r="G10" s="40" t="n"/>
      <c r="H10" s="40" t="n"/>
      <c r="I10" s="51" t="n"/>
      <c r="J10" s="47" t="n"/>
      <c r="K10" s="47" t="n"/>
      <c r="L10" s="50" t="n"/>
      <c r="M10" s="49">
        <f>IF(B10="","",IF(L10="","قيد المراجعة",IF(L10="A","معتمد",IF(L10="B","معتمد بملاحظات",IF(L10="C","مرفوض – يعاد التقديم","مرفوض نهائياً")))))</f>
        <v/>
      </c>
      <c r="N10" s="48">
        <f>IF(J10="","",IF(K10="",TODAY(),K10)-J10)</f>
        <v/>
      </c>
      <c r="O10" s="49">
        <f>IF(B10="","",IF(AND(L10="",N(N10)&gt;S_SLA),"متأخر رد الاستشاري",""))</f>
        <v/>
      </c>
      <c r="P10" s="49">
        <f>IF(B10="","",IF(OR(L10="A",L10="B"),"نعم","لا"))</f>
        <v/>
      </c>
    </row>
    <row r="11">
      <c r="A11" s="39">
        <f>IF(B11="","","MAR-"&amp;TEXT(ROW()-4,"0000"))</f>
        <v/>
      </c>
      <c r="B11" s="50" t="n"/>
      <c r="C11" s="49">
        <f>IF(B11="","",IFERROR(INDEX('المشروعات'!$B$5:$B$304,MATCH(B11,'المشروعات'!$A$5:$A$304,0)),""))</f>
        <v/>
      </c>
      <c r="D11" s="40" t="n"/>
      <c r="E11" s="40" t="n"/>
      <c r="F11" s="40" t="n"/>
      <c r="G11" s="40" t="n"/>
      <c r="H11" s="40" t="n"/>
      <c r="I11" s="51" t="n"/>
      <c r="J11" s="47" t="n"/>
      <c r="K11" s="47" t="n"/>
      <c r="L11" s="50" t="n"/>
      <c r="M11" s="49">
        <f>IF(B11="","",IF(L11="","قيد المراجعة",IF(L11="A","معتمد",IF(L11="B","معتمد بملاحظات",IF(L11="C","مرفوض – يعاد التقديم","مرفوض نهائياً")))))</f>
        <v/>
      </c>
      <c r="N11" s="48">
        <f>IF(J11="","",IF(K11="",TODAY(),K11)-J11)</f>
        <v/>
      </c>
      <c r="O11" s="49">
        <f>IF(B11="","",IF(AND(L11="",N(N11)&gt;S_SLA),"متأخر رد الاستشاري",""))</f>
        <v/>
      </c>
      <c r="P11" s="49">
        <f>IF(B11="","",IF(OR(L11="A",L11="B"),"نعم","لا"))</f>
        <v/>
      </c>
    </row>
    <row r="12">
      <c r="A12" s="39">
        <f>IF(B12="","","MAR-"&amp;TEXT(ROW()-4,"0000"))</f>
        <v/>
      </c>
      <c r="B12" s="50" t="n"/>
      <c r="C12" s="49">
        <f>IF(B12="","",IFERROR(INDEX('المشروعات'!$B$5:$B$304,MATCH(B12,'المشروعات'!$A$5:$A$304,0)),""))</f>
        <v/>
      </c>
      <c r="D12" s="40" t="n"/>
      <c r="E12" s="40" t="n"/>
      <c r="F12" s="40" t="n"/>
      <c r="G12" s="40" t="n"/>
      <c r="H12" s="40" t="n"/>
      <c r="I12" s="51" t="n"/>
      <c r="J12" s="47" t="n"/>
      <c r="K12" s="47" t="n"/>
      <c r="L12" s="50" t="n"/>
      <c r="M12" s="49">
        <f>IF(B12="","",IF(L12="","قيد المراجعة",IF(L12="A","معتمد",IF(L12="B","معتمد بملاحظات",IF(L12="C","مرفوض – يعاد التقديم","مرفوض نهائياً")))))</f>
        <v/>
      </c>
      <c r="N12" s="48">
        <f>IF(J12="","",IF(K12="",TODAY(),K12)-J12)</f>
        <v/>
      </c>
      <c r="O12" s="49">
        <f>IF(B12="","",IF(AND(L12="",N(N12)&gt;S_SLA),"متأخر رد الاستشاري",""))</f>
        <v/>
      </c>
      <c r="P12" s="49">
        <f>IF(B12="","",IF(OR(L12="A",L12="B"),"نعم","لا"))</f>
        <v/>
      </c>
    </row>
    <row r="13">
      <c r="A13" s="39">
        <f>IF(B13="","","MAR-"&amp;TEXT(ROW()-4,"0000"))</f>
        <v/>
      </c>
      <c r="B13" s="50" t="n"/>
      <c r="C13" s="49">
        <f>IF(B13="","",IFERROR(INDEX('المشروعات'!$B$5:$B$304,MATCH(B13,'المشروعات'!$A$5:$A$304,0)),""))</f>
        <v/>
      </c>
      <c r="D13" s="40" t="n"/>
      <c r="E13" s="40" t="n"/>
      <c r="F13" s="40" t="n"/>
      <c r="G13" s="40" t="n"/>
      <c r="H13" s="40" t="n"/>
      <c r="I13" s="51" t="n"/>
      <c r="J13" s="47" t="n"/>
      <c r="K13" s="47" t="n"/>
      <c r="L13" s="50" t="n"/>
      <c r="M13" s="49">
        <f>IF(B13="","",IF(L13="","قيد المراجعة",IF(L13="A","معتمد",IF(L13="B","معتمد بملاحظات",IF(L13="C","مرفوض – يعاد التقديم","مرفوض نهائياً")))))</f>
        <v/>
      </c>
      <c r="N13" s="48">
        <f>IF(J13="","",IF(K13="",TODAY(),K13)-J13)</f>
        <v/>
      </c>
      <c r="O13" s="49">
        <f>IF(B13="","",IF(AND(L13="",N(N13)&gt;S_SLA),"متأخر رد الاستشاري",""))</f>
        <v/>
      </c>
      <c r="P13" s="49">
        <f>IF(B13="","",IF(OR(L13="A",L13="B"),"نعم","لا"))</f>
        <v/>
      </c>
    </row>
    <row r="14">
      <c r="A14" s="39">
        <f>IF(B14="","","MAR-"&amp;TEXT(ROW()-4,"0000"))</f>
        <v/>
      </c>
      <c r="B14" s="50" t="n"/>
      <c r="C14" s="49">
        <f>IF(B14="","",IFERROR(INDEX('المشروعات'!$B$5:$B$304,MATCH(B14,'المشروعات'!$A$5:$A$304,0)),""))</f>
        <v/>
      </c>
      <c r="D14" s="40" t="n"/>
      <c r="E14" s="40" t="n"/>
      <c r="F14" s="40" t="n"/>
      <c r="G14" s="40" t="n"/>
      <c r="H14" s="40" t="n"/>
      <c r="I14" s="51" t="n"/>
      <c r="J14" s="47" t="n"/>
      <c r="K14" s="47" t="n"/>
      <c r="L14" s="50" t="n"/>
      <c r="M14" s="49">
        <f>IF(B14="","",IF(L14="","قيد المراجعة",IF(L14="A","معتمد",IF(L14="B","معتمد بملاحظات",IF(L14="C","مرفوض – يعاد التقديم","مرفوض نهائياً")))))</f>
        <v/>
      </c>
      <c r="N14" s="48">
        <f>IF(J14="","",IF(K14="",TODAY(),K14)-J14)</f>
        <v/>
      </c>
      <c r="O14" s="49">
        <f>IF(B14="","",IF(AND(L14="",N(N14)&gt;S_SLA),"متأخر رد الاستشاري",""))</f>
        <v/>
      </c>
      <c r="P14" s="49">
        <f>IF(B14="","",IF(OR(L14="A",L14="B"),"نعم","لا"))</f>
        <v/>
      </c>
    </row>
    <row r="15">
      <c r="A15" s="39">
        <f>IF(B15="","","MAR-"&amp;TEXT(ROW()-4,"0000"))</f>
        <v/>
      </c>
      <c r="B15" s="50" t="n"/>
      <c r="C15" s="49">
        <f>IF(B15="","",IFERROR(INDEX('المشروعات'!$B$5:$B$304,MATCH(B15,'المشروعات'!$A$5:$A$304,0)),""))</f>
        <v/>
      </c>
      <c r="D15" s="40" t="n"/>
      <c r="E15" s="40" t="n"/>
      <c r="F15" s="40" t="n"/>
      <c r="G15" s="40" t="n"/>
      <c r="H15" s="40" t="n"/>
      <c r="I15" s="51" t="n"/>
      <c r="J15" s="47" t="n"/>
      <c r="K15" s="47" t="n"/>
      <c r="L15" s="50" t="n"/>
      <c r="M15" s="49">
        <f>IF(B15="","",IF(L15="","قيد المراجعة",IF(L15="A","معتمد",IF(L15="B","معتمد بملاحظات",IF(L15="C","مرفوض – يعاد التقديم","مرفوض نهائياً")))))</f>
        <v/>
      </c>
      <c r="N15" s="48">
        <f>IF(J15="","",IF(K15="",TODAY(),K15)-J15)</f>
        <v/>
      </c>
      <c r="O15" s="49">
        <f>IF(B15="","",IF(AND(L15="",N(N15)&gt;S_SLA),"متأخر رد الاستشاري",""))</f>
        <v/>
      </c>
      <c r="P15" s="49">
        <f>IF(B15="","",IF(OR(L15="A",L15="B"),"نعم","لا"))</f>
        <v/>
      </c>
    </row>
    <row r="16">
      <c r="A16" s="39">
        <f>IF(B16="","","MAR-"&amp;TEXT(ROW()-4,"0000"))</f>
        <v/>
      </c>
      <c r="B16" s="50" t="n"/>
      <c r="C16" s="49">
        <f>IF(B16="","",IFERROR(INDEX('المشروعات'!$B$5:$B$304,MATCH(B16,'المشروعات'!$A$5:$A$304,0)),""))</f>
        <v/>
      </c>
      <c r="D16" s="40" t="n"/>
      <c r="E16" s="40" t="n"/>
      <c r="F16" s="40" t="n"/>
      <c r="G16" s="40" t="n"/>
      <c r="H16" s="40" t="n"/>
      <c r="I16" s="51" t="n"/>
      <c r="J16" s="47" t="n"/>
      <c r="K16" s="47" t="n"/>
      <c r="L16" s="50" t="n"/>
      <c r="M16" s="49">
        <f>IF(B16="","",IF(L16="","قيد المراجعة",IF(L16="A","معتمد",IF(L16="B","معتمد بملاحظات",IF(L16="C","مرفوض – يعاد التقديم","مرفوض نهائياً")))))</f>
        <v/>
      </c>
      <c r="N16" s="48">
        <f>IF(J16="","",IF(K16="",TODAY(),K16)-J16)</f>
        <v/>
      </c>
      <c r="O16" s="49">
        <f>IF(B16="","",IF(AND(L16="",N(N16)&gt;S_SLA),"متأخر رد الاستشاري",""))</f>
        <v/>
      </c>
      <c r="P16" s="49">
        <f>IF(B16="","",IF(OR(L16="A",L16="B"),"نعم","لا"))</f>
        <v/>
      </c>
    </row>
    <row r="17">
      <c r="A17" s="39">
        <f>IF(B17="","","MAR-"&amp;TEXT(ROW()-4,"0000"))</f>
        <v/>
      </c>
      <c r="B17" s="50" t="n"/>
      <c r="C17" s="49">
        <f>IF(B17="","",IFERROR(INDEX('المشروعات'!$B$5:$B$304,MATCH(B17,'المشروعات'!$A$5:$A$304,0)),""))</f>
        <v/>
      </c>
      <c r="D17" s="40" t="n"/>
      <c r="E17" s="40" t="n"/>
      <c r="F17" s="40" t="n"/>
      <c r="G17" s="40" t="n"/>
      <c r="H17" s="40" t="n"/>
      <c r="I17" s="51" t="n"/>
      <c r="J17" s="47" t="n"/>
      <c r="K17" s="47" t="n"/>
      <c r="L17" s="50" t="n"/>
      <c r="M17" s="49">
        <f>IF(B17="","",IF(L17="","قيد المراجعة",IF(L17="A","معتمد",IF(L17="B","معتمد بملاحظات",IF(L17="C","مرفوض – يعاد التقديم","مرفوض نهائياً")))))</f>
        <v/>
      </c>
      <c r="N17" s="48">
        <f>IF(J17="","",IF(K17="",TODAY(),K17)-J17)</f>
        <v/>
      </c>
      <c r="O17" s="49">
        <f>IF(B17="","",IF(AND(L17="",N(N17)&gt;S_SLA),"متأخر رد الاستشاري",""))</f>
        <v/>
      </c>
      <c r="P17" s="49">
        <f>IF(B17="","",IF(OR(L17="A",L17="B"),"نعم","لا"))</f>
        <v/>
      </c>
    </row>
    <row r="18">
      <c r="A18" s="39">
        <f>IF(B18="","","MAR-"&amp;TEXT(ROW()-4,"0000"))</f>
        <v/>
      </c>
      <c r="B18" s="50" t="n"/>
      <c r="C18" s="49">
        <f>IF(B18="","",IFERROR(INDEX('المشروعات'!$B$5:$B$304,MATCH(B18,'المشروعات'!$A$5:$A$304,0)),""))</f>
        <v/>
      </c>
      <c r="D18" s="40" t="n"/>
      <c r="E18" s="40" t="n"/>
      <c r="F18" s="40" t="n"/>
      <c r="G18" s="40" t="n"/>
      <c r="H18" s="40" t="n"/>
      <c r="I18" s="51" t="n"/>
      <c r="J18" s="47" t="n"/>
      <c r="K18" s="47" t="n"/>
      <c r="L18" s="50" t="n"/>
      <c r="M18" s="49">
        <f>IF(B18="","",IF(L18="","قيد المراجعة",IF(L18="A","معتمد",IF(L18="B","معتمد بملاحظات",IF(L18="C","مرفوض – يعاد التقديم","مرفوض نهائياً")))))</f>
        <v/>
      </c>
      <c r="N18" s="48">
        <f>IF(J18="","",IF(K18="",TODAY(),K18)-J18)</f>
        <v/>
      </c>
      <c r="O18" s="49">
        <f>IF(B18="","",IF(AND(L18="",N(N18)&gt;S_SLA),"متأخر رد الاستشاري",""))</f>
        <v/>
      </c>
      <c r="P18" s="49">
        <f>IF(B18="","",IF(OR(L18="A",L18="B"),"نعم","لا"))</f>
        <v/>
      </c>
    </row>
    <row r="19">
      <c r="A19" s="39">
        <f>IF(B19="","","MAR-"&amp;TEXT(ROW()-4,"0000"))</f>
        <v/>
      </c>
      <c r="B19" s="50" t="n"/>
      <c r="C19" s="49">
        <f>IF(B19="","",IFERROR(INDEX('المشروعات'!$B$5:$B$304,MATCH(B19,'المشروعات'!$A$5:$A$304,0)),""))</f>
        <v/>
      </c>
      <c r="D19" s="40" t="n"/>
      <c r="E19" s="40" t="n"/>
      <c r="F19" s="40" t="n"/>
      <c r="G19" s="40" t="n"/>
      <c r="H19" s="40" t="n"/>
      <c r="I19" s="51" t="n"/>
      <c r="J19" s="47" t="n"/>
      <c r="K19" s="47" t="n"/>
      <c r="L19" s="50" t="n"/>
      <c r="M19" s="49">
        <f>IF(B19="","",IF(L19="","قيد المراجعة",IF(L19="A","معتمد",IF(L19="B","معتمد بملاحظات",IF(L19="C","مرفوض – يعاد التقديم","مرفوض نهائياً")))))</f>
        <v/>
      </c>
      <c r="N19" s="48">
        <f>IF(J19="","",IF(K19="",TODAY(),K19)-J19)</f>
        <v/>
      </c>
      <c r="O19" s="49">
        <f>IF(B19="","",IF(AND(L19="",N(N19)&gt;S_SLA),"متأخر رد الاستشاري",""))</f>
        <v/>
      </c>
      <c r="P19" s="49">
        <f>IF(B19="","",IF(OR(L19="A",L19="B"),"نعم","لا"))</f>
        <v/>
      </c>
    </row>
    <row r="20">
      <c r="A20" s="39">
        <f>IF(B20="","","MAR-"&amp;TEXT(ROW()-4,"0000"))</f>
        <v/>
      </c>
      <c r="B20" s="50" t="n"/>
      <c r="C20" s="49">
        <f>IF(B20="","",IFERROR(INDEX('المشروعات'!$B$5:$B$304,MATCH(B20,'المشروعات'!$A$5:$A$304,0)),""))</f>
        <v/>
      </c>
      <c r="D20" s="40" t="n"/>
      <c r="E20" s="40" t="n"/>
      <c r="F20" s="40" t="n"/>
      <c r="G20" s="40" t="n"/>
      <c r="H20" s="40" t="n"/>
      <c r="I20" s="51" t="n"/>
      <c r="J20" s="47" t="n"/>
      <c r="K20" s="47" t="n"/>
      <c r="L20" s="50" t="n"/>
      <c r="M20" s="49">
        <f>IF(B20="","",IF(L20="","قيد المراجعة",IF(L20="A","معتمد",IF(L20="B","معتمد بملاحظات",IF(L20="C","مرفوض – يعاد التقديم","مرفوض نهائياً")))))</f>
        <v/>
      </c>
      <c r="N20" s="48">
        <f>IF(J20="","",IF(K20="",TODAY(),K20)-J20)</f>
        <v/>
      </c>
      <c r="O20" s="49">
        <f>IF(B20="","",IF(AND(L20="",N(N20)&gt;S_SLA),"متأخر رد الاستشاري",""))</f>
        <v/>
      </c>
      <c r="P20" s="49">
        <f>IF(B20="","",IF(OR(L20="A",L20="B"),"نعم","لا"))</f>
        <v/>
      </c>
    </row>
    <row r="21">
      <c r="A21" s="39">
        <f>IF(B21="","","MAR-"&amp;TEXT(ROW()-4,"0000"))</f>
        <v/>
      </c>
      <c r="B21" s="50" t="n"/>
      <c r="C21" s="49">
        <f>IF(B21="","",IFERROR(INDEX('المشروعات'!$B$5:$B$304,MATCH(B21,'المشروعات'!$A$5:$A$304,0)),""))</f>
        <v/>
      </c>
      <c r="D21" s="40" t="n"/>
      <c r="E21" s="40" t="n"/>
      <c r="F21" s="40" t="n"/>
      <c r="G21" s="40" t="n"/>
      <c r="H21" s="40" t="n"/>
      <c r="I21" s="51" t="n"/>
      <c r="J21" s="47" t="n"/>
      <c r="K21" s="47" t="n"/>
      <c r="L21" s="50" t="n"/>
      <c r="M21" s="49">
        <f>IF(B21="","",IF(L21="","قيد المراجعة",IF(L21="A","معتمد",IF(L21="B","معتمد بملاحظات",IF(L21="C","مرفوض – يعاد التقديم","مرفوض نهائياً")))))</f>
        <v/>
      </c>
      <c r="N21" s="48">
        <f>IF(J21="","",IF(K21="",TODAY(),K21)-J21)</f>
        <v/>
      </c>
      <c r="O21" s="49">
        <f>IF(B21="","",IF(AND(L21="",N(N21)&gt;S_SLA),"متأخر رد الاستشاري",""))</f>
        <v/>
      </c>
      <c r="P21" s="49">
        <f>IF(B21="","",IF(OR(L21="A",L21="B"),"نعم","لا"))</f>
        <v/>
      </c>
    </row>
    <row r="22">
      <c r="A22" s="39">
        <f>IF(B22="","","MAR-"&amp;TEXT(ROW()-4,"0000"))</f>
        <v/>
      </c>
      <c r="B22" s="50" t="n"/>
      <c r="C22" s="49">
        <f>IF(B22="","",IFERROR(INDEX('المشروعات'!$B$5:$B$304,MATCH(B22,'المشروعات'!$A$5:$A$304,0)),""))</f>
        <v/>
      </c>
      <c r="D22" s="40" t="n"/>
      <c r="E22" s="40" t="n"/>
      <c r="F22" s="40" t="n"/>
      <c r="G22" s="40" t="n"/>
      <c r="H22" s="40" t="n"/>
      <c r="I22" s="51" t="n"/>
      <c r="J22" s="47" t="n"/>
      <c r="K22" s="47" t="n"/>
      <c r="L22" s="50" t="n"/>
      <c r="M22" s="49">
        <f>IF(B22="","",IF(L22="","قيد المراجعة",IF(L22="A","معتمد",IF(L22="B","معتمد بملاحظات",IF(L22="C","مرفوض – يعاد التقديم","مرفوض نهائياً")))))</f>
        <v/>
      </c>
      <c r="N22" s="48">
        <f>IF(J22="","",IF(K22="",TODAY(),K22)-J22)</f>
        <v/>
      </c>
      <c r="O22" s="49">
        <f>IF(B22="","",IF(AND(L22="",N(N22)&gt;S_SLA),"متأخر رد الاستشاري",""))</f>
        <v/>
      </c>
      <c r="P22" s="49">
        <f>IF(B22="","",IF(OR(L22="A",L22="B"),"نعم","لا"))</f>
        <v/>
      </c>
    </row>
    <row r="23">
      <c r="A23" s="39">
        <f>IF(B23="","","MAR-"&amp;TEXT(ROW()-4,"0000"))</f>
        <v/>
      </c>
      <c r="B23" s="50" t="n"/>
      <c r="C23" s="49">
        <f>IF(B23="","",IFERROR(INDEX('المشروعات'!$B$5:$B$304,MATCH(B23,'المشروعات'!$A$5:$A$304,0)),""))</f>
        <v/>
      </c>
      <c r="D23" s="40" t="n"/>
      <c r="E23" s="40" t="n"/>
      <c r="F23" s="40" t="n"/>
      <c r="G23" s="40" t="n"/>
      <c r="H23" s="40" t="n"/>
      <c r="I23" s="51" t="n"/>
      <c r="J23" s="47" t="n"/>
      <c r="K23" s="47" t="n"/>
      <c r="L23" s="50" t="n"/>
      <c r="M23" s="49">
        <f>IF(B23="","",IF(L23="","قيد المراجعة",IF(L23="A","معتمد",IF(L23="B","معتمد بملاحظات",IF(L23="C","مرفوض – يعاد التقديم","مرفوض نهائياً")))))</f>
        <v/>
      </c>
      <c r="N23" s="48">
        <f>IF(J23="","",IF(K23="",TODAY(),K23)-J23)</f>
        <v/>
      </c>
      <c r="O23" s="49">
        <f>IF(B23="","",IF(AND(L23="",N(N23)&gt;S_SLA),"متأخر رد الاستشاري",""))</f>
        <v/>
      </c>
      <c r="P23" s="49">
        <f>IF(B23="","",IF(OR(L23="A",L23="B"),"نعم","لا"))</f>
        <v/>
      </c>
    </row>
    <row r="24">
      <c r="A24" s="39">
        <f>IF(B24="","","MAR-"&amp;TEXT(ROW()-4,"0000"))</f>
        <v/>
      </c>
      <c r="B24" s="50" t="n"/>
      <c r="C24" s="49">
        <f>IF(B24="","",IFERROR(INDEX('المشروعات'!$B$5:$B$304,MATCH(B24,'المشروعات'!$A$5:$A$304,0)),""))</f>
        <v/>
      </c>
      <c r="D24" s="40" t="n"/>
      <c r="E24" s="40" t="n"/>
      <c r="F24" s="40" t="n"/>
      <c r="G24" s="40" t="n"/>
      <c r="H24" s="40" t="n"/>
      <c r="I24" s="51" t="n"/>
      <c r="J24" s="47" t="n"/>
      <c r="K24" s="47" t="n"/>
      <c r="L24" s="50" t="n"/>
      <c r="M24" s="49">
        <f>IF(B24="","",IF(L24="","قيد المراجعة",IF(L24="A","معتمد",IF(L24="B","معتمد بملاحظات",IF(L24="C","مرفوض – يعاد التقديم","مرفوض نهائياً")))))</f>
        <v/>
      </c>
      <c r="N24" s="48">
        <f>IF(J24="","",IF(K24="",TODAY(),K24)-J24)</f>
        <v/>
      </c>
      <c r="O24" s="49">
        <f>IF(B24="","",IF(AND(L24="",N(N24)&gt;S_SLA),"متأخر رد الاستشاري",""))</f>
        <v/>
      </c>
      <c r="P24" s="49">
        <f>IF(B24="","",IF(OR(L24="A",L24="B"),"نعم","لا"))</f>
        <v/>
      </c>
    </row>
    <row r="25">
      <c r="A25" s="39">
        <f>IF(B25="","","MAR-"&amp;TEXT(ROW()-4,"0000"))</f>
        <v/>
      </c>
      <c r="B25" s="50" t="n"/>
      <c r="C25" s="49">
        <f>IF(B25="","",IFERROR(INDEX('المشروعات'!$B$5:$B$304,MATCH(B25,'المشروعات'!$A$5:$A$304,0)),""))</f>
        <v/>
      </c>
      <c r="D25" s="40" t="n"/>
      <c r="E25" s="40" t="n"/>
      <c r="F25" s="40" t="n"/>
      <c r="G25" s="40" t="n"/>
      <c r="H25" s="40" t="n"/>
      <c r="I25" s="51" t="n"/>
      <c r="J25" s="47" t="n"/>
      <c r="K25" s="47" t="n"/>
      <c r="L25" s="50" t="n"/>
      <c r="M25" s="49">
        <f>IF(B25="","",IF(L25="","قيد المراجعة",IF(L25="A","معتمد",IF(L25="B","معتمد بملاحظات",IF(L25="C","مرفوض – يعاد التقديم","مرفوض نهائياً")))))</f>
        <v/>
      </c>
      <c r="N25" s="48">
        <f>IF(J25="","",IF(K25="",TODAY(),K25)-J25)</f>
        <v/>
      </c>
      <c r="O25" s="49">
        <f>IF(B25="","",IF(AND(L25="",N(N25)&gt;S_SLA),"متأخر رد الاستشاري",""))</f>
        <v/>
      </c>
      <c r="P25" s="49">
        <f>IF(B25="","",IF(OR(L25="A",L25="B"),"نعم","لا"))</f>
        <v/>
      </c>
    </row>
    <row r="26">
      <c r="A26" s="39">
        <f>IF(B26="","","MAR-"&amp;TEXT(ROW()-4,"0000"))</f>
        <v/>
      </c>
      <c r="B26" s="50" t="n"/>
      <c r="C26" s="49">
        <f>IF(B26="","",IFERROR(INDEX('المشروعات'!$B$5:$B$304,MATCH(B26,'المشروعات'!$A$5:$A$304,0)),""))</f>
        <v/>
      </c>
      <c r="D26" s="40" t="n"/>
      <c r="E26" s="40" t="n"/>
      <c r="F26" s="40" t="n"/>
      <c r="G26" s="40" t="n"/>
      <c r="H26" s="40" t="n"/>
      <c r="I26" s="51" t="n"/>
      <c r="J26" s="47" t="n"/>
      <c r="K26" s="47" t="n"/>
      <c r="L26" s="50" t="n"/>
      <c r="M26" s="49">
        <f>IF(B26="","",IF(L26="","قيد المراجعة",IF(L26="A","معتمد",IF(L26="B","معتمد بملاحظات",IF(L26="C","مرفوض – يعاد التقديم","مرفوض نهائياً")))))</f>
        <v/>
      </c>
      <c r="N26" s="48">
        <f>IF(J26="","",IF(K26="",TODAY(),K26)-J26)</f>
        <v/>
      </c>
      <c r="O26" s="49">
        <f>IF(B26="","",IF(AND(L26="",N(N26)&gt;S_SLA),"متأخر رد الاستشاري",""))</f>
        <v/>
      </c>
      <c r="P26" s="49">
        <f>IF(B26="","",IF(OR(L26="A",L26="B"),"نعم","لا"))</f>
        <v/>
      </c>
    </row>
    <row r="27">
      <c r="A27" s="39">
        <f>IF(B27="","","MAR-"&amp;TEXT(ROW()-4,"0000"))</f>
        <v/>
      </c>
      <c r="B27" s="50" t="n"/>
      <c r="C27" s="49">
        <f>IF(B27="","",IFERROR(INDEX('المشروعات'!$B$5:$B$304,MATCH(B27,'المشروعات'!$A$5:$A$304,0)),""))</f>
        <v/>
      </c>
      <c r="D27" s="40" t="n"/>
      <c r="E27" s="40" t="n"/>
      <c r="F27" s="40" t="n"/>
      <c r="G27" s="40" t="n"/>
      <c r="H27" s="40" t="n"/>
      <c r="I27" s="51" t="n"/>
      <c r="J27" s="47" t="n"/>
      <c r="K27" s="47" t="n"/>
      <c r="L27" s="50" t="n"/>
      <c r="M27" s="49">
        <f>IF(B27="","",IF(L27="","قيد المراجعة",IF(L27="A","معتمد",IF(L27="B","معتمد بملاحظات",IF(L27="C","مرفوض – يعاد التقديم","مرفوض نهائياً")))))</f>
        <v/>
      </c>
      <c r="N27" s="48">
        <f>IF(J27="","",IF(K27="",TODAY(),K27)-J27)</f>
        <v/>
      </c>
      <c r="O27" s="49">
        <f>IF(B27="","",IF(AND(L27="",N(N27)&gt;S_SLA),"متأخر رد الاستشاري",""))</f>
        <v/>
      </c>
      <c r="P27" s="49">
        <f>IF(B27="","",IF(OR(L27="A",L27="B"),"نعم","لا"))</f>
        <v/>
      </c>
    </row>
    <row r="28">
      <c r="A28" s="39">
        <f>IF(B28="","","MAR-"&amp;TEXT(ROW()-4,"0000"))</f>
        <v/>
      </c>
      <c r="B28" s="50" t="n"/>
      <c r="C28" s="49">
        <f>IF(B28="","",IFERROR(INDEX('المشروعات'!$B$5:$B$304,MATCH(B28,'المشروعات'!$A$5:$A$304,0)),""))</f>
        <v/>
      </c>
      <c r="D28" s="40" t="n"/>
      <c r="E28" s="40" t="n"/>
      <c r="F28" s="40" t="n"/>
      <c r="G28" s="40" t="n"/>
      <c r="H28" s="40" t="n"/>
      <c r="I28" s="51" t="n"/>
      <c r="J28" s="47" t="n"/>
      <c r="K28" s="47" t="n"/>
      <c r="L28" s="50" t="n"/>
      <c r="M28" s="49">
        <f>IF(B28="","",IF(L28="","قيد المراجعة",IF(L28="A","معتمد",IF(L28="B","معتمد بملاحظات",IF(L28="C","مرفوض – يعاد التقديم","مرفوض نهائياً")))))</f>
        <v/>
      </c>
      <c r="N28" s="48">
        <f>IF(J28="","",IF(K28="",TODAY(),K28)-J28)</f>
        <v/>
      </c>
      <c r="O28" s="49">
        <f>IF(B28="","",IF(AND(L28="",N(N28)&gt;S_SLA),"متأخر رد الاستشاري",""))</f>
        <v/>
      </c>
      <c r="P28" s="49">
        <f>IF(B28="","",IF(OR(L28="A",L28="B"),"نعم","لا"))</f>
        <v/>
      </c>
    </row>
    <row r="29">
      <c r="A29" s="39">
        <f>IF(B29="","","MAR-"&amp;TEXT(ROW()-4,"0000"))</f>
        <v/>
      </c>
      <c r="B29" s="50" t="n"/>
      <c r="C29" s="49">
        <f>IF(B29="","",IFERROR(INDEX('المشروعات'!$B$5:$B$304,MATCH(B29,'المشروعات'!$A$5:$A$304,0)),""))</f>
        <v/>
      </c>
      <c r="D29" s="40" t="n"/>
      <c r="E29" s="40" t="n"/>
      <c r="F29" s="40" t="n"/>
      <c r="G29" s="40" t="n"/>
      <c r="H29" s="40" t="n"/>
      <c r="I29" s="51" t="n"/>
      <c r="J29" s="47" t="n"/>
      <c r="K29" s="47" t="n"/>
      <c r="L29" s="50" t="n"/>
      <c r="M29" s="49">
        <f>IF(B29="","",IF(L29="","قيد المراجعة",IF(L29="A","معتمد",IF(L29="B","معتمد بملاحظات",IF(L29="C","مرفوض – يعاد التقديم","مرفوض نهائياً")))))</f>
        <v/>
      </c>
      <c r="N29" s="48">
        <f>IF(J29="","",IF(K29="",TODAY(),K29)-J29)</f>
        <v/>
      </c>
      <c r="O29" s="49">
        <f>IF(B29="","",IF(AND(L29="",N(N29)&gt;S_SLA),"متأخر رد الاستشاري",""))</f>
        <v/>
      </c>
      <c r="P29" s="49">
        <f>IF(B29="","",IF(OR(L29="A",L29="B"),"نعم","لا"))</f>
        <v/>
      </c>
    </row>
    <row r="30">
      <c r="A30" s="39">
        <f>IF(B30="","","MAR-"&amp;TEXT(ROW()-4,"0000"))</f>
        <v/>
      </c>
      <c r="B30" s="50" t="n"/>
      <c r="C30" s="49">
        <f>IF(B30="","",IFERROR(INDEX('المشروعات'!$B$5:$B$304,MATCH(B30,'المشروعات'!$A$5:$A$304,0)),""))</f>
        <v/>
      </c>
      <c r="D30" s="40" t="n"/>
      <c r="E30" s="40" t="n"/>
      <c r="F30" s="40" t="n"/>
      <c r="G30" s="40" t="n"/>
      <c r="H30" s="40" t="n"/>
      <c r="I30" s="51" t="n"/>
      <c r="J30" s="47" t="n"/>
      <c r="K30" s="47" t="n"/>
      <c r="L30" s="50" t="n"/>
      <c r="M30" s="49">
        <f>IF(B30="","",IF(L30="","قيد المراجعة",IF(L30="A","معتمد",IF(L30="B","معتمد بملاحظات",IF(L30="C","مرفوض – يعاد التقديم","مرفوض نهائياً")))))</f>
        <v/>
      </c>
      <c r="N30" s="48">
        <f>IF(J30="","",IF(K30="",TODAY(),K30)-J30)</f>
        <v/>
      </c>
      <c r="O30" s="49">
        <f>IF(B30="","",IF(AND(L30="",N(N30)&gt;S_SLA),"متأخر رد الاستشاري",""))</f>
        <v/>
      </c>
      <c r="P30" s="49">
        <f>IF(B30="","",IF(OR(L30="A",L30="B"),"نعم","لا"))</f>
        <v/>
      </c>
    </row>
    <row r="31">
      <c r="A31" s="39">
        <f>IF(B31="","","MAR-"&amp;TEXT(ROW()-4,"0000"))</f>
        <v/>
      </c>
      <c r="B31" s="50" t="n"/>
      <c r="C31" s="49">
        <f>IF(B31="","",IFERROR(INDEX('المشروعات'!$B$5:$B$304,MATCH(B31,'المشروعات'!$A$5:$A$304,0)),""))</f>
        <v/>
      </c>
      <c r="D31" s="40" t="n"/>
      <c r="E31" s="40" t="n"/>
      <c r="F31" s="40" t="n"/>
      <c r="G31" s="40" t="n"/>
      <c r="H31" s="40" t="n"/>
      <c r="I31" s="51" t="n"/>
      <c r="J31" s="47" t="n"/>
      <c r="K31" s="47" t="n"/>
      <c r="L31" s="50" t="n"/>
      <c r="M31" s="49">
        <f>IF(B31="","",IF(L31="","قيد المراجعة",IF(L31="A","معتمد",IF(L31="B","معتمد بملاحظات",IF(L31="C","مرفوض – يعاد التقديم","مرفوض نهائياً")))))</f>
        <v/>
      </c>
      <c r="N31" s="48">
        <f>IF(J31="","",IF(K31="",TODAY(),K31)-J31)</f>
        <v/>
      </c>
      <c r="O31" s="49">
        <f>IF(B31="","",IF(AND(L31="",N(N31)&gt;S_SLA),"متأخر رد الاستشاري",""))</f>
        <v/>
      </c>
      <c r="P31" s="49">
        <f>IF(B31="","",IF(OR(L31="A",L31="B"),"نعم","لا"))</f>
        <v/>
      </c>
    </row>
    <row r="32">
      <c r="A32" s="39">
        <f>IF(B32="","","MAR-"&amp;TEXT(ROW()-4,"0000"))</f>
        <v/>
      </c>
      <c r="B32" s="50" t="n"/>
      <c r="C32" s="49">
        <f>IF(B32="","",IFERROR(INDEX('المشروعات'!$B$5:$B$304,MATCH(B32,'المشروعات'!$A$5:$A$304,0)),""))</f>
        <v/>
      </c>
      <c r="D32" s="40" t="n"/>
      <c r="E32" s="40" t="n"/>
      <c r="F32" s="40" t="n"/>
      <c r="G32" s="40" t="n"/>
      <c r="H32" s="40" t="n"/>
      <c r="I32" s="51" t="n"/>
      <c r="J32" s="47" t="n"/>
      <c r="K32" s="47" t="n"/>
      <c r="L32" s="50" t="n"/>
      <c r="M32" s="49">
        <f>IF(B32="","",IF(L32="","قيد المراجعة",IF(L32="A","معتمد",IF(L32="B","معتمد بملاحظات",IF(L32="C","مرفوض – يعاد التقديم","مرفوض نهائياً")))))</f>
        <v/>
      </c>
      <c r="N32" s="48">
        <f>IF(J32="","",IF(K32="",TODAY(),K32)-J32)</f>
        <v/>
      </c>
      <c r="O32" s="49">
        <f>IF(B32="","",IF(AND(L32="",N(N32)&gt;S_SLA),"متأخر رد الاستشاري",""))</f>
        <v/>
      </c>
      <c r="P32" s="49">
        <f>IF(B32="","",IF(OR(L32="A",L32="B"),"نعم","لا"))</f>
        <v/>
      </c>
    </row>
    <row r="33">
      <c r="A33" s="39">
        <f>IF(B33="","","MAR-"&amp;TEXT(ROW()-4,"0000"))</f>
        <v/>
      </c>
      <c r="B33" s="50" t="n"/>
      <c r="C33" s="49">
        <f>IF(B33="","",IFERROR(INDEX('المشروعات'!$B$5:$B$304,MATCH(B33,'المشروعات'!$A$5:$A$304,0)),""))</f>
        <v/>
      </c>
      <c r="D33" s="40" t="n"/>
      <c r="E33" s="40" t="n"/>
      <c r="F33" s="40" t="n"/>
      <c r="G33" s="40" t="n"/>
      <c r="H33" s="40" t="n"/>
      <c r="I33" s="51" t="n"/>
      <c r="J33" s="47" t="n"/>
      <c r="K33" s="47" t="n"/>
      <c r="L33" s="50" t="n"/>
      <c r="M33" s="49">
        <f>IF(B33="","",IF(L33="","قيد المراجعة",IF(L33="A","معتمد",IF(L33="B","معتمد بملاحظات",IF(L33="C","مرفوض – يعاد التقديم","مرفوض نهائياً")))))</f>
        <v/>
      </c>
      <c r="N33" s="48">
        <f>IF(J33="","",IF(K33="",TODAY(),K33)-J33)</f>
        <v/>
      </c>
      <c r="O33" s="49">
        <f>IF(B33="","",IF(AND(L33="",N(N33)&gt;S_SLA),"متأخر رد الاستشاري",""))</f>
        <v/>
      </c>
      <c r="P33" s="49">
        <f>IF(B33="","",IF(OR(L33="A",L33="B"),"نعم","لا"))</f>
        <v/>
      </c>
    </row>
    <row r="34">
      <c r="A34" s="39">
        <f>IF(B34="","","MAR-"&amp;TEXT(ROW()-4,"0000"))</f>
        <v/>
      </c>
      <c r="B34" s="50" t="n"/>
      <c r="C34" s="49">
        <f>IF(B34="","",IFERROR(INDEX('المشروعات'!$B$5:$B$304,MATCH(B34,'المشروعات'!$A$5:$A$304,0)),""))</f>
        <v/>
      </c>
      <c r="D34" s="40" t="n"/>
      <c r="E34" s="40" t="n"/>
      <c r="F34" s="40" t="n"/>
      <c r="G34" s="40" t="n"/>
      <c r="H34" s="40" t="n"/>
      <c r="I34" s="51" t="n"/>
      <c r="J34" s="47" t="n"/>
      <c r="K34" s="47" t="n"/>
      <c r="L34" s="50" t="n"/>
      <c r="M34" s="49">
        <f>IF(B34="","",IF(L34="","قيد المراجعة",IF(L34="A","معتمد",IF(L34="B","معتمد بملاحظات",IF(L34="C","مرفوض – يعاد التقديم","مرفوض نهائياً")))))</f>
        <v/>
      </c>
      <c r="N34" s="48">
        <f>IF(J34="","",IF(K34="",TODAY(),K34)-J34)</f>
        <v/>
      </c>
      <c r="O34" s="49">
        <f>IF(B34="","",IF(AND(L34="",N(N34)&gt;S_SLA),"متأخر رد الاستشاري",""))</f>
        <v/>
      </c>
      <c r="P34" s="49">
        <f>IF(B34="","",IF(OR(L34="A",L34="B"),"نعم","لا"))</f>
        <v/>
      </c>
    </row>
    <row r="35">
      <c r="A35" s="39">
        <f>IF(B35="","","MAR-"&amp;TEXT(ROW()-4,"0000"))</f>
        <v/>
      </c>
      <c r="B35" s="50" t="n"/>
      <c r="C35" s="49">
        <f>IF(B35="","",IFERROR(INDEX('المشروعات'!$B$5:$B$304,MATCH(B35,'المشروعات'!$A$5:$A$304,0)),""))</f>
        <v/>
      </c>
      <c r="D35" s="40" t="n"/>
      <c r="E35" s="40" t="n"/>
      <c r="F35" s="40" t="n"/>
      <c r="G35" s="40" t="n"/>
      <c r="H35" s="40" t="n"/>
      <c r="I35" s="51" t="n"/>
      <c r="J35" s="47" t="n"/>
      <c r="K35" s="47" t="n"/>
      <c r="L35" s="50" t="n"/>
      <c r="M35" s="49">
        <f>IF(B35="","",IF(L35="","قيد المراجعة",IF(L35="A","معتمد",IF(L35="B","معتمد بملاحظات",IF(L35="C","مرفوض – يعاد التقديم","مرفوض نهائياً")))))</f>
        <v/>
      </c>
      <c r="N35" s="48">
        <f>IF(J35="","",IF(K35="",TODAY(),K35)-J35)</f>
        <v/>
      </c>
      <c r="O35" s="49">
        <f>IF(B35="","",IF(AND(L35="",N(N35)&gt;S_SLA),"متأخر رد الاستشاري",""))</f>
        <v/>
      </c>
      <c r="P35" s="49">
        <f>IF(B35="","",IF(OR(L35="A",L35="B"),"نعم","لا"))</f>
        <v/>
      </c>
    </row>
    <row r="36">
      <c r="A36" s="39">
        <f>IF(B36="","","MAR-"&amp;TEXT(ROW()-4,"0000"))</f>
        <v/>
      </c>
      <c r="B36" s="50" t="n"/>
      <c r="C36" s="49">
        <f>IF(B36="","",IFERROR(INDEX('المشروعات'!$B$5:$B$304,MATCH(B36,'المشروعات'!$A$5:$A$304,0)),""))</f>
        <v/>
      </c>
      <c r="D36" s="40" t="n"/>
      <c r="E36" s="40" t="n"/>
      <c r="F36" s="40" t="n"/>
      <c r="G36" s="40" t="n"/>
      <c r="H36" s="40" t="n"/>
      <c r="I36" s="51" t="n"/>
      <c r="J36" s="47" t="n"/>
      <c r="K36" s="47" t="n"/>
      <c r="L36" s="50" t="n"/>
      <c r="M36" s="49">
        <f>IF(B36="","",IF(L36="","قيد المراجعة",IF(L36="A","معتمد",IF(L36="B","معتمد بملاحظات",IF(L36="C","مرفوض – يعاد التقديم","مرفوض نهائياً")))))</f>
        <v/>
      </c>
      <c r="N36" s="48">
        <f>IF(J36="","",IF(K36="",TODAY(),K36)-J36)</f>
        <v/>
      </c>
      <c r="O36" s="49">
        <f>IF(B36="","",IF(AND(L36="",N(N36)&gt;S_SLA),"متأخر رد الاستشاري",""))</f>
        <v/>
      </c>
      <c r="P36" s="49">
        <f>IF(B36="","",IF(OR(L36="A",L36="B"),"نعم","لا"))</f>
        <v/>
      </c>
    </row>
    <row r="37">
      <c r="A37" s="39">
        <f>IF(B37="","","MAR-"&amp;TEXT(ROW()-4,"0000"))</f>
        <v/>
      </c>
      <c r="B37" s="50" t="n"/>
      <c r="C37" s="49">
        <f>IF(B37="","",IFERROR(INDEX('المشروعات'!$B$5:$B$304,MATCH(B37,'المشروعات'!$A$5:$A$304,0)),""))</f>
        <v/>
      </c>
      <c r="D37" s="40" t="n"/>
      <c r="E37" s="40" t="n"/>
      <c r="F37" s="40" t="n"/>
      <c r="G37" s="40" t="n"/>
      <c r="H37" s="40" t="n"/>
      <c r="I37" s="51" t="n"/>
      <c r="J37" s="47" t="n"/>
      <c r="K37" s="47" t="n"/>
      <c r="L37" s="50" t="n"/>
      <c r="M37" s="49">
        <f>IF(B37="","",IF(L37="","قيد المراجعة",IF(L37="A","معتمد",IF(L37="B","معتمد بملاحظات",IF(L37="C","مرفوض – يعاد التقديم","مرفوض نهائياً")))))</f>
        <v/>
      </c>
      <c r="N37" s="48">
        <f>IF(J37="","",IF(K37="",TODAY(),K37)-J37)</f>
        <v/>
      </c>
      <c r="O37" s="49">
        <f>IF(B37="","",IF(AND(L37="",N(N37)&gt;S_SLA),"متأخر رد الاستشاري",""))</f>
        <v/>
      </c>
      <c r="P37" s="49">
        <f>IF(B37="","",IF(OR(L37="A",L37="B"),"نعم","لا"))</f>
        <v/>
      </c>
    </row>
    <row r="38">
      <c r="A38" s="39">
        <f>IF(B38="","","MAR-"&amp;TEXT(ROW()-4,"0000"))</f>
        <v/>
      </c>
      <c r="B38" s="50" t="n"/>
      <c r="C38" s="49">
        <f>IF(B38="","",IFERROR(INDEX('المشروعات'!$B$5:$B$304,MATCH(B38,'المشروعات'!$A$5:$A$304,0)),""))</f>
        <v/>
      </c>
      <c r="D38" s="40" t="n"/>
      <c r="E38" s="40" t="n"/>
      <c r="F38" s="40" t="n"/>
      <c r="G38" s="40" t="n"/>
      <c r="H38" s="40" t="n"/>
      <c r="I38" s="51" t="n"/>
      <c r="J38" s="47" t="n"/>
      <c r="K38" s="47" t="n"/>
      <c r="L38" s="50" t="n"/>
      <c r="M38" s="49">
        <f>IF(B38="","",IF(L38="","قيد المراجعة",IF(L38="A","معتمد",IF(L38="B","معتمد بملاحظات",IF(L38="C","مرفوض – يعاد التقديم","مرفوض نهائياً")))))</f>
        <v/>
      </c>
      <c r="N38" s="48">
        <f>IF(J38="","",IF(K38="",TODAY(),K38)-J38)</f>
        <v/>
      </c>
      <c r="O38" s="49">
        <f>IF(B38="","",IF(AND(L38="",N(N38)&gt;S_SLA),"متأخر رد الاستشاري",""))</f>
        <v/>
      </c>
      <c r="P38" s="49">
        <f>IF(B38="","",IF(OR(L38="A",L38="B"),"نعم","لا"))</f>
        <v/>
      </c>
    </row>
    <row r="39">
      <c r="A39" s="39">
        <f>IF(B39="","","MAR-"&amp;TEXT(ROW()-4,"0000"))</f>
        <v/>
      </c>
      <c r="B39" s="50" t="n"/>
      <c r="C39" s="49">
        <f>IF(B39="","",IFERROR(INDEX('المشروعات'!$B$5:$B$304,MATCH(B39,'المشروعات'!$A$5:$A$304,0)),""))</f>
        <v/>
      </c>
      <c r="D39" s="40" t="n"/>
      <c r="E39" s="40" t="n"/>
      <c r="F39" s="40" t="n"/>
      <c r="G39" s="40" t="n"/>
      <c r="H39" s="40" t="n"/>
      <c r="I39" s="51" t="n"/>
      <c r="J39" s="47" t="n"/>
      <c r="K39" s="47" t="n"/>
      <c r="L39" s="50" t="n"/>
      <c r="M39" s="49">
        <f>IF(B39="","",IF(L39="","قيد المراجعة",IF(L39="A","معتمد",IF(L39="B","معتمد بملاحظات",IF(L39="C","مرفوض – يعاد التقديم","مرفوض نهائياً")))))</f>
        <v/>
      </c>
      <c r="N39" s="48">
        <f>IF(J39="","",IF(K39="",TODAY(),K39)-J39)</f>
        <v/>
      </c>
      <c r="O39" s="49">
        <f>IF(B39="","",IF(AND(L39="",N(N39)&gt;S_SLA),"متأخر رد الاستشاري",""))</f>
        <v/>
      </c>
      <c r="P39" s="49">
        <f>IF(B39="","",IF(OR(L39="A",L39="B"),"نعم","لا"))</f>
        <v/>
      </c>
    </row>
    <row r="40">
      <c r="A40" s="39">
        <f>IF(B40="","","MAR-"&amp;TEXT(ROW()-4,"0000"))</f>
        <v/>
      </c>
      <c r="B40" s="50" t="n"/>
      <c r="C40" s="49">
        <f>IF(B40="","",IFERROR(INDEX('المشروعات'!$B$5:$B$304,MATCH(B40,'المشروعات'!$A$5:$A$304,0)),""))</f>
        <v/>
      </c>
      <c r="D40" s="40" t="n"/>
      <c r="E40" s="40" t="n"/>
      <c r="F40" s="40" t="n"/>
      <c r="G40" s="40" t="n"/>
      <c r="H40" s="40" t="n"/>
      <c r="I40" s="51" t="n"/>
      <c r="J40" s="47" t="n"/>
      <c r="K40" s="47" t="n"/>
      <c r="L40" s="50" t="n"/>
      <c r="M40" s="49">
        <f>IF(B40="","",IF(L40="","قيد المراجعة",IF(L40="A","معتمد",IF(L40="B","معتمد بملاحظات",IF(L40="C","مرفوض – يعاد التقديم","مرفوض نهائياً")))))</f>
        <v/>
      </c>
      <c r="N40" s="48">
        <f>IF(J40="","",IF(K40="",TODAY(),K40)-J40)</f>
        <v/>
      </c>
      <c r="O40" s="49">
        <f>IF(B40="","",IF(AND(L40="",N(N40)&gt;S_SLA),"متأخر رد الاستشاري",""))</f>
        <v/>
      </c>
      <c r="P40" s="49">
        <f>IF(B40="","",IF(OR(L40="A",L40="B"),"نعم","لا"))</f>
        <v/>
      </c>
    </row>
    <row r="41">
      <c r="A41" s="39">
        <f>IF(B41="","","MAR-"&amp;TEXT(ROW()-4,"0000"))</f>
        <v/>
      </c>
      <c r="B41" s="50" t="n"/>
      <c r="C41" s="49">
        <f>IF(B41="","",IFERROR(INDEX('المشروعات'!$B$5:$B$304,MATCH(B41,'المشروعات'!$A$5:$A$304,0)),""))</f>
        <v/>
      </c>
      <c r="D41" s="40" t="n"/>
      <c r="E41" s="40" t="n"/>
      <c r="F41" s="40" t="n"/>
      <c r="G41" s="40" t="n"/>
      <c r="H41" s="40" t="n"/>
      <c r="I41" s="51" t="n"/>
      <c r="J41" s="47" t="n"/>
      <c r="K41" s="47" t="n"/>
      <c r="L41" s="50" t="n"/>
      <c r="M41" s="49">
        <f>IF(B41="","",IF(L41="","قيد المراجعة",IF(L41="A","معتمد",IF(L41="B","معتمد بملاحظات",IF(L41="C","مرفوض – يعاد التقديم","مرفوض نهائياً")))))</f>
        <v/>
      </c>
      <c r="N41" s="48">
        <f>IF(J41="","",IF(K41="",TODAY(),K41)-J41)</f>
        <v/>
      </c>
      <c r="O41" s="49">
        <f>IF(B41="","",IF(AND(L41="",N(N41)&gt;S_SLA),"متأخر رد الاستشاري",""))</f>
        <v/>
      </c>
      <c r="P41" s="49">
        <f>IF(B41="","",IF(OR(L41="A",L41="B"),"نعم","لا"))</f>
        <v/>
      </c>
    </row>
    <row r="42">
      <c r="A42" s="39">
        <f>IF(B42="","","MAR-"&amp;TEXT(ROW()-4,"0000"))</f>
        <v/>
      </c>
      <c r="B42" s="50" t="n"/>
      <c r="C42" s="49">
        <f>IF(B42="","",IFERROR(INDEX('المشروعات'!$B$5:$B$304,MATCH(B42,'المشروعات'!$A$5:$A$304,0)),""))</f>
        <v/>
      </c>
      <c r="D42" s="40" t="n"/>
      <c r="E42" s="40" t="n"/>
      <c r="F42" s="40" t="n"/>
      <c r="G42" s="40" t="n"/>
      <c r="H42" s="40" t="n"/>
      <c r="I42" s="51" t="n"/>
      <c r="J42" s="47" t="n"/>
      <c r="K42" s="47" t="n"/>
      <c r="L42" s="50" t="n"/>
      <c r="M42" s="49">
        <f>IF(B42="","",IF(L42="","قيد المراجعة",IF(L42="A","معتمد",IF(L42="B","معتمد بملاحظات",IF(L42="C","مرفوض – يعاد التقديم","مرفوض نهائياً")))))</f>
        <v/>
      </c>
      <c r="N42" s="48">
        <f>IF(J42="","",IF(K42="",TODAY(),K42)-J42)</f>
        <v/>
      </c>
      <c r="O42" s="49">
        <f>IF(B42="","",IF(AND(L42="",N(N42)&gt;S_SLA),"متأخر رد الاستشاري",""))</f>
        <v/>
      </c>
      <c r="P42" s="49">
        <f>IF(B42="","",IF(OR(L42="A",L42="B"),"نعم","لا"))</f>
        <v/>
      </c>
    </row>
    <row r="43">
      <c r="A43" s="39">
        <f>IF(B43="","","MAR-"&amp;TEXT(ROW()-4,"0000"))</f>
        <v/>
      </c>
      <c r="B43" s="50" t="n"/>
      <c r="C43" s="49">
        <f>IF(B43="","",IFERROR(INDEX('المشروعات'!$B$5:$B$304,MATCH(B43,'المشروعات'!$A$5:$A$304,0)),""))</f>
        <v/>
      </c>
      <c r="D43" s="40" t="n"/>
      <c r="E43" s="40" t="n"/>
      <c r="F43" s="40" t="n"/>
      <c r="G43" s="40" t="n"/>
      <c r="H43" s="40" t="n"/>
      <c r="I43" s="51" t="n"/>
      <c r="J43" s="47" t="n"/>
      <c r="K43" s="47" t="n"/>
      <c r="L43" s="50" t="n"/>
      <c r="M43" s="49">
        <f>IF(B43="","",IF(L43="","قيد المراجعة",IF(L43="A","معتمد",IF(L43="B","معتمد بملاحظات",IF(L43="C","مرفوض – يعاد التقديم","مرفوض نهائياً")))))</f>
        <v/>
      </c>
      <c r="N43" s="48">
        <f>IF(J43="","",IF(K43="",TODAY(),K43)-J43)</f>
        <v/>
      </c>
      <c r="O43" s="49">
        <f>IF(B43="","",IF(AND(L43="",N(N43)&gt;S_SLA),"متأخر رد الاستشاري",""))</f>
        <v/>
      </c>
      <c r="P43" s="49">
        <f>IF(B43="","",IF(OR(L43="A",L43="B"),"نعم","لا"))</f>
        <v/>
      </c>
    </row>
    <row r="44">
      <c r="A44" s="39">
        <f>IF(B44="","","MAR-"&amp;TEXT(ROW()-4,"0000"))</f>
        <v/>
      </c>
      <c r="B44" s="50" t="n"/>
      <c r="C44" s="49">
        <f>IF(B44="","",IFERROR(INDEX('المشروعات'!$B$5:$B$304,MATCH(B44,'المشروعات'!$A$5:$A$304,0)),""))</f>
        <v/>
      </c>
      <c r="D44" s="40" t="n"/>
      <c r="E44" s="40" t="n"/>
      <c r="F44" s="40" t="n"/>
      <c r="G44" s="40" t="n"/>
      <c r="H44" s="40" t="n"/>
      <c r="I44" s="51" t="n"/>
      <c r="J44" s="47" t="n"/>
      <c r="K44" s="47" t="n"/>
      <c r="L44" s="50" t="n"/>
      <c r="M44" s="49">
        <f>IF(B44="","",IF(L44="","قيد المراجعة",IF(L44="A","معتمد",IF(L44="B","معتمد بملاحظات",IF(L44="C","مرفوض – يعاد التقديم","مرفوض نهائياً")))))</f>
        <v/>
      </c>
      <c r="N44" s="48">
        <f>IF(J44="","",IF(K44="",TODAY(),K44)-J44)</f>
        <v/>
      </c>
      <c r="O44" s="49">
        <f>IF(B44="","",IF(AND(L44="",N(N44)&gt;S_SLA),"متأخر رد الاستشاري",""))</f>
        <v/>
      </c>
      <c r="P44" s="49">
        <f>IF(B44="","",IF(OR(L44="A",L44="B"),"نعم","لا"))</f>
        <v/>
      </c>
    </row>
    <row r="45">
      <c r="A45" s="39">
        <f>IF(B45="","","MAR-"&amp;TEXT(ROW()-4,"0000"))</f>
        <v/>
      </c>
      <c r="B45" s="50" t="n"/>
      <c r="C45" s="49">
        <f>IF(B45="","",IFERROR(INDEX('المشروعات'!$B$5:$B$304,MATCH(B45,'المشروعات'!$A$5:$A$304,0)),""))</f>
        <v/>
      </c>
      <c r="D45" s="40" t="n"/>
      <c r="E45" s="40" t="n"/>
      <c r="F45" s="40" t="n"/>
      <c r="G45" s="40" t="n"/>
      <c r="H45" s="40" t="n"/>
      <c r="I45" s="51" t="n"/>
      <c r="J45" s="47" t="n"/>
      <c r="K45" s="47" t="n"/>
      <c r="L45" s="50" t="n"/>
      <c r="M45" s="49">
        <f>IF(B45="","",IF(L45="","قيد المراجعة",IF(L45="A","معتمد",IF(L45="B","معتمد بملاحظات",IF(L45="C","مرفوض – يعاد التقديم","مرفوض نهائياً")))))</f>
        <v/>
      </c>
      <c r="N45" s="48">
        <f>IF(J45="","",IF(K45="",TODAY(),K45)-J45)</f>
        <v/>
      </c>
      <c r="O45" s="49">
        <f>IF(B45="","",IF(AND(L45="",N(N45)&gt;S_SLA),"متأخر رد الاستشاري",""))</f>
        <v/>
      </c>
      <c r="P45" s="49">
        <f>IF(B45="","",IF(OR(L45="A",L45="B"),"نعم","لا"))</f>
        <v/>
      </c>
    </row>
    <row r="46">
      <c r="A46" s="39">
        <f>IF(B46="","","MAR-"&amp;TEXT(ROW()-4,"0000"))</f>
        <v/>
      </c>
      <c r="B46" s="50" t="n"/>
      <c r="C46" s="49">
        <f>IF(B46="","",IFERROR(INDEX('المشروعات'!$B$5:$B$304,MATCH(B46,'المشروعات'!$A$5:$A$304,0)),""))</f>
        <v/>
      </c>
      <c r="D46" s="40" t="n"/>
      <c r="E46" s="40" t="n"/>
      <c r="F46" s="40" t="n"/>
      <c r="G46" s="40" t="n"/>
      <c r="H46" s="40" t="n"/>
      <c r="I46" s="51" t="n"/>
      <c r="J46" s="47" t="n"/>
      <c r="K46" s="47" t="n"/>
      <c r="L46" s="50" t="n"/>
      <c r="M46" s="49">
        <f>IF(B46="","",IF(L46="","قيد المراجعة",IF(L46="A","معتمد",IF(L46="B","معتمد بملاحظات",IF(L46="C","مرفوض – يعاد التقديم","مرفوض نهائياً")))))</f>
        <v/>
      </c>
      <c r="N46" s="48">
        <f>IF(J46="","",IF(K46="",TODAY(),K46)-J46)</f>
        <v/>
      </c>
      <c r="O46" s="49">
        <f>IF(B46="","",IF(AND(L46="",N(N46)&gt;S_SLA),"متأخر رد الاستشاري",""))</f>
        <v/>
      </c>
      <c r="P46" s="49">
        <f>IF(B46="","",IF(OR(L46="A",L46="B"),"نعم","لا"))</f>
        <v/>
      </c>
    </row>
    <row r="47">
      <c r="A47" s="39">
        <f>IF(B47="","","MAR-"&amp;TEXT(ROW()-4,"0000"))</f>
        <v/>
      </c>
      <c r="B47" s="50" t="n"/>
      <c r="C47" s="49">
        <f>IF(B47="","",IFERROR(INDEX('المشروعات'!$B$5:$B$304,MATCH(B47,'المشروعات'!$A$5:$A$304,0)),""))</f>
        <v/>
      </c>
      <c r="D47" s="40" t="n"/>
      <c r="E47" s="40" t="n"/>
      <c r="F47" s="40" t="n"/>
      <c r="G47" s="40" t="n"/>
      <c r="H47" s="40" t="n"/>
      <c r="I47" s="51" t="n"/>
      <c r="J47" s="47" t="n"/>
      <c r="K47" s="47" t="n"/>
      <c r="L47" s="50" t="n"/>
      <c r="M47" s="49">
        <f>IF(B47="","",IF(L47="","قيد المراجعة",IF(L47="A","معتمد",IF(L47="B","معتمد بملاحظات",IF(L47="C","مرفوض – يعاد التقديم","مرفوض نهائياً")))))</f>
        <v/>
      </c>
      <c r="N47" s="48">
        <f>IF(J47="","",IF(K47="",TODAY(),K47)-J47)</f>
        <v/>
      </c>
      <c r="O47" s="49">
        <f>IF(B47="","",IF(AND(L47="",N(N47)&gt;S_SLA),"متأخر رد الاستشاري",""))</f>
        <v/>
      </c>
      <c r="P47" s="49">
        <f>IF(B47="","",IF(OR(L47="A",L47="B"),"نعم","لا"))</f>
        <v/>
      </c>
    </row>
    <row r="48">
      <c r="A48" s="39">
        <f>IF(B48="","","MAR-"&amp;TEXT(ROW()-4,"0000"))</f>
        <v/>
      </c>
      <c r="B48" s="50" t="n"/>
      <c r="C48" s="49">
        <f>IF(B48="","",IFERROR(INDEX('المشروعات'!$B$5:$B$304,MATCH(B48,'المشروعات'!$A$5:$A$304,0)),""))</f>
        <v/>
      </c>
      <c r="D48" s="40" t="n"/>
      <c r="E48" s="40" t="n"/>
      <c r="F48" s="40" t="n"/>
      <c r="G48" s="40" t="n"/>
      <c r="H48" s="40" t="n"/>
      <c r="I48" s="51" t="n"/>
      <c r="J48" s="47" t="n"/>
      <c r="K48" s="47" t="n"/>
      <c r="L48" s="50" t="n"/>
      <c r="M48" s="49">
        <f>IF(B48="","",IF(L48="","قيد المراجعة",IF(L48="A","معتمد",IF(L48="B","معتمد بملاحظات",IF(L48="C","مرفوض – يعاد التقديم","مرفوض نهائياً")))))</f>
        <v/>
      </c>
      <c r="N48" s="48">
        <f>IF(J48="","",IF(K48="",TODAY(),K48)-J48)</f>
        <v/>
      </c>
      <c r="O48" s="49">
        <f>IF(B48="","",IF(AND(L48="",N(N48)&gt;S_SLA),"متأخر رد الاستشاري",""))</f>
        <v/>
      </c>
      <c r="P48" s="49">
        <f>IF(B48="","",IF(OR(L48="A",L48="B"),"نعم","لا"))</f>
        <v/>
      </c>
    </row>
    <row r="49">
      <c r="A49" s="39">
        <f>IF(B49="","","MAR-"&amp;TEXT(ROW()-4,"0000"))</f>
        <v/>
      </c>
      <c r="B49" s="50" t="n"/>
      <c r="C49" s="49">
        <f>IF(B49="","",IFERROR(INDEX('المشروعات'!$B$5:$B$304,MATCH(B49,'المشروعات'!$A$5:$A$304,0)),""))</f>
        <v/>
      </c>
      <c r="D49" s="40" t="n"/>
      <c r="E49" s="40" t="n"/>
      <c r="F49" s="40" t="n"/>
      <c r="G49" s="40" t="n"/>
      <c r="H49" s="40" t="n"/>
      <c r="I49" s="51" t="n"/>
      <c r="J49" s="47" t="n"/>
      <c r="K49" s="47" t="n"/>
      <c r="L49" s="50" t="n"/>
      <c r="M49" s="49">
        <f>IF(B49="","",IF(L49="","قيد المراجعة",IF(L49="A","معتمد",IF(L49="B","معتمد بملاحظات",IF(L49="C","مرفوض – يعاد التقديم","مرفوض نهائياً")))))</f>
        <v/>
      </c>
      <c r="N49" s="48">
        <f>IF(J49="","",IF(K49="",TODAY(),K49)-J49)</f>
        <v/>
      </c>
      <c r="O49" s="49">
        <f>IF(B49="","",IF(AND(L49="",N(N49)&gt;S_SLA),"متأخر رد الاستشاري",""))</f>
        <v/>
      </c>
      <c r="P49" s="49">
        <f>IF(B49="","",IF(OR(L49="A",L49="B"),"نعم","لا"))</f>
        <v/>
      </c>
    </row>
    <row r="50">
      <c r="A50" s="39">
        <f>IF(B50="","","MAR-"&amp;TEXT(ROW()-4,"0000"))</f>
        <v/>
      </c>
      <c r="B50" s="50" t="n"/>
      <c r="C50" s="49">
        <f>IF(B50="","",IFERROR(INDEX('المشروعات'!$B$5:$B$304,MATCH(B50,'المشروعات'!$A$5:$A$304,0)),""))</f>
        <v/>
      </c>
      <c r="D50" s="40" t="n"/>
      <c r="E50" s="40" t="n"/>
      <c r="F50" s="40" t="n"/>
      <c r="G50" s="40" t="n"/>
      <c r="H50" s="40" t="n"/>
      <c r="I50" s="51" t="n"/>
      <c r="J50" s="47" t="n"/>
      <c r="K50" s="47" t="n"/>
      <c r="L50" s="50" t="n"/>
      <c r="M50" s="49">
        <f>IF(B50="","",IF(L50="","قيد المراجعة",IF(L50="A","معتمد",IF(L50="B","معتمد بملاحظات",IF(L50="C","مرفوض – يعاد التقديم","مرفوض نهائياً")))))</f>
        <v/>
      </c>
      <c r="N50" s="48">
        <f>IF(J50="","",IF(K50="",TODAY(),K50)-J50)</f>
        <v/>
      </c>
      <c r="O50" s="49">
        <f>IF(B50="","",IF(AND(L50="",N(N50)&gt;S_SLA),"متأخر رد الاستشاري",""))</f>
        <v/>
      </c>
      <c r="P50" s="49">
        <f>IF(B50="","",IF(OR(L50="A",L50="B"),"نعم","لا"))</f>
        <v/>
      </c>
    </row>
    <row r="51">
      <c r="A51" s="39">
        <f>IF(B51="","","MAR-"&amp;TEXT(ROW()-4,"0000"))</f>
        <v/>
      </c>
      <c r="B51" s="50" t="n"/>
      <c r="C51" s="49">
        <f>IF(B51="","",IFERROR(INDEX('المشروعات'!$B$5:$B$304,MATCH(B51,'المشروعات'!$A$5:$A$304,0)),""))</f>
        <v/>
      </c>
      <c r="D51" s="40" t="n"/>
      <c r="E51" s="40" t="n"/>
      <c r="F51" s="40" t="n"/>
      <c r="G51" s="40" t="n"/>
      <c r="H51" s="40" t="n"/>
      <c r="I51" s="51" t="n"/>
      <c r="J51" s="47" t="n"/>
      <c r="K51" s="47" t="n"/>
      <c r="L51" s="50" t="n"/>
      <c r="M51" s="49">
        <f>IF(B51="","",IF(L51="","قيد المراجعة",IF(L51="A","معتمد",IF(L51="B","معتمد بملاحظات",IF(L51="C","مرفوض – يعاد التقديم","مرفوض نهائياً")))))</f>
        <v/>
      </c>
      <c r="N51" s="48">
        <f>IF(J51="","",IF(K51="",TODAY(),K51)-J51)</f>
        <v/>
      </c>
      <c r="O51" s="49">
        <f>IF(B51="","",IF(AND(L51="",N(N51)&gt;S_SLA),"متأخر رد الاستشاري",""))</f>
        <v/>
      </c>
      <c r="P51" s="49">
        <f>IF(B51="","",IF(OR(L51="A",L51="B"),"نعم","لا"))</f>
        <v/>
      </c>
    </row>
    <row r="52">
      <c r="A52" s="39">
        <f>IF(B52="","","MAR-"&amp;TEXT(ROW()-4,"0000"))</f>
        <v/>
      </c>
      <c r="B52" s="50" t="n"/>
      <c r="C52" s="49">
        <f>IF(B52="","",IFERROR(INDEX('المشروعات'!$B$5:$B$304,MATCH(B52,'المشروعات'!$A$5:$A$304,0)),""))</f>
        <v/>
      </c>
      <c r="D52" s="40" t="n"/>
      <c r="E52" s="40" t="n"/>
      <c r="F52" s="40" t="n"/>
      <c r="G52" s="40" t="n"/>
      <c r="H52" s="40" t="n"/>
      <c r="I52" s="51" t="n"/>
      <c r="J52" s="47" t="n"/>
      <c r="K52" s="47" t="n"/>
      <c r="L52" s="50" t="n"/>
      <c r="M52" s="49">
        <f>IF(B52="","",IF(L52="","قيد المراجعة",IF(L52="A","معتمد",IF(L52="B","معتمد بملاحظات",IF(L52="C","مرفوض – يعاد التقديم","مرفوض نهائياً")))))</f>
        <v/>
      </c>
      <c r="N52" s="48">
        <f>IF(J52="","",IF(K52="",TODAY(),K52)-J52)</f>
        <v/>
      </c>
      <c r="O52" s="49">
        <f>IF(B52="","",IF(AND(L52="",N(N52)&gt;S_SLA),"متأخر رد الاستشاري",""))</f>
        <v/>
      </c>
      <c r="P52" s="49">
        <f>IF(B52="","",IF(OR(L52="A",L52="B"),"نعم","لا"))</f>
        <v/>
      </c>
    </row>
    <row r="53">
      <c r="A53" s="39">
        <f>IF(B53="","","MAR-"&amp;TEXT(ROW()-4,"0000"))</f>
        <v/>
      </c>
      <c r="B53" s="50" t="n"/>
      <c r="C53" s="49">
        <f>IF(B53="","",IFERROR(INDEX('المشروعات'!$B$5:$B$304,MATCH(B53,'المشروعات'!$A$5:$A$304,0)),""))</f>
        <v/>
      </c>
      <c r="D53" s="40" t="n"/>
      <c r="E53" s="40" t="n"/>
      <c r="F53" s="40" t="n"/>
      <c r="G53" s="40" t="n"/>
      <c r="H53" s="40" t="n"/>
      <c r="I53" s="51" t="n"/>
      <c r="J53" s="47" t="n"/>
      <c r="K53" s="47" t="n"/>
      <c r="L53" s="50" t="n"/>
      <c r="M53" s="49">
        <f>IF(B53="","",IF(L53="","قيد المراجعة",IF(L53="A","معتمد",IF(L53="B","معتمد بملاحظات",IF(L53="C","مرفوض – يعاد التقديم","مرفوض نهائياً")))))</f>
        <v/>
      </c>
      <c r="N53" s="48">
        <f>IF(J53="","",IF(K53="",TODAY(),K53)-J53)</f>
        <v/>
      </c>
      <c r="O53" s="49">
        <f>IF(B53="","",IF(AND(L53="",N(N53)&gt;S_SLA),"متأخر رد الاستشاري",""))</f>
        <v/>
      </c>
      <c r="P53" s="49">
        <f>IF(B53="","",IF(OR(L53="A",L53="B"),"نعم","لا"))</f>
        <v/>
      </c>
    </row>
    <row r="54">
      <c r="A54" s="39">
        <f>IF(B54="","","MAR-"&amp;TEXT(ROW()-4,"0000"))</f>
        <v/>
      </c>
      <c r="B54" s="50" t="n"/>
      <c r="C54" s="49">
        <f>IF(B54="","",IFERROR(INDEX('المشروعات'!$B$5:$B$304,MATCH(B54,'المشروعات'!$A$5:$A$304,0)),""))</f>
        <v/>
      </c>
      <c r="D54" s="40" t="n"/>
      <c r="E54" s="40" t="n"/>
      <c r="F54" s="40" t="n"/>
      <c r="G54" s="40" t="n"/>
      <c r="H54" s="40" t="n"/>
      <c r="I54" s="51" t="n"/>
      <c r="J54" s="47" t="n"/>
      <c r="K54" s="47" t="n"/>
      <c r="L54" s="50" t="n"/>
      <c r="M54" s="49">
        <f>IF(B54="","",IF(L54="","قيد المراجعة",IF(L54="A","معتمد",IF(L54="B","معتمد بملاحظات",IF(L54="C","مرفوض – يعاد التقديم","مرفوض نهائياً")))))</f>
        <v/>
      </c>
      <c r="N54" s="48">
        <f>IF(J54="","",IF(K54="",TODAY(),K54)-J54)</f>
        <v/>
      </c>
      <c r="O54" s="49">
        <f>IF(B54="","",IF(AND(L54="",N(N54)&gt;S_SLA),"متأخر رد الاستشاري",""))</f>
        <v/>
      </c>
      <c r="P54" s="49">
        <f>IF(B54="","",IF(OR(L54="A",L54="B"),"نعم","لا"))</f>
        <v/>
      </c>
    </row>
    <row r="55">
      <c r="A55" s="39">
        <f>IF(B55="","","MAR-"&amp;TEXT(ROW()-4,"0000"))</f>
        <v/>
      </c>
      <c r="B55" s="50" t="n"/>
      <c r="C55" s="49">
        <f>IF(B55="","",IFERROR(INDEX('المشروعات'!$B$5:$B$304,MATCH(B55,'المشروعات'!$A$5:$A$304,0)),""))</f>
        <v/>
      </c>
      <c r="D55" s="40" t="n"/>
      <c r="E55" s="40" t="n"/>
      <c r="F55" s="40" t="n"/>
      <c r="G55" s="40" t="n"/>
      <c r="H55" s="40" t="n"/>
      <c r="I55" s="51" t="n"/>
      <c r="J55" s="47" t="n"/>
      <c r="K55" s="47" t="n"/>
      <c r="L55" s="50" t="n"/>
      <c r="M55" s="49">
        <f>IF(B55="","",IF(L55="","قيد المراجعة",IF(L55="A","معتمد",IF(L55="B","معتمد بملاحظات",IF(L55="C","مرفوض – يعاد التقديم","مرفوض نهائياً")))))</f>
        <v/>
      </c>
      <c r="N55" s="48">
        <f>IF(J55="","",IF(K55="",TODAY(),K55)-J55)</f>
        <v/>
      </c>
      <c r="O55" s="49">
        <f>IF(B55="","",IF(AND(L55="",N(N55)&gt;S_SLA),"متأخر رد الاستشاري",""))</f>
        <v/>
      </c>
      <c r="P55" s="49">
        <f>IF(B55="","",IF(OR(L55="A",L55="B"),"نعم","لا"))</f>
        <v/>
      </c>
    </row>
    <row r="56">
      <c r="A56" s="39">
        <f>IF(B56="","","MAR-"&amp;TEXT(ROW()-4,"0000"))</f>
        <v/>
      </c>
      <c r="B56" s="50" t="n"/>
      <c r="C56" s="49">
        <f>IF(B56="","",IFERROR(INDEX('المشروعات'!$B$5:$B$304,MATCH(B56,'المشروعات'!$A$5:$A$304,0)),""))</f>
        <v/>
      </c>
      <c r="D56" s="40" t="n"/>
      <c r="E56" s="40" t="n"/>
      <c r="F56" s="40" t="n"/>
      <c r="G56" s="40" t="n"/>
      <c r="H56" s="40" t="n"/>
      <c r="I56" s="51" t="n"/>
      <c r="J56" s="47" t="n"/>
      <c r="K56" s="47" t="n"/>
      <c r="L56" s="50" t="n"/>
      <c r="M56" s="49">
        <f>IF(B56="","",IF(L56="","قيد المراجعة",IF(L56="A","معتمد",IF(L56="B","معتمد بملاحظات",IF(L56="C","مرفوض – يعاد التقديم","مرفوض نهائياً")))))</f>
        <v/>
      </c>
      <c r="N56" s="48">
        <f>IF(J56="","",IF(K56="",TODAY(),K56)-J56)</f>
        <v/>
      </c>
      <c r="O56" s="49">
        <f>IF(B56="","",IF(AND(L56="",N(N56)&gt;S_SLA),"متأخر رد الاستشاري",""))</f>
        <v/>
      </c>
      <c r="P56" s="49">
        <f>IF(B56="","",IF(OR(L56="A",L56="B"),"نعم","لا"))</f>
        <v/>
      </c>
    </row>
    <row r="57">
      <c r="A57" s="39">
        <f>IF(B57="","","MAR-"&amp;TEXT(ROW()-4,"0000"))</f>
        <v/>
      </c>
      <c r="B57" s="50" t="n"/>
      <c r="C57" s="49">
        <f>IF(B57="","",IFERROR(INDEX('المشروعات'!$B$5:$B$304,MATCH(B57,'المشروعات'!$A$5:$A$304,0)),""))</f>
        <v/>
      </c>
      <c r="D57" s="40" t="n"/>
      <c r="E57" s="40" t="n"/>
      <c r="F57" s="40" t="n"/>
      <c r="G57" s="40" t="n"/>
      <c r="H57" s="40" t="n"/>
      <c r="I57" s="51" t="n"/>
      <c r="J57" s="47" t="n"/>
      <c r="K57" s="47" t="n"/>
      <c r="L57" s="50" t="n"/>
      <c r="M57" s="49">
        <f>IF(B57="","",IF(L57="","قيد المراجعة",IF(L57="A","معتمد",IF(L57="B","معتمد بملاحظات",IF(L57="C","مرفوض – يعاد التقديم","مرفوض نهائياً")))))</f>
        <v/>
      </c>
      <c r="N57" s="48">
        <f>IF(J57="","",IF(K57="",TODAY(),K57)-J57)</f>
        <v/>
      </c>
      <c r="O57" s="49">
        <f>IF(B57="","",IF(AND(L57="",N(N57)&gt;S_SLA),"متأخر رد الاستشاري",""))</f>
        <v/>
      </c>
      <c r="P57" s="49">
        <f>IF(B57="","",IF(OR(L57="A",L57="B"),"نعم","لا"))</f>
        <v/>
      </c>
    </row>
    <row r="58">
      <c r="A58" s="39">
        <f>IF(B58="","","MAR-"&amp;TEXT(ROW()-4,"0000"))</f>
        <v/>
      </c>
      <c r="B58" s="50" t="n"/>
      <c r="C58" s="49">
        <f>IF(B58="","",IFERROR(INDEX('المشروعات'!$B$5:$B$304,MATCH(B58,'المشروعات'!$A$5:$A$304,0)),""))</f>
        <v/>
      </c>
      <c r="D58" s="40" t="n"/>
      <c r="E58" s="40" t="n"/>
      <c r="F58" s="40" t="n"/>
      <c r="G58" s="40" t="n"/>
      <c r="H58" s="40" t="n"/>
      <c r="I58" s="51" t="n"/>
      <c r="J58" s="47" t="n"/>
      <c r="K58" s="47" t="n"/>
      <c r="L58" s="50" t="n"/>
      <c r="M58" s="49">
        <f>IF(B58="","",IF(L58="","قيد المراجعة",IF(L58="A","معتمد",IF(L58="B","معتمد بملاحظات",IF(L58="C","مرفوض – يعاد التقديم","مرفوض نهائياً")))))</f>
        <v/>
      </c>
      <c r="N58" s="48">
        <f>IF(J58="","",IF(K58="",TODAY(),K58)-J58)</f>
        <v/>
      </c>
      <c r="O58" s="49">
        <f>IF(B58="","",IF(AND(L58="",N(N58)&gt;S_SLA),"متأخر رد الاستشاري",""))</f>
        <v/>
      </c>
      <c r="P58" s="49">
        <f>IF(B58="","",IF(OR(L58="A",L58="B"),"نعم","لا"))</f>
        <v/>
      </c>
    </row>
    <row r="59">
      <c r="A59" s="39">
        <f>IF(B59="","","MAR-"&amp;TEXT(ROW()-4,"0000"))</f>
        <v/>
      </c>
      <c r="B59" s="50" t="n"/>
      <c r="C59" s="49">
        <f>IF(B59="","",IFERROR(INDEX('المشروعات'!$B$5:$B$304,MATCH(B59,'المشروعات'!$A$5:$A$304,0)),""))</f>
        <v/>
      </c>
      <c r="D59" s="40" t="n"/>
      <c r="E59" s="40" t="n"/>
      <c r="F59" s="40" t="n"/>
      <c r="G59" s="40" t="n"/>
      <c r="H59" s="40" t="n"/>
      <c r="I59" s="51" t="n"/>
      <c r="J59" s="47" t="n"/>
      <c r="K59" s="47" t="n"/>
      <c r="L59" s="50" t="n"/>
      <c r="M59" s="49">
        <f>IF(B59="","",IF(L59="","قيد المراجعة",IF(L59="A","معتمد",IF(L59="B","معتمد بملاحظات",IF(L59="C","مرفوض – يعاد التقديم","مرفوض نهائياً")))))</f>
        <v/>
      </c>
      <c r="N59" s="48">
        <f>IF(J59="","",IF(K59="",TODAY(),K59)-J59)</f>
        <v/>
      </c>
      <c r="O59" s="49">
        <f>IF(B59="","",IF(AND(L59="",N(N59)&gt;S_SLA),"متأخر رد الاستشاري",""))</f>
        <v/>
      </c>
      <c r="P59" s="49">
        <f>IF(B59="","",IF(OR(L59="A",L59="B"),"نعم","لا"))</f>
        <v/>
      </c>
    </row>
    <row r="60">
      <c r="A60" s="39">
        <f>IF(B60="","","MAR-"&amp;TEXT(ROW()-4,"0000"))</f>
        <v/>
      </c>
      <c r="B60" s="50" t="n"/>
      <c r="C60" s="49">
        <f>IF(B60="","",IFERROR(INDEX('المشروعات'!$B$5:$B$304,MATCH(B60,'المشروعات'!$A$5:$A$304,0)),""))</f>
        <v/>
      </c>
      <c r="D60" s="40" t="n"/>
      <c r="E60" s="40" t="n"/>
      <c r="F60" s="40" t="n"/>
      <c r="G60" s="40" t="n"/>
      <c r="H60" s="40" t="n"/>
      <c r="I60" s="51" t="n"/>
      <c r="J60" s="47" t="n"/>
      <c r="K60" s="47" t="n"/>
      <c r="L60" s="50" t="n"/>
      <c r="M60" s="49">
        <f>IF(B60="","",IF(L60="","قيد المراجعة",IF(L60="A","معتمد",IF(L60="B","معتمد بملاحظات",IF(L60="C","مرفوض – يعاد التقديم","مرفوض نهائياً")))))</f>
        <v/>
      </c>
      <c r="N60" s="48">
        <f>IF(J60="","",IF(K60="",TODAY(),K60)-J60)</f>
        <v/>
      </c>
      <c r="O60" s="49">
        <f>IF(B60="","",IF(AND(L60="",N(N60)&gt;S_SLA),"متأخر رد الاستشاري",""))</f>
        <v/>
      </c>
      <c r="P60" s="49">
        <f>IF(B60="","",IF(OR(L60="A",L60="B"),"نعم","لا"))</f>
        <v/>
      </c>
    </row>
    <row r="61">
      <c r="A61" s="39">
        <f>IF(B61="","","MAR-"&amp;TEXT(ROW()-4,"0000"))</f>
        <v/>
      </c>
      <c r="B61" s="50" t="n"/>
      <c r="C61" s="49">
        <f>IF(B61="","",IFERROR(INDEX('المشروعات'!$B$5:$B$304,MATCH(B61,'المشروعات'!$A$5:$A$304,0)),""))</f>
        <v/>
      </c>
      <c r="D61" s="40" t="n"/>
      <c r="E61" s="40" t="n"/>
      <c r="F61" s="40" t="n"/>
      <c r="G61" s="40" t="n"/>
      <c r="H61" s="40" t="n"/>
      <c r="I61" s="51" t="n"/>
      <c r="J61" s="47" t="n"/>
      <c r="K61" s="47" t="n"/>
      <c r="L61" s="50" t="n"/>
      <c r="M61" s="49">
        <f>IF(B61="","",IF(L61="","قيد المراجعة",IF(L61="A","معتمد",IF(L61="B","معتمد بملاحظات",IF(L61="C","مرفوض – يعاد التقديم","مرفوض نهائياً")))))</f>
        <v/>
      </c>
      <c r="N61" s="48">
        <f>IF(J61="","",IF(K61="",TODAY(),K61)-J61)</f>
        <v/>
      </c>
      <c r="O61" s="49">
        <f>IF(B61="","",IF(AND(L61="",N(N61)&gt;S_SLA),"متأخر رد الاستشاري",""))</f>
        <v/>
      </c>
      <c r="P61" s="49">
        <f>IF(B61="","",IF(OR(L61="A",L61="B"),"نعم","لا"))</f>
        <v/>
      </c>
    </row>
    <row r="62">
      <c r="A62" s="39">
        <f>IF(B62="","","MAR-"&amp;TEXT(ROW()-4,"0000"))</f>
        <v/>
      </c>
      <c r="B62" s="50" t="n"/>
      <c r="C62" s="49">
        <f>IF(B62="","",IFERROR(INDEX('المشروعات'!$B$5:$B$304,MATCH(B62,'المشروعات'!$A$5:$A$304,0)),""))</f>
        <v/>
      </c>
      <c r="D62" s="40" t="n"/>
      <c r="E62" s="40" t="n"/>
      <c r="F62" s="40" t="n"/>
      <c r="G62" s="40" t="n"/>
      <c r="H62" s="40" t="n"/>
      <c r="I62" s="51" t="n"/>
      <c r="J62" s="47" t="n"/>
      <c r="K62" s="47" t="n"/>
      <c r="L62" s="50" t="n"/>
      <c r="M62" s="49">
        <f>IF(B62="","",IF(L62="","قيد المراجعة",IF(L62="A","معتمد",IF(L62="B","معتمد بملاحظات",IF(L62="C","مرفوض – يعاد التقديم","مرفوض نهائياً")))))</f>
        <v/>
      </c>
      <c r="N62" s="48">
        <f>IF(J62="","",IF(K62="",TODAY(),K62)-J62)</f>
        <v/>
      </c>
      <c r="O62" s="49">
        <f>IF(B62="","",IF(AND(L62="",N(N62)&gt;S_SLA),"متأخر رد الاستشاري",""))</f>
        <v/>
      </c>
      <c r="P62" s="49">
        <f>IF(B62="","",IF(OR(L62="A",L62="B"),"نعم","لا"))</f>
        <v/>
      </c>
    </row>
    <row r="63">
      <c r="A63" s="39">
        <f>IF(B63="","","MAR-"&amp;TEXT(ROW()-4,"0000"))</f>
        <v/>
      </c>
      <c r="B63" s="50" t="n"/>
      <c r="C63" s="49">
        <f>IF(B63="","",IFERROR(INDEX('المشروعات'!$B$5:$B$304,MATCH(B63,'المشروعات'!$A$5:$A$304,0)),""))</f>
        <v/>
      </c>
      <c r="D63" s="40" t="n"/>
      <c r="E63" s="40" t="n"/>
      <c r="F63" s="40" t="n"/>
      <c r="G63" s="40" t="n"/>
      <c r="H63" s="40" t="n"/>
      <c r="I63" s="51" t="n"/>
      <c r="J63" s="47" t="n"/>
      <c r="K63" s="47" t="n"/>
      <c r="L63" s="50" t="n"/>
      <c r="M63" s="49">
        <f>IF(B63="","",IF(L63="","قيد المراجعة",IF(L63="A","معتمد",IF(L63="B","معتمد بملاحظات",IF(L63="C","مرفوض – يعاد التقديم","مرفوض نهائياً")))))</f>
        <v/>
      </c>
      <c r="N63" s="48">
        <f>IF(J63="","",IF(K63="",TODAY(),K63)-J63)</f>
        <v/>
      </c>
      <c r="O63" s="49">
        <f>IF(B63="","",IF(AND(L63="",N(N63)&gt;S_SLA),"متأخر رد الاستشاري",""))</f>
        <v/>
      </c>
      <c r="P63" s="49">
        <f>IF(B63="","",IF(OR(L63="A",L63="B"),"نعم","لا"))</f>
        <v/>
      </c>
    </row>
    <row r="64">
      <c r="A64" s="39">
        <f>IF(B64="","","MAR-"&amp;TEXT(ROW()-4,"0000"))</f>
        <v/>
      </c>
      <c r="B64" s="50" t="n"/>
      <c r="C64" s="49">
        <f>IF(B64="","",IFERROR(INDEX('المشروعات'!$B$5:$B$304,MATCH(B64,'المشروعات'!$A$5:$A$304,0)),""))</f>
        <v/>
      </c>
      <c r="D64" s="40" t="n"/>
      <c r="E64" s="40" t="n"/>
      <c r="F64" s="40" t="n"/>
      <c r="G64" s="40" t="n"/>
      <c r="H64" s="40" t="n"/>
      <c r="I64" s="51" t="n"/>
      <c r="J64" s="47" t="n"/>
      <c r="K64" s="47" t="n"/>
      <c r="L64" s="50" t="n"/>
      <c r="M64" s="49">
        <f>IF(B64="","",IF(L64="","قيد المراجعة",IF(L64="A","معتمد",IF(L64="B","معتمد بملاحظات",IF(L64="C","مرفوض – يعاد التقديم","مرفوض نهائياً")))))</f>
        <v/>
      </c>
      <c r="N64" s="48">
        <f>IF(J64="","",IF(K64="",TODAY(),K64)-J64)</f>
        <v/>
      </c>
      <c r="O64" s="49">
        <f>IF(B64="","",IF(AND(L64="",N(N64)&gt;S_SLA),"متأخر رد الاستشاري",""))</f>
        <v/>
      </c>
      <c r="P64" s="49">
        <f>IF(B64="","",IF(OR(L64="A",L64="B"),"نعم","لا"))</f>
        <v/>
      </c>
    </row>
    <row r="65">
      <c r="A65" s="39">
        <f>IF(B65="","","MAR-"&amp;TEXT(ROW()-4,"0000"))</f>
        <v/>
      </c>
      <c r="B65" s="50" t="n"/>
      <c r="C65" s="49">
        <f>IF(B65="","",IFERROR(INDEX('المشروعات'!$B$5:$B$304,MATCH(B65,'المشروعات'!$A$5:$A$304,0)),""))</f>
        <v/>
      </c>
      <c r="D65" s="40" t="n"/>
      <c r="E65" s="40" t="n"/>
      <c r="F65" s="40" t="n"/>
      <c r="G65" s="40" t="n"/>
      <c r="H65" s="40" t="n"/>
      <c r="I65" s="51" t="n"/>
      <c r="J65" s="47" t="n"/>
      <c r="K65" s="47" t="n"/>
      <c r="L65" s="50" t="n"/>
      <c r="M65" s="49">
        <f>IF(B65="","",IF(L65="","قيد المراجعة",IF(L65="A","معتمد",IF(L65="B","معتمد بملاحظات",IF(L65="C","مرفوض – يعاد التقديم","مرفوض نهائياً")))))</f>
        <v/>
      </c>
      <c r="N65" s="48">
        <f>IF(J65="","",IF(K65="",TODAY(),K65)-J65)</f>
        <v/>
      </c>
      <c r="O65" s="49">
        <f>IF(B65="","",IF(AND(L65="",N(N65)&gt;S_SLA),"متأخر رد الاستشاري",""))</f>
        <v/>
      </c>
      <c r="P65" s="49">
        <f>IF(B65="","",IF(OR(L65="A",L65="B"),"نعم","لا"))</f>
        <v/>
      </c>
    </row>
    <row r="66">
      <c r="A66" s="39">
        <f>IF(B66="","","MAR-"&amp;TEXT(ROW()-4,"0000"))</f>
        <v/>
      </c>
      <c r="B66" s="50" t="n"/>
      <c r="C66" s="49">
        <f>IF(B66="","",IFERROR(INDEX('المشروعات'!$B$5:$B$304,MATCH(B66,'المشروعات'!$A$5:$A$304,0)),""))</f>
        <v/>
      </c>
      <c r="D66" s="40" t="n"/>
      <c r="E66" s="40" t="n"/>
      <c r="F66" s="40" t="n"/>
      <c r="G66" s="40" t="n"/>
      <c r="H66" s="40" t="n"/>
      <c r="I66" s="51" t="n"/>
      <c r="J66" s="47" t="n"/>
      <c r="K66" s="47" t="n"/>
      <c r="L66" s="50" t="n"/>
      <c r="M66" s="49">
        <f>IF(B66="","",IF(L66="","قيد المراجعة",IF(L66="A","معتمد",IF(L66="B","معتمد بملاحظات",IF(L66="C","مرفوض – يعاد التقديم","مرفوض نهائياً")))))</f>
        <v/>
      </c>
      <c r="N66" s="48">
        <f>IF(J66="","",IF(K66="",TODAY(),K66)-J66)</f>
        <v/>
      </c>
      <c r="O66" s="49">
        <f>IF(B66="","",IF(AND(L66="",N(N66)&gt;S_SLA),"متأخر رد الاستشاري",""))</f>
        <v/>
      </c>
      <c r="P66" s="49">
        <f>IF(B66="","",IF(OR(L66="A",L66="B"),"نعم","لا"))</f>
        <v/>
      </c>
    </row>
    <row r="67">
      <c r="A67" s="39">
        <f>IF(B67="","","MAR-"&amp;TEXT(ROW()-4,"0000"))</f>
        <v/>
      </c>
      <c r="B67" s="50" t="n"/>
      <c r="C67" s="49">
        <f>IF(B67="","",IFERROR(INDEX('المشروعات'!$B$5:$B$304,MATCH(B67,'المشروعات'!$A$5:$A$304,0)),""))</f>
        <v/>
      </c>
      <c r="D67" s="40" t="n"/>
      <c r="E67" s="40" t="n"/>
      <c r="F67" s="40" t="n"/>
      <c r="G67" s="40" t="n"/>
      <c r="H67" s="40" t="n"/>
      <c r="I67" s="51" t="n"/>
      <c r="J67" s="47" t="n"/>
      <c r="K67" s="47" t="n"/>
      <c r="L67" s="50" t="n"/>
      <c r="M67" s="49">
        <f>IF(B67="","",IF(L67="","قيد المراجعة",IF(L67="A","معتمد",IF(L67="B","معتمد بملاحظات",IF(L67="C","مرفوض – يعاد التقديم","مرفوض نهائياً")))))</f>
        <v/>
      </c>
      <c r="N67" s="48">
        <f>IF(J67="","",IF(K67="",TODAY(),K67)-J67)</f>
        <v/>
      </c>
      <c r="O67" s="49">
        <f>IF(B67="","",IF(AND(L67="",N(N67)&gt;S_SLA),"متأخر رد الاستشاري",""))</f>
        <v/>
      </c>
      <c r="P67" s="49">
        <f>IF(B67="","",IF(OR(L67="A",L67="B"),"نعم","لا"))</f>
        <v/>
      </c>
    </row>
    <row r="68">
      <c r="A68" s="39">
        <f>IF(B68="","","MAR-"&amp;TEXT(ROW()-4,"0000"))</f>
        <v/>
      </c>
      <c r="B68" s="50" t="n"/>
      <c r="C68" s="49">
        <f>IF(B68="","",IFERROR(INDEX('المشروعات'!$B$5:$B$304,MATCH(B68,'المشروعات'!$A$5:$A$304,0)),""))</f>
        <v/>
      </c>
      <c r="D68" s="40" t="n"/>
      <c r="E68" s="40" t="n"/>
      <c r="F68" s="40" t="n"/>
      <c r="G68" s="40" t="n"/>
      <c r="H68" s="40" t="n"/>
      <c r="I68" s="51" t="n"/>
      <c r="J68" s="47" t="n"/>
      <c r="K68" s="47" t="n"/>
      <c r="L68" s="50" t="n"/>
      <c r="M68" s="49">
        <f>IF(B68="","",IF(L68="","قيد المراجعة",IF(L68="A","معتمد",IF(L68="B","معتمد بملاحظات",IF(L68="C","مرفوض – يعاد التقديم","مرفوض نهائياً")))))</f>
        <v/>
      </c>
      <c r="N68" s="48">
        <f>IF(J68="","",IF(K68="",TODAY(),K68)-J68)</f>
        <v/>
      </c>
      <c r="O68" s="49">
        <f>IF(B68="","",IF(AND(L68="",N(N68)&gt;S_SLA),"متأخر رد الاستشاري",""))</f>
        <v/>
      </c>
      <c r="P68" s="49">
        <f>IF(B68="","",IF(OR(L68="A",L68="B"),"نعم","لا"))</f>
        <v/>
      </c>
    </row>
    <row r="69">
      <c r="A69" s="39">
        <f>IF(B69="","","MAR-"&amp;TEXT(ROW()-4,"0000"))</f>
        <v/>
      </c>
      <c r="B69" s="50" t="n"/>
      <c r="C69" s="49">
        <f>IF(B69="","",IFERROR(INDEX('المشروعات'!$B$5:$B$304,MATCH(B69,'المشروعات'!$A$5:$A$304,0)),""))</f>
        <v/>
      </c>
      <c r="D69" s="40" t="n"/>
      <c r="E69" s="40" t="n"/>
      <c r="F69" s="40" t="n"/>
      <c r="G69" s="40" t="n"/>
      <c r="H69" s="40" t="n"/>
      <c r="I69" s="51" t="n"/>
      <c r="J69" s="47" t="n"/>
      <c r="K69" s="47" t="n"/>
      <c r="L69" s="50" t="n"/>
      <c r="M69" s="49">
        <f>IF(B69="","",IF(L69="","قيد المراجعة",IF(L69="A","معتمد",IF(L69="B","معتمد بملاحظات",IF(L69="C","مرفوض – يعاد التقديم","مرفوض نهائياً")))))</f>
        <v/>
      </c>
      <c r="N69" s="48">
        <f>IF(J69="","",IF(K69="",TODAY(),K69)-J69)</f>
        <v/>
      </c>
      <c r="O69" s="49">
        <f>IF(B69="","",IF(AND(L69="",N(N69)&gt;S_SLA),"متأخر رد الاستشاري",""))</f>
        <v/>
      </c>
      <c r="P69" s="49">
        <f>IF(B69="","",IF(OR(L69="A",L69="B"),"نعم","لا"))</f>
        <v/>
      </c>
    </row>
    <row r="70">
      <c r="A70" s="39">
        <f>IF(B70="","","MAR-"&amp;TEXT(ROW()-4,"0000"))</f>
        <v/>
      </c>
      <c r="B70" s="50" t="n"/>
      <c r="C70" s="49">
        <f>IF(B70="","",IFERROR(INDEX('المشروعات'!$B$5:$B$304,MATCH(B70,'المشروعات'!$A$5:$A$304,0)),""))</f>
        <v/>
      </c>
      <c r="D70" s="40" t="n"/>
      <c r="E70" s="40" t="n"/>
      <c r="F70" s="40" t="n"/>
      <c r="G70" s="40" t="n"/>
      <c r="H70" s="40" t="n"/>
      <c r="I70" s="51" t="n"/>
      <c r="J70" s="47" t="n"/>
      <c r="K70" s="47" t="n"/>
      <c r="L70" s="50" t="n"/>
      <c r="M70" s="49">
        <f>IF(B70="","",IF(L70="","قيد المراجعة",IF(L70="A","معتمد",IF(L70="B","معتمد بملاحظات",IF(L70="C","مرفوض – يعاد التقديم","مرفوض نهائياً")))))</f>
        <v/>
      </c>
      <c r="N70" s="48">
        <f>IF(J70="","",IF(K70="",TODAY(),K70)-J70)</f>
        <v/>
      </c>
      <c r="O70" s="49">
        <f>IF(B70="","",IF(AND(L70="",N(N70)&gt;S_SLA),"متأخر رد الاستشاري",""))</f>
        <v/>
      </c>
      <c r="P70" s="49">
        <f>IF(B70="","",IF(OR(L70="A",L70="B"),"نعم","لا"))</f>
        <v/>
      </c>
    </row>
    <row r="71">
      <c r="A71" s="39">
        <f>IF(B71="","","MAR-"&amp;TEXT(ROW()-4,"0000"))</f>
        <v/>
      </c>
      <c r="B71" s="50" t="n"/>
      <c r="C71" s="49">
        <f>IF(B71="","",IFERROR(INDEX('المشروعات'!$B$5:$B$304,MATCH(B71,'المشروعات'!$A$5:$A$304,0)),""))</f>
        <v/>
      </c>
      <c r="D71" s="40" t="n"/>
      <c r="E71" s="40" t="n"/>
      <c r="F71" s="40" t="n"/>
      <c r="G71" s="40" t="n"/>
      <c r="H71" s="40" t="n"/>
      <c r="I71" s="51" t="n"/>
      <c r="J71" s="47" t="n"/>
      <c r="K71" s="47" t="n"/>
      <c r="L71" s="50" t="n"/>
      <c r="M71" s="49">
        <f>IF(B71="","",IF(L71="","قيد المراجعة",IF(L71="A","معتمد",IF(L71="B","معتمد بملاحظات",IF(L71="C","مرفوض – يعاد التقديم","مرفوض نهائياً")))))</f>
        <v/>
      </c>
      <c r="N71" s="48">
        <f>IF(J71="","",IF(K71="",TODAY(),K71)-J71)</f>
        <v/>
      </c>
      <c r="O71" s="49">
        <f>IF(B71="","",IF(AND(L71="",N(N71)&gt;S_SLA),"متأخر رد الاستشاري",""))</f>
        <v/>
      </c>
      <c r="P71" s="49">
        <f>IF(B71="","",IF(OR(L71="A",L71="B"),"نعم","لا"))</f>
        <v/>
      </c>
    </row>
    <row r="72">
      <c r="A72" s="39">
        <f>IF(B72="","","MAR-"&amp;TEXT(ROW()-4,"0000"))</f>
        <v/>
      </c>
      <c r="B72" s="50" t="n"/>
      <c r="C72" s="49">
        <f>IF(B72="","",IFERROR(INDEX('المشروعات'!$B$5:$B$304,MATCH(B72,'المشروعات'!$A$5:$A$304,0)),""))</f>
        <v/>
      </c>
      <c r="D72" s="40" t="n"/>
      <c r="E72" s="40" t="n"/>
      <c r="F72" s="40" t="n"/>
      <c r="G72" s="40" t="n"/>
      <c r="H72" s="40" t="n"/>
      <c r="I72" s="51" t="n"/>
      <c r="J72" s="47" t="n"/>
      <c r="K72" s="47" t="n"/>
      <c r="L72" s="50" t="n"/>
      <c r="M72" s="49">
        <f>IF(B72="","",IF(L72="","قيد المراجعة",IF(L72="A","معتمد",IF(L72="B","معتمد بملاحظات",IF(L72="C","مرفوض – يعاد التقديم","مرفوض نهائياً")))))</f>
        <v/>
      </c>
      <c r="N72" s="48">
        <f>IF(J72="","",IF(K72="",TODAY(),K72)-J72)</f>
        <v/>
      </c>
      <c r="O72" s="49">
        <f>IF(B72="","",IF(AND(L72="",N(N72)&gt;S_SLA),"متأخر رد الاستشاري",""))</f>
        <v/>
      </c>
      <c r="P72" s="49">
        <f>IF(B72="","",IF(OR(L72="A",L72="B"),"نعم","لا"))</f>
        <v/>
      </c>
    </row>
    <row r="73">
      <c r="A73" s="39">
        <f>IF(B73="","","MAR-"&amp;TEXT(ROW()-4,"0000"))</f>
        <v/>
      </c>
      <c r="B73" s="50" t="n"/>
      <c r="C73" s="49">
        <f>IF(B73="","",IFERROR(INDEX('المشروعات'!$B$5:$B$304,MATCH(B73,'المشروعات'!$A$5:$A$304,0)),""))</f>
        <v/>
      </c>
      <c r="D73" s="40" t="n"/>
      <c r="E73" s="40" t="n"/>
      <c r="F73" s="40" t="n"/>
      <c r="G73" s="40" t="n"/>
      <c r="H73" s="40" t="n"/>
      <c r="I73" s="51" t="n"/>
      <c r="J73" s="47" t="n"/>
      <c r="K73" s="47" t="n"/>
      <c r="L73" s="50" t="n"/>
      <c r="M73" s="49">
        <f>IF(B73="","",IF(L73="","قيد المراجعة",IF(L73="A","معتمد",IF(L73="B","معتمد بملاحظات",IF(L73="C","مرفوض – يعاد التقديم","مرفوض نهائياً")))))</f>
        <v/>
      </c>
      <c r="N73" s="48">
        <f>IF(J73="","",IF(K73="",TODAY(),K73)-J73)</f>
        <v/>
      </c>
      <c r="O73" s="49">
        <f>IF(B73="","",IF(AND(L73="",N(N73)&gt;S_SLA),"متأخر رد الاستشاري",""))</f>
        <v/>
      </c>
      <c r="P73" s="49">
        <f>IF(B73="","",IF(OR(L73="A",L73="B"),"نعم","لا"))</f>
        <v/>
      </c>
    </row>
    <row r="74">
      <c r="A74" s="39">
        <f>IF(B74="","","MAR-"&amp;TEXT(ROW()-4,"0000"))</f>
        <v/>
      </c>
      <c r="B74" s="50" t="n"/>
      <c r="C74" s="49">
        <f>IF(B74="","",IFERROR(INDEX('المشروعات'!$B$5:$B$304,MATCH(B74,'المشروعات'!$A$5:$A$304,0)),""))</f>
        <v/>
      </c>
      <c r="D74" s="40" t="n"/>
      <c r="E74" s="40" t="n"/>
      <c r="F74" s="40" t="n"/>
      <c r="G74" s="40" t="n"/>
      <c r="H74" s="40" t="n"/>
      <c r="I74" s="51" t="n"/>
      <c r="J74" s="47" t="n"/>
      <c r="K74" s="47" t="n"/>
      <c r="L74" s="50" t="n"/>
      <c r="M74" s="49">
        <f>IF(B74="","",IF(L74="","قيد المراجعة",IF(L74="A","معتمد",IF(L74="B","معتمد بملاحظات",IF(L74="C","مرفوض – يعاد التقديم","مرفوض نهائياً")))))</f>
        <v/>
      </c>
      <c r="N74" s="48">
        <f>IF(J74="","",IF(K74="",TODAY(),K74)-J74)</f>
        <v/>
      </c>
      <c r="O74" s="49">
        <f>IF(B74="","",IF(AND(L74="",N(N74)&gt;S_SLA),"متأخر رد الاستشاري",""))</f>
        <v/>
      </c>
      <c r="P74" s="49">
        <f>IF(B74="","",IF(OR(L74="A",L74="B"),"نعم","لا"))</f>
        <v/>
      </c>
    </row>
    <row r="75">
      <c r="A75" s="39">
        <f>IF(B75="","","MAR-"&amp;TEXT(ROW()-4,"0000"))</f>
        <v/>
      </c>
      <c r="B75" s="50" t="n"/>
      <c r="C75" s="49">
        <f>IF(B75="","",IFERROR(INDEX('المشروعات'!$B$5:$B$304,MATCH(B75,'المشروعات'!$A$5:$A$304,0)),""))</f>
        <v/>
      </c>
      <c r="D75" s="40" t="n"/>
      <c r="E75" s="40" t="n"/>
      <c r="F75" s="40" t="n"/>
      <c r="G75" s="40" t="n"/>
      <c r="H75" s="40" t="n"/>
      <c r="I75" s="51" t="n"/>
      <c r="J75" s="47" t="n"/>
      <c r="K75" s="47" t="n"/>
      <c r="L75" s="50" t="n"/>
      <c r="M75" s="49">
        <f>IF(B75="","",IF(L75="","قيد المراجعة",IF(L75="A","معتمد",IF(L75="B","معتمد بملاحظات",IF(L75="C","مرفوض – يعاد التقديم","مرفوض نهائياً")))))</f>
        <v/>
      </c>
      <c r="N75" s="48">
        <f>IF(J75="","",IF(K75="",TODAY(),K75)-J75)</f>
        <v/>
      </c>
      <c r="O75" s="49">
        <f>IF(B75="","",IF(AND(L75="",N(N75)&gt;S_SLA),"متأخر رد الاستشاري",""))</f>
        <v/>
      </c>
      <c r="P75" s="49">
        <f>IF(B75="","",IF(OR(L75="A",L75="B"),"نعم","لا"))</f>
        <v/>
      </c>
    </row>
    <row r="76">
      <c r="A76" s="39">
        <f>IF(B76="","","MAR-"&amp;TEXT(ROW()-4,"0000"))</f>
        <v/>
      </c>
      <c r="B76" s="50" t="n"/>
      <c r="C76" s="49">
        <f>IF(B76="","",IFERROR(INDEX('المشروعات'!$B$5:$B$304,MATCH(B76,'المشروعات'!$A$5:$A$304,0)),""))</f>
        <v/>
      </c>
      <c r="D76" s="40" t="n"/>
      <c r="E76" s="40" t="n"/>
      <c r="F76" s="40" t="n"/>
      <c r="G76" s="40" t="n"/>
      <c r="H76" s="40" t="n"/>
      <c r="I76" s="51" t="n"/>
      <c r="J76" s="47" t="n"/>
      <c r="K76" s="47" t="n"/>
      <c r="L76" s="50" t="n"/>
      <c r="M76" s="49">
        <f>IF(B76="","",IF(L76="","قيد المراجعة",IF(L76="A","معتمد",IF(L76="B","معتمد بملاحظات",IF(L76="C","مرفوض – يعاد التقديم","مرفوض نهائياً")))))</f>
        <v/>
      </c>
      <c r="N76" s="48">
        <f>IF(J76="","",IF(K76="",TODAY(),K76)-J76)</f>
        <v/>
      </c>
      <c r="O76" s="49">
        <f>IF(B76="","",IF(AND(L76="",N(N76)&gt;S_SLA),"متأخر رد الاستشاري",""))</f>
        <v/>
      </c>
      <c r="P76" s="49">
        <f>IF(B76="","",IF(OR(L76="A",L76="B"),"نعم","لا"))</f>
        <v/>
      </c>
    </row>
    <row r="77">
      <c r="A77" s="39">
        <f>IF(B77="","","MAR-"&amp;TEXT(ROW()-4,"0000"))</f>
        <v/>
      </c>
      <c r="B77" s="50" t="n"/>
      <c r="C77" s="49">
        <f>IF(B77="","",IFERROR(INDEX('المشروعات'!$B$5:$B$304,MATCH(B77,'المشروعات'!$A$5:$A$304,0)),""))</f>
        <v/>
      </c>
      <c r="D77" s="40" t="n"/>
      <c r="E77" s="40" t="n"/>
      <c r="F77" s="40" t="n"/>
      <c r="G77" s="40" t="n"/>
      <c r="H77" s="40" t="n"/>
      <c r="I77" s="51" t="n"/>
      <c r="J77" s="47" t="n"/>
      <c r="K77" s="47" t="n"/>
      <c r="L77" s="50" t="n"/>
      <c r="M77" s="49">
        <f>IF(B77="","",IF(L77="","قيد المراجعة",IF(L77="A","معتمد",IF(L77="B","معتمد بملاحظات",IF(L77="C","مرفوض – يعاد التقديم","مرفوض نهائياً")))))</f>
        <v/>
      </c>
      <c r="N77" s="48">
        <f>IF(J77="","",IF(K77="",TODAY(),K77)-J77)</f>
        <v/>
      </c>
      <c r="O77" s="49">
        <f>IF(B77="","",IF(AND(L77="",N(N77)&gt;S_SLA),"متأخر رد الاستشاري",""))</f>
        <v/>
      </c>
      <c r="P77" s="49">
        <f>IF(B77="","",IF(OR(L77="A",L77="B"),"نعم","لا"))</f>
        <v/>
      </c>
    </row>
    <row r="78">
      <c r="A78" s="39">
        <f>IF(B78="","","MAR-"&amp;TEXT(ROW()-4,"0000"))</f>
        <v/>
      </c>
      <c r="B78" s="50" t="n"/>
      <c r="C78" s="49">
        <f>IF(B78="","",IFERROR(INDEX('المشروعات'!$B$5:$B$304,MATCH(B78,'المشروعات'!$A$5:$A$304,0)),""))</f>
        <v/>
      </c>
      <c r="D78" s="40" t="n"/>
      <c r="E78" s="40" t="n"/>
      <c r="F78" s="40" t="n"/>
      <c r="G78" s="40" t="n"/>
      <c r="H78" s="40" t="n"/>
      <c r="I78" s="51" t="n"/>
      <c r="J78" s="47" t="n"/>
      <c r="K78" s="47" t="n"/>
      <c r="L78" s="50" t="n"/>
      <c r="M78" s="49">
        <f>IF(B78="","",IF(L78="","قيد المراجعة",IF(L78="A","معتمد",IF(L78="B","معتمد بملاحظات",IF(L78="C","مرفوض – يعاد التقديم","مرفوض نهائياً")))))</f>
        <v/>
      </c>
      <c r="N78" s="48">
        <f>IF(J78="","",IF(K78="",TODAY(),K78)-J78)</f>
        <v/>
      </c>
      <c r="O78" s="49">
        <f>IF(B78="","",IF(AND(L78="",N(N78)&gt;S_SLA),"متأخر رد الاستشاري",""))</f>
        <v/>
      </c>
      <c r="P78" s="49">
        <f>IF(B78="","",IF(OR(L78="A",L78="B"),"نعم","لا"))</f>
        <v/>
      </c>
    </row>
    <row r="79">
      <c r="A79" s="39">
        <f>IF(B79="","","MAR-"&amp;TEXT(ROW()-4,"0000"))</f>
        <v/>
      </c>
      <c r="B79" s="50" t="n"/>
      <c r="C79" s="49">
        <f>IF(B79="","",IFERROR(INDEX('المشروعات'!$B$5:$B$304,MATCH(B79,'المشروعات'!$A$5:$A$304,0)),""))</f>
        <v/>
      </c>
      <c r="D79" s="40" t="n"/>
      <c r="E79" s="40" t="n"/>
      <c r="F79" s="40" t="n"/>
      <c r="G79" s="40" t="n"/>
      <c r="H79" s="40" t="n"/>
      <c r="I79" s="51" t="n"/>
      <c r="J79" s="47" t="n"/>
      <c r="K79" s="47" t="n"/>
      <c r="L79" s="50" t="n"/>
      <c r="M79" s="49">
        <f>IF(B79="","",IF(L79="","قيد المراجعة",IF(L79="A","معتمد",IF(L79="B","معتمد بملاحظات",IF(L79="C","مرفوض – يعاد التقديم","مرفوض نهائياً")))))</f>
        <v/>
      </c>
      <c r="N79" s="48">
        <f>IF(J79="","",IF(K79="",TODAY(),K79)-J79)</f>
        <v/>
      </c>
      <c r="O79" s="49">
        <f>IF(B79="","",IF(AND(L79="",N(N79)&gt;S_SLA),"متأخر رد الاستشاري",""))</f>
        <v/>
      </c>
      <c r="P79" s="49">
        <f>IF(B79="","",IF(OR(L79="A",L79="B"),"نعم","لا"))</f>
        <v/>
      </c>
    </row>
    <row r="80">
      <c r="A80" s="39">
        <f>IF(B80="","","MAR-"&amp;TEXT(ROW()-4,"0000"))</f>
        <v/>
      </c>
      <c r="B80" s="50" t="n"/>
      <c r="C80" s="49">
        <f>IF(B80="","",IFERROR(INDEX('المشروعات'!$B$5:$B$304,MATCH(B80,'المشروعات'!$A$5:$A$304,0)),""))</f>
        <v/>
      </c>
      <c r="D80" s="40" t="n"/>
      <c r="E80" s="40" t="n"/>
      <c r="F80" s="40" t="n"/>
      <c r="G80" s="40" t="n"/>
      <c r="H80" s="40" t="n"/>
      <c r="I80" s="51" t="n"/>
      <c r="J80" s="47" t="n"/>
      <c r="K80" s="47" t="n"/>
      <c r="L80" s="50" t="n"/>
      <c r="M80" s="49">
        <f>IF(B80="","",IF(L80="","قيد المراجعة",IF(L80="A","معتمد",IF(L80="B","معتمد بملاحظات",IF(L80="C","مرفوض – يعاد التقديم","مرفوض نهائياً")))))</f>
        <v/>
      </c>
      <c r="N80" s="48">
        <f>IF(J80="","",IF(K80="",TODAY(),K80)-J80)</f>
        <v/>
      </c>
      <c r="O80" s="49">
        <f>IF(B80="","",IF(AND(L80="",N(N80)&gt;S_SLA),"متأخر رد الاستشاري",""))</f>
        <v/>
      </c>
      <c r="P80" s="49">
        <f>IF(B80="","",IF(OR(L80="A",L80="B"),"نعم","لا"))</f>
        <v/>
      </c>
    </row>
    <row r="81">
      <c r="A81" s="39">
        <f>IF(B81="","","MAR-"&amp;TEXT(ROW()-4,"0000"))</f>
        <v/>
      </c>
      <c r="B81" s="50" t="n"/>
      <c r="C81" s="49">
        <f>IF(B81="","",IFERROR(INDEX('المشروعات'!$B$5:$B$304,MATCH(B81,'المشروعات'!$A$5:$A$304,0)),""))</f>
        <v/>
      </c>
      <c r="D81" s="40" t="n"/>
      <c r="E81" s="40" t="n"/>
      <c r="F81" s="40" t="n"/>
      <c r="G81" s="40" t="n"/>
      <c r="H81" s="40" t="n"/>
      <c r="I81" s="51" t="n"/>
      <c r="J81" s="47" t="n"/>
      <c r="K81" s="47" t="n"/>
      <c r="L81" s="50" t="n"/>
      <c r="M81" s="49">
        <f>IF(B81="","",IF(L81="","قيد المراجعة",IF(L81="A","معتمد",IF(L81="B","معتمد بملاحظات",IF(L81="C","مرفوض – يعاد التقديم","مرفوض نهائياً")))))</f>
        <v/>
      </c>
      <c r="N81" s="48">
        <f>IF(J81="","",IF(K81="",TODAY(),K81)-J81)</f>
        <v/>
      </c>
      <c r="O81" s="49">
        <f>IF(B81="","",IF(AND(L81="",N(N81)&gt;S_SLA),"متأخر رد الاستشاري",""))</f>
        <v/>
      </c>
      <c r="P81" s="49">
        <f>IF(B81="","",IF(OR(L81="A",L81="B"),"نعم","لا"))</f>
        <v/>
      </c>
    </row>
    <row r="82">
      <c r="A82" s="39">
        <f>IF(B82="","","MAR-"&amp;TEXT(ROW()-4,"0000"))</f>
        <v/>
      </c>
      <c r="B82" s="50" t="n"/>
      <c r="C82" s="49">
        <f>IF(B82="","",IFERROR(INDEX('المشروعات'!$B$5:$B$304,MATCH(B82,'المشروعات'!$A$5:$A$304,0)),""))</f>
        <v/>
      </c>
      <c r="D82" s="40" t="n"/>
      <c r="E82" s="40" t="n"/>
      <c r="F82" s="40" t="n"/>
      <c r="G82" s="40" t="n"/>
      <c r="H82" s="40" t="n"/>
      <c r="I82" s="51" t="n"/>
      <c r="J82" s="47" t="n"/>
      <c r="K82" s="47" t="n"/>
      <c r="L82" s="50" t="n"/>
      <c r="M82" s="49">
        <f>IF(B82="","",IF(L82="","قيد المراجعة",IF(L82="A","معتمد",IF(L82="B","معتمد بملاحظات",IF(L82="C","مرفوض – يعاد التقديم","مرفوض نهائياً")))))</f>
        <v/>
      </c>
      <c r="N82" s="48">
        <f>IF(J82="","",IF(K82="",TODAY(),K82)-J82)</f>
        <v/>
      </c>
      <c r="O82" s="49">
        <f>IF(B82="","",IF(AND(L82="",N(N82)&gt;S_SLA),"متأخر رد الاستشاري",""))</f>
        <v/>
      </c>
      <c r="P82" s="49">
        <f>IF(B82="","",IF(OR(L82="A",L82="B"),"نعم","لا"))</f>
        <v/>
      </c>
    </row>
    <row r="83">
      <c r="A83" s="39">
        <f>IF(B83="","","MAR-"&amp;TEXT(ROW()-4,"0000"))</f>
        <v/>
      </c>
      <c r="B83" s="50" t="n"/>
      <c r="C83" s="49">
        <f>IF(B83="","",IFERROR(INDEX('المشروعات'!$B$5:$B$304,MATCH(B83,'المشروعات'!$A$5:$A$304,0)),""))</f>
        <v/>
      </c>
      <c r="D83" s="40" t="n"/>
      <c r="E83" s="40" t="n"/>
      <c r="F83" s="40" t="n"/>
      <c r="G83" s="40" t="n"/>
      <c r="H83" s="40" t="n"/>
      <c r="I83" s="51" t="n"/>
      <c r="J83" s="47" t="n"/>
      <c r="K83" s="47" t="n"/>
      <c r="L83" s="50" t="n"/>
      <c r="M83" s="49">
        <f>IF(B83="","",IF(L83="","قيد المراجعة",IF(L83="A","معتمد",IF(L83="B","معتمد بملاحظات",IF(L83="C","مرفوض – يعاد التقديم","مرفوض نهائياً")))))</f>
        <v/>
      </c>
      <c r="N83" s="48">
        <f>IF(J83="","",IF(K83="",TODAY(),K83)-J83)</f>
        <v/>
      </c>
      <c r="O83" s="49">
        <f>IF(B83="","",IF(AND(L83="",N(N83)&gt;S_SLA),"متأخر رد الاستشاري",""))</f>
        <v/>
      </c>
      <c r="P83" s="49">
        <f>IF(B83="","",IF(OR(L83="A",L83="B"),"نعم","لا"))</f>
        <v/>
      </c>
    </row>
    <row r="84">
      <c r="A84" s="39">
        <f>IF(B84="","","MAR-"&amp;TEXT(ROW()-4,"0000"))</f>
        <v/>
      </c>
      <c r="B84" s="50" t="n"/>
      <c r="C84" s="49">
        <f>IF(B84="","",IFERROR(INDEX('المشروعات'!$B$5:$B$304,MATCH(B84,'المشروعات'!$A$5:$A$304,0)),""))</f>
        <v/>
      </c>
      <c r="D84" s="40" t="n"/>
      <c r="E84" s="40" t="n"/>
      <c r="F84" s="40" t="n"/>
      <c r="G84" s="40" t="n"/>
      <c r="H84" s="40" t="n"/>
      <c r="I84" s="51" t="n"/>
      <c r="J84" s="47" t="n"/>
      <c r="K84" s="47" t="n"/>
      <c r="L84" s="50" t="n"/>
      <c r="M84" s="49">
        <f>IF(B84="","",IF(L84="","قيد المراجعة",IF(L84="A","معتمد",IF(L84="B","معتمد بملاحظات",IF(L84="C","مرفوض – يعاد التقديم","مرفوض نهائياً")))))</f>
        <v/>
      </c>
      <c r="N84" s="48">
        <f>IF(J84="","",IF(K84="",TODAY(),K84)-J84)</f>
        <v/>
      </c>
      <c r="O84" s="49">
        <f>IF(B84="","",IF(AND(L84="",N(N84)&gt;S_SLA),"متأخر رد الاستشاري",""))</f>
        <v/>
      </c>
      <c r="P84" s="49">
        <f>IF(B84="","",IF(OR(L84="A",L84="B"),"نعم","لا"))</f>
        <v/>
      </c>
    </row>
    <row r="85">
      <c r="A85" s="39">
        <f>IF(B85="","","MAR-"&amp;TEXT(ROW()-4,"0000"))</f>
        <v/>
      </c>
      <c r="B85" s="50" t="n"/>
      <c r="C85" s="49">
        <f>IF(B85="","",IFERROR(INDEX('المشروعات'!$B$5:$B$304,MATCH(B85,'المشروعات'!$A$5:$A$304,0)),""))</f>
        <v/>
      </c>
      <c r="D85" s="40" t="n"/>
      <c r="E85" s="40" t="n"/>
      <c r="F85" s="40" t="n"/>
      <c r="G85" s="40" t="n"/>
      <c r="H85" s="40" t="n"/>
      <c r="I85" s="51" t="n"/>
      <c r="J85" s="47" t="n"/>
      <c r="K85" s="47" t="n"/>
      <c r="L85" s="50" t="n"/>
      <c r="M85" s="49">
        <f>IF(B85="","",IF(L85="","قيد المراجعة",IF(L85="A","معتمد",IF(L85="B","معتمد بملاحظات",IF(L85="C","مرفوض – يعاد التقديم","مرفوض نهائياً")))))</f>
        <v/>
      </c>
      <c r="N85" s="48">
        <f>IF(J85="","",IF(K85="",TODAY(),K85)-J85)</f>
        <v/>
      </c>
      <c r="O85" s="49">
        <f>IF(B85="","",IF(AND(L85="",N(N85)&gt;S_SLA),"متأخر رد الاستشاري",""))</f>
        <v/>
      </c>
      <c r="P85" s="49">
        <f>IF(B85="","",IF(OR(L85="A",L85="B"),"نعم","لا"))</f>
        <v/>
      </c>
    </row>
    <row r="86">
      <c r="A86" s="39">
        <f>IF(B86="","","MAR-"&amp;TEXT(ROW()-4,"0000"))</f>
        <v/>
      </c>
      <c r="B86" s="50" t="n"/>
      <c r="C86" s="49">
        <f>IF(B86="","",IFERROR(INDEX('المشروعات'!$B$5:$B$304,MATCH(B86,'المشروعات'!$A$5:$A$304,0)),""))</f>
        <v/>
      </c>
      <c r="D86" s="40" t="n"/>
      <c r="E86" s="40" t="n"/>
      <c r="F86" s="40" t="n"/>
      <c r="G86" s="40" t="n"/>
      <c r="H86" s="40" t="n"/>
      <c r="I86" s="51" t="n"/>
      <c r="J86" s="47" t="n"/>
      <c r="K86" s="47" t="n"/>
      <c r="L86" s="50" t="n"/>
      <c r="M86" s="49">
        <f>IF(B86="","",IF(L86="","قيد المراجعة",IF(L86="A","معتمد",IF(L86="B","معتمد بملاحظات",IF(L86="C","مرفوض – يعاد التقديم","مرفوض نهائياً")))))</f>
        <v/>
      </c>
      <c r="N86" s="48">
        <f>IF(J86="","",IF(K86="",TODAY(),K86)-J86)</f>
        <v/>
      </c>
      <c r="O86" s="49">
        <f>IF(B86="","",IF(AND(L86="",N(N86)&gt;S_SLA),"متأخر رد الاستشاري",""))</f>
        <v/>
      </c>
      <c r="P86" s="49">
        <f>IF(B86="","",IF(OR(L86="A",L86="B"),"نعم","لا"))</f>
        <v/>
      </c>
    </row>
    <row r="87">
      <c r="A87" s="39">
        <f>IF(B87="","","MAR-"&amp;TEXT(ROW()-4,"0000"))</f>
        <v/>
      </c>
      <c r="B87" s="50" t="n"/>
      <c r="C87" s="49">
        <f>IF(B87="","",IFERROR(INDEX('المشروعات'!$B$5:$B$304,MATCH(B87,'المشروعات'!$A$5:$A$304,0)),""))</f>
        <v/>
      </c>
      <c r="D87" s="40" t="n"/>
      <c r="E87" s="40" t="n"/>
      <c r="F87" s="40" t="n"/>
      <c r="G87" s="40" t="n"/>
      <c r="H87" s="40" t="n"/>
      <c r="I87" s="51" t="n"/>
      <c r="J87" s="47" t="n"/>
      <c r="K87" s="47" t="n"/>
      <c r="L87" s="50" t="n"/>
      <c r="M87" s="49">
        <f>IF(B87="","",IF(L87="","قيد المراجعة",IF(L87="A","معتمد",IF(L87="B","معتمد بملاحظات",IF(L87="C","مرفوض – يعاد التقديم","مرفوض نهائياً")))))</f>
        <v/>
      </c>
      <c r="N87" s="48">
        <f>IF(J87="","",IF(K87="",TODAY(),K87)-J87)</f>
        <v/>
      </c>
      <c r="O87" s="49">
        <f>IF(B87="","",IF(AND(L87="",N(N87)&gt;S_SLA),"متأخر رد الاستشاري",""))</f>
        <v/>
      </c>
      <c r="P87" s="49">
        <f>IF(B87="","",IF(OR(L87="A",L87="B"),"نعم","لا"))</f>
        <v/>
      </c>
    </row>
    <row r="88">
      <c r="A88" s="39">
        <f>IF(B88="","","MAR-"&amp;TEXT(ROW()-4,"0000"))</f>
        <v/>
      </c>
      <c r="B88" s="50" t="n"/>
      <c r="C88" s="49">
        <f>IF(B88="","",IFERROR(INDEX('المشروعات'!$B$5:$B$304,MATCH(B88,'المشروعات'!$A$5:$A$304,0)),""))</f>
        <v/>
      </c>
      <c r="D88" s="40" t="n"/>
      <c r="E88" s="40" t="n"/>
      <c r="F88" s="40" t="n"/>
      <c r="G88" s="40" t="n"/>
      <c r="H88" s="40" t="n"/>
      <c r="I88" s="51" t="n"/>
      <c r="J88" s="47" t="n"/>
      <c r="K88" s="47" t="n"/>
      <c r="L88" s="50" t="n"/>
      <c r="M88" s="49">
        <f>IF(B88="","",IF(L88="","قيد المراجعة",IF(L88="A","معتمد",IF(L88="B","معتمد بملاحظات",IF(L88="C","مرفوض – يعاد التقديم","مرفوض نهائياً")))))</f>
        <v/>
      </c>
      <c r="N88" s="48">
        <f>IF(J88="","",IF(K88="",TODAY(),K88)-J88)</f>
        <v/>
      </c>
      <c r="O88" s="49">
        <f>IF(B88="","",IF(AND(L88="",N(N88)&gt;S_SLA),"متأخر رد الاستشاري",""))</f>
        <v/>
      </c>
      <c r="P88" s="49">
        <f>IF(B88="","",IF(OR(L88="A",L88="B"),"نعم","لا"))</f>
        <v/>
      </c>
    </row>
    <row r="89">
      <c r="A89" s="39">
        <f>IF(B89="","","MAR-"&amp;TEXT(ROW()-4,"0000"))</f>
        <v/>
      </c>
      <c r="B89" s="50" t="n"/>
      <c r="C89" s="49">
        <f>IF(B89="","",IFERROR(INDEX('المشروعات'!$B$5:$B$304,MATCH(B89,'المشروعات'!$A$5:$A$304,0)),""))</f>
        <v/>
      </c>
      <c r="D89" s="40" t="n"/>
      <c r="E89" s="40" t="n"/>
      <c r="F89" s="40" t="n"/>
      <c r="G89" s="40" t="n"/>
      <c r="H89" s="40" t="n"/>
      <c r="I89" s="51" t="n"/>
      <c r="J89" s="47" t="n"/>
      <c r="K89" s="47" t="n"/>
      <c r="L89" s="50" t="n"/>
      <c r="M89" s="49">
        <f>IF(B89="","",IF(L89="","قيد المراجعة",IF(L89="A","معتمد",IF(L89="B","معتمد بملاحظات",IF(L89="C","مرفوض – يعاد التقديم","مرفوض نهائياً")))))</f>
        <v/>
      </c>
      <c r="N89" s="48">
        <f>IF(J89="","",IF(K89="",TODAY(),K89)-J89)</f>
        <v/>
      </c>
      <c r="O89" s="49">
        <f>IF(B89="","",IF(AND(L89="",N(N89)&gt;S_SLA),"متأخر رد الاستشاري",""))</f>
        <v/>
      </c>
      <c r="P89" s="49">
        <f>IF(B89="","",IF(OR(L89="A",L89="B"),"نعم","لا"))</f>
        <v/>
      </c>
    </row>
    <row r="90">
      <c r="A90" s="39">
        <f>IF(B90="","","MAR-"&amp;TEXT(ROW()-4,"0000"))</f>
        <v/>
      </c>
      <c r="B90" s="50" t="n"/>
      <c r="C90" s="49">
        <f>IF(B90="","",IFERROR(INDEX('المشروعات'!$B$5:$B$304,MATCH(B90,'المشروعات'!$A$5:$A$304,0)),""))</f>
        <v/>
      </c>
      <c r="D90" s="40" t="n"/>
      <c r="E90" s="40" t="n"/>
      <c r="F90" s="40" t="n"/>
      <c r="G90" s="40" t="n"/>
      <c r="H90" s="40" t="n"/>
      <c r="I90" s="51" t="n"/>
      <c r="J90" s="47" t="n"/>
      <c r="K90" s="47" t="n"/>
      <c r="L90" s="50" t="n"/>
      <c r="M90" s="49">
        <f>IF(B90="","",IF(L90="","قيد المراجعة",IF(L90="A","معتمد",IF(L90="B","معتمد بملاحظات",IF(L90="C","مرفوض – يعاد التقديم","مرفوض نهائياً")))))</f>
        <v/>
      </c>
      <c r="N90" s="48">
        <f>IF(J90="","",IF(K90="",TODAY(),K90)-J90)</f>
        <v/>
      </c>
      <c r="O90" s="49">
        <f>IF(B90="","",IF(AND(L90="",N(N90)&gt;S_SLA),"متأخر رد الاستشاري",""))</f>
        <v/>
      </c>
      <c r="P90" s="49">
        <f>IF(B90="","",IF(OR(L90="A",L90="B"),"نعم","لا"))</f>
        <v/>
      </c>
    </row>
    <row r="91">
      <c r="A91" s="39">
        <f>IF(B91="","","MAR-"&amp;TEXT(ROW()-4,"0000"))</f>
        <v/>
      </c>
      <c r="B91" s="50" t="n"/>
      <c r="C91" s="49">
        <f>IF(B91="","",IFERROR(INDEX('المشروعات'!$B$5:$B$304,MATCH(B91,'المشروعات'!$A$5:$A$304,0)),""))</f>
        <v/>
      </c>
      <c r="D91" s="40" t="n"/>
      <c r="E91" s="40" t="n"/>
      <c r="F91" s="40" t="n"/>
      <c r="G91" s="40" t="n"/>
      <c r="H91" s="40" t="n"/>
      <c r="I91" s="51" t="n"/>
      <c r="J91" s="47" t="n"/>
      <c r="K91" s="47" t="n"/>
      <c r="L91" s="50" t="n"/>
      <c r="M91" s="49">
        <f>IF(B91="","",IF(L91="","قيد المراجعة",IF(L91="A","معتمد",IF(L91="B","معتمد بملاحظات",IF(L91="C","مرفوض – يعاد التقديم","مرفوض نهائياً")))))</f>
        <v/>
      </c>
      <c r="N91" s="48">
        <f>IF(J91="","",IF(K91="",TODAY(),K91)-J91)</f>
        <v/>
      </c>
      <c r="O91" s="49">
        <f>IF(B91="","",IF(AND(L91="",N(N91)&gt;S_SLA),"متأخر رد الاستشاري",""))</f>
        <v/>
      </c>
      <c r="P91" s="49">
        <f>IF(B91="","",IF(OR(L91="A",L91="B"),"نعم","لا"))</f>
        <v/>
      </c>
    </row>
    <row r="92">
      <c r="A92" s="39">
        <f>IF(B92="","","MAR-"&amp;TEXT(ROW()-4,"0000"))</f>
        <v/>
      </c>
      <c r="B92" s="50" t="n"/>
      <c r="C92" s="49">
        <f>IF(B92="","",IFERROR(INDEX('المشروعات'!$B$5:$B$304,MATCH(B92,'المشروعات'!$A$5:$A$304,0)),""))</f>
        <v/>
      </c>
      <c r="D92" s="40" t="n"/>
      <c r="E92" s="40" t="n"/>
      <c r="F92" s="40" t="n"/>
      <c r="G92" s="40" t="n"/>
      <c r="H92" s="40" t="n"/>
      <c r="I92" s="51" t="n"/>
      <c r="J92" s="47" t="n"/>
      <c r="K92" s="47" t="n"/>
      <c r="L92" s="50" t="n"/>
      <c r="M92" s="49">
        <f>IF(B92="","",IF(L92="","قيد المراجعة",IF(L92="A","معتمد",IF(L92="B","معتمد بملاحظات",IF(L92="C","مرفوض – يعاد التقديم","مرفوض نهائياً")))))</f>
        <v/>
      </c>
      <c r="N92" s="48">
        <f>IF(J92="","",IF(K92="",TODAY(),K92)-J92)</f>
        <v/>
      </c>
      <c r="O92" s="49">
        <f>IF(B92="","",IF(AND(L92="",N(N92)&gt;S_SLA),"متأخر رد الاستشاري",""))</f>
        <v/>
      </c>
      <c r="P92" s="49">
        <f>IF(B92="","",IF(OR(L92="A",L92="B"),"نعم","لا"))</f>
        <v/>
      </c>
    </row>
    <row r="93">
      <c r="A93" s="39">
        <f>IF(B93="","","MAR-"&amp;TEXT(ROW()-4,"0000"))</f>
        <v/>
      </c>
      <c r="B93" s="50" t="n"/>
      <c r="C93" s="49">
        <f>IF(B93="","",IFERROR(INDEX('المشروعات'!$B$5:$B$304,MATCH(B93,'المشروعات'!$A$5:$A$304,0)),""))</f>
        <v/>
      </c>
      <c r="D93" s="40" t="n"/>
      <c r="E93" s="40" t="n"/>
      <c r="F93" s="40" t="n"/>
      <c r="G93" s="40" t="n"/>
      <c r="H93" s="40" t="n"/>
      <c r="I93" s="51" t="n"/>
      <c r="J93" s="47" t="n"/>
      <c r="K93" s="47" t="n"/>
      <c r="L93" s="50" t="n"/>
      <c r="M93" s="49">
        <f>IF(B93="","",IF(L93="","قيد المراجعة",IF(L93="A","معتمد",IF(L93="B","معتمد بملاحظات",IF(L93="C","مرفوض – يعاد التقديم","مرفوض نهائياً")))))</f>
        <v/>
      </c>
      <c r="N93" s="48">
        <f>IF(J93="","",IF(K93="",TODAY(),K93)-J93)</f>
        <v/>
      </c>
      <c r="O93" s="49">
        <f>IF(B93="","",IF(AND(L93="",N(N93)&gt;S_SLA),"متأخر رد الاستشاري",""))</f>
        <v/>
      </c>
      <c r="P93" s="49">
        <f>IF(B93="","",IF(OR(L93="A",L93="B"),"نعم","لا"))</f>
        <v/>
      </c>
    </row>
    <row r="94">
      <c r="A94" s="39">
        <f>IF(B94="","","MAR-"&amp;TEXT(ROW()-4,"0000"))</f>
        <v/>
      </c>
      <c r="B94" s="50" t="n"/>
      <c r="C94" s="49">
        <f>IF(B94="","",IFERROR(INDEX('المشروعات'!$B$5:$B$304,MATCH(B94,'المشروعات'!$A$5:$A$304,0)),""))</f>
        <v/>
      </c>
      <c r="D94" s="40" t="n"/>
      <c r="E94" s="40" t="n"/>
      <c r="F94" s="40" t="n"/>
      <c r="G94" s="40" t="n"/>
      <c r="H94" s="40" t="n"/>
      <c r="I94" s="51" t="n"/>
      <c r="J94" s="47" t="n"/>
      <c r="K94" s="47" t="n"/>
      <c r="L94" s="50" t="n"/>
      <c r="M94" s="49">
        <f>IF(B94="","",IF(L94="","قيد المراجعة",IF(L94="A","معتمد",IF(L94="B","معتمد بملاحظات",IF(L94="C","مرفوض – يعاد التقديم","مرفوض نهائياً")))))</f>
        <v/>
      </c>
      <c r="N94" s="48">
        <f>IF(J94="","",IF(K94="",TODAY(),K94)-J94)</f>
        <v/>
      </c>
      <c r="O94" s="49">
        <f>IF(B94="","",IF(AND(L94="",N(N94)&gt;S_SLA),"متأخر رد الاستشاري",""))</f>
        <v/>
      </c>
      <c r="P94" s="49">
        <f>IF(B94="","",IF(OR(L94="A",L94="B"),"نعم","لا"))</f>
        <v/>
      </c>
    </row>
    <row r="95">
      <c r="A95" s="39">
        <f>IF(B95="","","MAR-"&amp;TEXT(ROW()-4,"0000"))</f>
        <v/>
      </c>
      <c r="B95" s="50" t="n"/>
      <c r="C95" s="49">
        <f>IF(B95="","",IFERROR(INDEX('المشروعات'!$B$5:$B$304,MATCH(B95,'المشروعات'!$A$5:$A$304,0)),""))</f>
        <v/>
      </c>
      <c r="D95" s="40" t="n"/>
      <c r="E95" s="40" t="n"/>
      <c r="F95" s="40" t="n"/>
      <c r="G95" s="40" t="n"/>
      <c r="H95" s="40" t="n"/>
      <c r="I95" s="51" t="n"/>
      <c r="J95" s="47" t="n"/>
      <c r="K95" s="47" t="n"/>
      <c r="L95" s="50" t="n"/>
      <c r="M95" s="49">
        <f>IF(B95="","",IF(L95="","قيد المراجعة",IF(L95="A","معتمد",IF(L95="B","معتمد بملاحظات",IF(L95="C","مرفوض – يعاد التقديم","مرفوض نهائياً")))))</f>
        <v/>
      </c>
      <c r="N95" s="48">
        <f>IF(J95="","",IF(K95="",TODAY(),K95)-J95)</f>
        <v/>
      </c>
      <c r="O95" s="49">
        <f>IF(B95="","",IF(AND(L95="",N(N95)&gt;S_SLA),"متأخر رد الاستشاري",""))</f>
        <v/>
      </c>
      <c r="P95" s="49">
        <f>IF(B95="","",IF(OR(L95="A",L95="B"),"نعم","لا"))</f>
        <v/>
      </c>
    </row>
    <row r="96">
      <c r="A96" s="39">
        <f>IF(B96="","","MAR-"&amp;TEXT(ROW()-4,"0000"))</f>
        <v/>
      </c>
      <c r="B96" s="50" t="n"/>
      <c r="C96" s="49">
        <f>IF(B96="","",IFERROR(INDEX('المشروعات'!$B$5:$B$304,MATCH(B96,'المشروعات'!$A$5:$A$304,0)),""))</f>
        <v/>
      </c>
      <c r="D96" s="40" t="n"/>
      <c r="E96" s="40" t="n"/>
      <c r="F96" s="40" t="n"/>
      <c r="G96" s="40" t="n"/>
      <c r="H96" s="40" t="n"/>
      <c r="I96" s="51" t="n"/>
      <c r="J96" s="47" t="n"/>
      <c r="K96" s="47" t="n"/>
      <c r="L96" s="50" t="n"/>
      <c r="M96" s="49">
        <f>IF(B96="","",IF(L96="","قيد المراجعة",IF(L96="A","معتمد",IF(L96="B","معتمد بملاحظات",IF(L96="C","مرفوض – يعاد التقديم","مرفوض نهائياً")))))</f>
        <v/>
      </c>
      <c r="N96" s="48">
        <f>IF(J96="","",IF(K96="",TODAY(),K96)-J96)</f>
        <v/>
      </c>
      <c r="O96" s="49">
        <f>IF(B96="","",IF(AND(L96="",N(N96)&gt;S_SLA),"متأخر رد الاستشاري",""))</f>
        <v/>
      </c>
      <c r="P96" s="49">
        <f>IF(B96="","",IF(OR(L96="A",L96="B"),"نعم","لا"))</f>
        <v/>
      </c>
    </row>
    <row r="97">
      <c r="A97" s="39">
        <f>IF(B97="","","MAR-"&amp;TEXT(ROW()-4,"0000"))</f>
        <v/>
      </c>
      <c r="B97" s="50" t="n"/>
      <c r="C97" s="49">
        <f>IF(B97="","",IFERROR(INDEX('المشروعات'!$B$5:$B$304,MATCH(B97,'المشروعات'!$A$5:$A$304,0)),""))</f>
        <v/>
      </c>
      <c r="D97" s="40" t="n"/>
      <c r="E97" s="40" t="n"/>
      <c r="F97" s="40" t="n"/>
      <c r="G97" s="40" t="n"/>
      <c r="H97" s="40" t="n"/>
      <c r="I97" s="51" t="n"/>
      <c r="J97" s="47" t="n"/>
      <c r="K97" s="47" t="n"/>
      <c r="L97" s="50" t="n"/>
      <c r="M97" s="49">
        <f>IF(B97="","",IF(L97="","قيد المراجعة",IF(L97="A","معتمد",IF(L97="B","معتمد بملاحظات",IF(L97="C","مرفوض – يعاد التقديم","مرفوض نهائياً")))))</f>
        <v/>
      </c>
      <c r="N97" s="48">
        <f>IF(J97="","",IF(K97="",TODAY(),K97)-J97)</f>
        <v/>
      </c>
      <c r="O97" s="49">
        <f>IF(B97="","",IF(AND(L97="",N(N97)&gt;S_SLA),"متأخر رد الاستشاري",""))</f>
        <v/>
      </c>
      <c r="P97" s="49">
        <f>IF(B97="","",IF(OR(L97="A",L97="B"),"نعم","لا"))</f>
        <v/>
      </c>
    </row>
    <row r="98">
      <c r="A98" s="39">
        <f>IF(B98="","","MAR-"&amp;TEXT(ROW()-4,"0000"))</f>
        <v/>
      </c>
      <c r="B98" s="50" t="n"/>
      <c r="C98" s="49">
        <f>IF(B98="","",IFERROR(INDEX('المشروعات'!$B$5:$B$304,MATCH(B98,'المشروعات'!$A$5:$A$304,0)),""))</f>
        <v/>
      </c>
      <c r="D98" s="40" t="n"/>
      <c r="E98" s="40" t="n"/>
      <c r="F98" s="40" t="n"/>
      <c r="G98" s="40" t="n"/>
      <c r="H98" s="40" t="n"/>
      <c r="I98" s="51" t="n"/>
      <c r="J98" s="47" t="n"/>
      <c r="K98" s="47" t="n"/>
      <c r="L98" s="50" t="n"/>
      <c r="M98" s="49">
        <f>IF(B98="","",IF(L98="","قيد المراجعة",IF(L98="A","معتمد",IF(L98="B","معتمد بملاحظات",IF(L98="C","مرفوض – يعاد التقديم","مرفوض نهائياً")))))</f>
        <v/>
      </c>
      <c r="N98" s="48">
        <f>IF(J98="","",IF(K98="",TODAY(),K98)-J98)</f>
        <v/>
      </c>
      <c r="O98" s="49">
        <f>IF(B98="","",IF(AND(L98="",N(N98)&gt;S_SLA),"متأخر رد الاستشاري",""))</f>
        <v/>
      </c>
      <c r="P98" s="49">
        <f>IF(B98="","",IF(OR(L98="A",L98="B"),"نعم","لا"))</f>
        <v/>
      </c>
    </row>
    <row r="99">
      <c r="A99" s="39">
        <f>IF(B99="","","MAR-"&amp;TEXT(ROW()-4,"0000"))</f>
        <v/>
      </c>
      <c r="B99" s="50" t="n"/>
      <c r="C99" s="49">
        <f>IF(B99="","",IFERROR(INDEX('المشروعات'!$B$5:$B$304,MATCH(B99,'المشروعات'!$A$5:$A$304,0)),""))</f>
        <v/>
      </c>
      <c r="D99" s="40" t="n"/>
      <c r="E99" s="40" t="n"/>
      <c r="F99" s="40" t="n"/>
      <c r="G99" s="40" t="n"/>
      <c r="H99" s="40" t="n"/>
      <c r="I99" s="51" t="n"/>
      <c r="J99" s="47" t="n"/>
      <c r="K99" s="47" t="n"/>
      <c r="L99" s="50" t="n"/>
      <c r="M99" s="49">
        <f>IF(B99="","",IF(L99="","قيد المراجعة",IF(L99="A","معتمد",IF(L99="B","معتمد بملاحظات",IF(L99="C","مرفوض – يعاد التقديم","مرفوض نهائياً")))))</f>
        <v/>
      </c>
      <c r="N99" s="48">
        <f>IF(J99="","",IF(K99="",TODAY(),K99)-J99)</f>
        <v/>
      </c>
      <c r="O99" s="49">
        <f>IF(B99="","",IF(AND(L99="",N(N99)&gt;S_SLA),"متأخر رد الاستشاري",""))</f>
        <v/>
      </c>
      <c r="P99" s="49">
        <f>IF(B99="","",IF(OR(L99="A",L99="B"),"نعم","لا"))</f>
        <v/>
      </c>
    </row>
    <row r="100">
      <c r="A100" s="39">
        <f>IF(B100="","","MAR-"&amp;TEXT(ROW()-4,"0000"))</f>
        <v/>
      </c>
      <c r="B100" s="50" t="n"/>
      <c r="C100" s="49">
        <f>IF(B100="","",IFERROR(INDEX('المشروعات'!$B$5:$B$304,MATCH(B100,'المشروعات'!$A$5:$A$304,0)),""))</f>
        <v/>
      </c>
      <c r="D100" s="40" t="n"/>
      <c r="E100" s="40" t="n"/>
      <c r="F100" s="40" t="n"/>
      <c r="G100" s="40" t="n"/>
      <c r="H100" s="40" t="n"/>
      <c r="I100" s="51" t="n"/>
      <c r="J100" s="47" t="n"/>
      <c r="K100" s="47" t="n"/>
      <c r="L100" s="50" t="n"/>
      <c r="M100" s="49">
        <f>IF(B100="","",IF(L100="","قيد المراجعة",IF(L100="A","معتمد",IF(L100="B","معتمد بملاحظات",IF(L100="C","مرفوض – يعاد التقديم","مرفوض نهائياً")))))</f>
        <v/>
      </c>
      <c r="N100" s="48">
        <f>IF(J100="","",IF(K100="",TODAY(),K100)-J100)</f>
        <v/>
      </c>
      <c r="O100" s="49">
        <f>IF(B100="","",IF(AND(L100="",N(N100)&gt;S_SLA),"متأخر رد الاستشاري",""))</f>
        <v/>
      </c>
      <c r="P100" s="49">
        <f>IF(B100="","",IF(OR(L100="A",L100="B"),"نعم","لا"))</f>
        <v/>
      </c>
    </row>
    <row r="101">
      <c r="A101" s="39">
        <f>IF(B101="","","MAR-"&amp;TEXT(ROW()-4,"0000"))</f>
        <v/>
      </c>
      <c r="B101" s="50" t="n"/>
      <c r="C101" s="49">
        <f>IF(B101="","",IFERROR(INDEX('المشروعات'!$B$5:$B$304,MATCH(B101,'المشروعات'!$A$5:$A$304,0)),""))</f>
        <v/>
      </c>
      <c r="D101" s="40" t="n"/>
      <c r="E101" s="40" t="n"/>
      <c r="F101" s="40" t="n"/>
      <c r="G101" s="40" t="n"/>
      <c r="H101" s="40" t="n"/>
      <c r="I101" s="51" t="n"/>
      <c r="J101" s="47" t="n"/>
      <c r="K101" s="47" t="n"/>
      <c r="L101" s="50" t="n"/>
      <c r="M101" s="49">
        <f>IF(B101="","",IF(L101="","قيد المراجعة",IF(L101="A","معتمد",IF(L101="B","معتمد بملاحظات",IF(L101="C","مرفوض – يعاد التقديم","مرفوض نهائياً")))))</f>
        <v/>
      </c>
      <c r="N101" s="48">
        <f>IF(J101="","",IF(K101="",TODAY(),K101)-J101)</f>
        <v/>
      </c>
      <c r="O101" s="49">
        <f>IF(B101="","",IF(AND(L101="",N(N101)&gt;S_SLA),"متأخر رد الاستشاري",""))</f>
        <v/>
      </c>
      <c r="P101" s="49">
        <f>IF(B101="","",IF(OR(L101="A",L101="B"),"نعم","لا"))</f>
        <v/>
      </c>
    </row>
    <row r="102">
      <c r="A102" s="39">
        <f>IF(B102="","","MAR-"&amp;TEXT(ROW()-4,"0000"))</f>
        <v/>
      </c>
      <c r="B102" s="50" t="n"/>
      <c r="C102" s="49">
        <f>IF(B102="","",IFERROR(INDEX('المشروعات'!$B$5:$B$304,MATCH(B102,'المشروعات'!$A$5:$A$304,0)),""))</f>
        <v/>
      </c>
      <c r="D102" s="40" t="n"/>
      <c r="E102" s="40" t="n"/>
      <c r="F102" s="40" t="n"/>
      <c r="G102" s="40" t="n"/>
      <c r="H102" s="40" t="n"/>
      <c r="I102" s="51" t="n"/>
      <c r="J102" s="47" t="n"/>
      <c r="K102" s="47" t="n"/>
      <c r="L102" s="50" t="n"/>
      <c r="M102" s="49">
        <f>IF(B102="","",IF(L102="","قيد المراجعة",IF(L102="A","معتمد",IF(L102="B","معتمد بملاحظات",IF(L102="C","مرفوض – يعاد التقديم","مرفوض نهائياً")))))</f>
        <v/>
      </c>
      <c r="N102" s="48">
        <f>IF(J102="","",IF(K102="",TODAY(),K102)-J102)</f>
        <v/>
      </c>
      <c r="O102" s="49">
        <f>IF(B102="","",IF(AND(L102="",N(N102)&gt;S_SLA),"متأخر رد الاستشاري",""))</f>
        <v/>
      </c>
      <c r="P102" s="49">
        <f>IF(B102="","",IF(OR(L102="A",L102="B"),"نعم","لا"))</f>
        <v/>
      </c>
    </row>
    <row r="103">
      <c r="A103" s="39">
        <f>IF(B103="","","MAR-"&amp;TEXT(ROW()-4,"0000"))</f>
        <v/>
      </c>
      <c r="B103" s="50" t="n"/>
      <c r="C103" s="49">
        <f>IF(B103="","",IFERROR(INDEX('المشروعات'!$B$5:$B$304,MATCH(B103,'المشروعات'!$A$5:$A$304,0)),""))</f>
        <v/>
      </c>
      <c r="D103" s="40" t="n"/>
      <c r="E103" s="40" t="n"/>
      <c r="F103" s="40" t="n"/>
      <c r="G103" s="40" t="n"/>
      <c r="H103" s="40" t="n"/>
      <c r="I103" s="51" t="n"/>
      <c r="J103" s="47" t="n"/>
      <c r="K103" s="47" t="n"/>
      <c r="L103" s="50" t="n"/>
      <c r="M103" s="49">
        <f>IF(B103="","",IF(L103="","قيد المراجعة",IF(L103="A","معتمد",IF(L103="B","معتمد بملاحظات",IF(L103="C","مرفوض – يعاد التقديم","مرفوض نهائياً")))))</f>
        <v/>
      </c>
      <c r="N103" s="48">
        <f>IF(J103="","",IF(K103="",TODAY(),K103)-J103)</f>
        <v/>
      </c>
      <c r="O103" s="49">
        <f>IF(B103="","",IF(AND(L103="",N(N103)&gt;S_SLA),"متأخر رد الاستشاري",""))</f>
        <v/>
      </c>
      <c r="P103" s="49">
        <f>IF(B103="","",IF(OR(L103="A",L103="B"),"نعم","لا"))</f>
        <v/>
      </c>
    </row>
    <row r="104">
      <c r="A104" s="39">
        <f>IF(B104="","","MAR-"&amp;TEXT(ROW()-4,"0000"))</f>
        <v/>
      </c>
      <c r="B104" s="50" t="n"/>
      <c r="C104" s="49">
        <f>IF(B104="","",IFERROR(INDEX('المشروعات'!$B$5:$B$304,MATCH(B104,'المشروعات'!$A$5:$A$304,0)),""))</f>
        <v/>
      </c>
      <c r="D104" s="40" t="n"/>
      <c r="E104" s="40" t="n"/>
      <c r="F104" s="40" t="n"/>
      <c r="G104" s="40" t="n"/>
      <c r="H104" s="40" t="n"/>
      <c r="I104" s="51" t="n"/>
      <c r="J104" s="47" t="n"/>
      <c r="K104" s="47" t="n"/>
      <c r="L104" s="50" t="n"/>
      <c r="M104" s="49">
        <f>IF(B104="","",IF(L104="","قيد المراجعة",IF(L104="A","معتمد",IF(L104="B","معتمد بملاحظات",IF(L104="C","مرفوض – يعاد التقديم","مرفوض نهائياً")))))</f>
        <v/>
      </c>
      <c r="N104" s="48">
        <f>IF(J104="","",IF(K104="",TODAY(),K104)-J104)</f>
        <v/>
      </c>
      <c r="O104" s="49">
        <f>IF(B104="","",IF(AND(L104="",N(N104)&gt;S_SLA),"متأخر رد الاستشاري",""))</f>
        <v/>
      </c>
      <c r="P104" s="49">
        <f>IF(B104="","",IF(OR(L104="A",L104="B"),"نعم","لا"))</f>
        <v/>
      </c>
    </row>
    <row r="105">
      <c r="A105" s="39">
        <f>IF(B105="","","MAR-"&amp;TEXT(ROW()-4,"0000"))</f>
        <v/>
      </c>
      <c r="B105" s="50" t="n"/>
      <c r="C105" s="49">
        <f>IF(B105="","",IFERROR(INDEX('المشروعات'!$B$5:$B$304,MATCH(B105,'المشروعات'!$A$5:$A$304,0)),""))</f>
        <v/>
      </c>
      <c r="D105" s="40" t="n"/>
      <c r="E105" s="40" t="n"/>
      <c r="F105" s="40" t="n"/>
      <c r="G105" s="40" t="n"/>
      <c r="H105" s="40" t="n"/>
      <c r="I105" s="51" t="n"/>
      <c r="J105" s="47" t="n"/>
      <c r="K105" s="47" t="n"/>
      <c r="L105" s="50" t="n"/>
      <c r="M105" s="49">
        <f>IF(B105="","",IF(L105="","قيد المراجعة",IF(L105="A","معتمد",IF(L105="B","معتمد بملاحظات",IF(L105="C","مرفوض – يعاد التقديم","مرفوض نهائياً")))))</f>
        <v/>
      </c>
      <c r="N105" s="48">
        <f>IF(J105="","",IF(K105="",TODAY(),K105)-J105)</f>
        <v/>
      </c>
      <c r="O105" s="49">
        <f>IF(B105="","",IF(AND(L105="",N(N105)&gt;S_SLA),"متأخر رد الاستشاري",""))</f>
        <v/>
      </c>
      <c r="P105" s="49">
        <f>IF(B105="","",IF(OR(L105="A",L105="B"),"نعم","لا"))</f>
        <v/>
      </c>
    </row>
    <row r="106">
      <c r="A106" s="39">
        <f>IF(B106="","","MAR-"&amp;TEXT(ROW()-4,"0000"))</f>
        <v/>
      </c>
      <c r="B106" s="50" t="n"/>
      <c r="C106" s="49">
        <f>IF(B106="","",IFERROR(INDEX('المشروعات'!$B$5:$B$304,MATCH(B106,'المشروعات'!$A$5:$A$304,0)),""))</f>
        <v/>
      </c>
      <c r="D106" s="40" t="n"/>
      <c r="E106" s="40" t="n"/>
      <c r="F106" s="40" t="n"/>
      <c r="G106" s="40" t="n"/>
      <c r="H106" s="40" t="n"/>
      <c r="I106" s="51" t="n"/>
      <c r="J106" s="47" t="n"/>
      <c r="K106" s="47" t="n"/>
      <c r="L106" s="50" t="n"/>
      <c r="M106" s="49">
        <f>IF(B106="","",IF(L106="","قيد المراجعة",IF(L106="A","معتمد",IF(L106="B","معتمد بملاحظات",IF(L106="C","مرفوض – يعاد التقديم","مرفوض نهائياً")))))</f>
        <v/>
      </c>
      <c r="N106" s="48">
        <f>IF(J106="","",IF(K106="",TODAY(),K106)-J106)</f>
        <v/>
      </c>
      <c r="O106" s="49">
        <f>IF(B106="","",IF(AND(L106="",N(N106)&gt;S_SLA),"متأخر رد الاستشاري",""))</f>
        <v/>
      </c>
      <c r="P106" s="49">
        <f>IF(B106="","",IF(OR(L106="A",L106="B"),"نعم","لا"))</f>
        <v/>
      </c>
    </row>
    <row r="107">
      <c r="A107" s="39">
        <f>IF(B107="","","MAR-"&amp;TEXT(ROW()-4,"0000"))</f>
        <v/>
      </c>
      <c r="B107" s="50" t="n"/>
      <c r="C107" s="49">
        <f>IF(B107="","",IFERROR(INDEX('المشروعات'!$B$5:$B$304,MATCH(B107,'المشروعات'!$A$5:$A$304,0)),""))</f>
        <v/>
      </c>
      <c r="D107" s="40" t="n"/>
      <c r="E107" s="40" t="n"/>
      <c r="F107" s="40" t="n"/>
      <c r="G107" s="40" t="n"/>
      <c r="H107" s="40" t="n"/>
      <c r="I107" s="51" t="n"/>
      <c r="J107" s="47" t="n"/>
      <c r="K107" s="47" t="n"/>
      <c r="L107" s="50" t="n"/>
      <c r="M107" s="49">
        <f>IF(B107="","",IF(L107="","قيد المراجعة",IF(L107="A","معتمد",IF(L107="B","معتمد بملاحظات",IF(L107="C","مرفوض – يعاد التقديم","مرفوض نهائياً")))))</f>
        <v/>
      </c>
      <c r="N107" s="48">
        <f>IF(J107="","",IF(K107="",TODAY(),K107)-J107)</f>
        <v/>
      </c>
      <c r="O107" s="49">
        <f>IF(B107="","",IF(AND(L107="",N(N107)&gt;S_SLA),"متأخر رد الاستشاري",""))</f>
        <v/>
      </c>
      <c r="P107" s="49">
        <f>IF(B107="","",IF(OR(L107="A",L107="B"),"نعم","لا"))</f>
        <v/>
      </c>
    </row>
    <row r="108">
      <c r="A108" s="39">
        <f>IF(B108="","","MAR-"&amp;TEXT(ROW()-4,"0000"))</f>
        <v/>
      </c>
      <c r="B108" s="50" t="n"/>
      <c r="C108" s="49">
        <f>IF(B108="","",IFERROR(INDEX('المشروعات'!$B$5:$B$304,MATCH(B108,'المشروعات'!$A$5:$A$304,0)),""))</f>
        <v/>
      </c>
      <c r="D108" s="40" t="n"/>
      <c r="E108" s="40" t="n"/>
      <c r="F108" s="40" t="n"/>
      <c r="G108" s="40" t="n"/>
      <c r="H108" s="40" t="n"/>
      <c r="I108" s="51" t="n"/>
      <c r="J108" s="47" t="n"/>
      <c r="K108" s="47" t="n"/>
      <c r="L108" s="50" t="n"/>
      <c r="M108" s="49">
        <f>IF(B108="","",IF(L108="","قيد المراجعة",IF(L108="A","معتمد",IF(L108="B","معتمد بملاحظات",IF(L108="C","مرفوض – يعاد التقديم","مرفوض نهائياً")))))</f>
        <v/>
      </c>
      <c r="N108" s="48">
        <f>IF(J108="","",IF(K108="",TODAY(),K108)-J108)</f>
        <v/>
      </c>
      <c r="O108" s="49">
        <f>IF(B108="","",IF(AND(L108="",N(N108)&gt;S_SLA),"متأخر رد الاستشاري",""))</f>
        <v/>
      </c>
      <c r="P108" s="49">
        <f>IF(B108="","",IF(OR(L108="A",L108="B"),"نعم","لا"))</f>
        <v/>
      </c>
    </row>
    <row r="109">
      <c r="A109" s="39">
        <f>IF(B109="","","MAR-"&amp;TEXT(ROW()-4,"0000"))</f>
        <v/>
      </c>
      <c r="B109" s="50" t="n"/>
      <c r="C109" s="49">
        <f>IF(B109="","",IFERROR(INDEX('المشروعات'!$B$5:$B$304,MATCH(B109,'المشروعات'!$A$5:$A$304,0)),""))</f>
        <v/>
      </c>
      <c r="D109" s="40" t="n"/>
      <c r="E109" s="40" t="n"/>
      <c r="F109" s="40" t="n"/>
      <c r="G109" s="40" t="n"/>
      <c r="H109" s="40" t="n"/>
      <c r="I109" s="51" t="n"/>
      <c r="J109" s="47" t="n"/>
      <c r="K109" s="47" t="n"/>
      <c r="L109" s="50" t="n"/>
      <c r="M109" s="49">
        <f>IF(B109="","",IF(L109="","قيد المراجعة",IF(L109="A","معتمد",IF(L109="B","معتمد بملاحظات",IF(L109="C","مرفوض – يعاد التقديم","مرفوض نهائياً")))))</f>
        <v/>
      </c>
      <c r="N109" s="48">
        <f>IF(J109="","",IF(K109="",TODAY(),K109)-J109)</f>
        <v/>
      </c>
      <c r="O109" s="49">
        <f>IF(B109="","",IF(AND(L109="",N(N109)&gt;S_SLA),"متأخر رد الاستشاري",""))</f>
        <v/>
      </c>
      <c r="P109" s="49">
        <f>IF(B109="","",IF(OR(L109="A",L109="B"),"نعم","لا"))</f>
        <v/>
      </c>
    </row>
    <row r="110">
      <c r="A110" s="39">
        <f>IF(B110="","","MAR-"&amp;TEXT(ROW()-4,"0000"))</f>
        <v/>
      </c>
      <c r="B110" s="50" t="n"/>
      <c r="C110" s="49">
        <f>IF(B110="","",IFERROR(INDEX('المشروعات'!$B$5:$B$304,MATCH(B110,'المشروعات'!$A$5:$A$304,0)),""))</f>
        <v/>
      </c>
      <c r="D110" s="40" t="n"/>
      <c r="E110" s="40" t="n"/>
      <c r="F110" s="40" t="n"/>
      <c r="G110" s="40" t="n"/>
      <c r="H110" s="40" t="n"/>
      <c r="I110" s="51" t="n"/>
      <c r="J110" s="47" t="n"/>
      <c r="K110" s="47" t="n"/>
      <c r="L110" s="50" t="n"/>
      <c r="M110" s="49">
        <f>IF(B110="","",IF(L110="","قيد المراجعة",IF(L110="A","معتمد",IF(L110="B","معتمد بملاحظات",IF(L110="C","مرفوض – يعاد التقديم","مرفوض نهائياً")))))</f>
        <v/>
      </c>
      <c r="N110" s="48">
        <f>IF(J110="","",IF(K110="",TODAY(),K110)-J110)</f>
        <v/>
      </c>
      <c r="O110" s="49">
        <f>IF(B110="","",IF(AND(L110="",N(N110)&gt;S_SLA),"متأخر رد الاستشاري",""))</f>
        <v/>
      </c>
      <c r="P110" s="49">
        <f>IF(B110="","",IF(OR(L110="A",L110="B"),"نعم","لا"))</f>
        <v/>
      </c>
    </row>
    <row r="111">
      <c r="A111" s="39">
        <f>IF(B111="","","MAR-"&amp;TEXT(ROW()-4,"0000"))</f>
        <v/>
      </c>
      <c r="B111" s="50" t="n"/>
      <c r="C111" s="49">
        <f>IF(B111="","",IFERROR(INDEX('المشروعات'!$B$5:$B$304,MATCH(B111,'المشروعات'!$A$5:$A$304,0)),""))</f>
        <v/>
      </c>
      <c r="D111" s="40" t="n"/>
      <c r="E111" s="40" t="n"/>
      <c r="F111" s="40" t="n"/>
      <c r="G111" s="40" t="n"/>
      <c r="H111" s="40" t="n"/>
      <c r="I111" s="51" t="n"/>
      <c r="J111" s="47" t="n"/>
      <c r="K111" s="47" t="n"/>
      <c r="L111" s="50" t="n"/>
      <c r="M111" s="49">
        <f>IF(B111="","",IF(L111="","قيد المراجعة",IF(L111="A","معتمد",IF(L111="B","معتمد بملاحظات",IF(L111="C","مرفوض – يعاد التقديم","مرفوض نهائياً")))))</f>
        <v/>
      </c>
      <c r="N111" s="48">
        <f>IF(J111="","",IF(K111="",TODAY(),K111)-J111)</f>
        <v/>
      </c>
      <c r="O111" s="49">
        <f>IF(B111="","",IF(AND(L111="",N(N111)&gt;S_SLA),"متأخر رد الاستشاري",""))</f>
        <v/>
      </c>
      <c r="P111" s="49">
        <f>IF(B111="","",IF(OR(L111="A",L111="B"),"نعم","لا"))</f>
        <v/>
      </c>
    </row>
    <row r="112">
      <c r="A112" s="39">
        <f>IF(B112="","","MAR-"&amp;TEXT(ROW()-4,"0000"))</f>
        <v/>
      </c>
      <c r="B112" s="50" t="n"/>
      <c r="C112" s="49">
        <f>IF(B112="","",IFERROR(INDEX('المشروعات'!$B$5:$B$304,MATCH(B112,'المشروعات'!$A$5:$A$304,0)),""))</f>
        <v/>
      </c>
      <c r="D112" s="40" t="n"/>
      <c r="E112" s="40" t="n"/>
      <c r="F112" s="40" t="n"/>
      <c r="G112" s="40" t="n"/>
      <c r="H112" s="40" t="n"/>
      <c r="I112" s="51" t="n"/>
      <c r="J112" s="47" t="n"/>
      <c r="K112" s="47" t="n"/>
      <c r="L112" s="50" t="n"/>
      <c r="M112" s="49">
        <f>IF(B112="","",IF(L112="","قيد المراجعة",IF(L112="A","معتمد",IF(L112="B","معتمد بملاحظات",IF(L112="C","مرفوض – يعاد التقديم","مرفوض نهائياً")))))</f>
        <v/>
      </c>
      <c r="N112" s="48">
        <f>IF(J112="","",IF(K112="",TODAY(),K112)-J112)</f>
        <v/>
      </c>
      <c r="O112" s="49">
        <f>IF(B112="","",IF(AND(L112="",N(N112)&gt;S_SLA),"متأخر رد الاستشاري",""))</f>
        <v/>
      </c>
      <c r="P112" s="49">
        <f>IF(B112="","",IF(OR(L112="A",L112="B"),"نعم","لا"))</f>
        <v/>
      </c>
    </row>
    <row r="113">
      <c r="A113" s="39">
        <f>IF(B113="","","MAR-"&amp;TEXT(ROW()-4,"0000"))</f>
        <v/>
      </c>
      <c r="B113" s="50" t="n"/>
      <c r="C113" s="49">
        <f>IF(B113="","",IFERROR(INDEX('المشروعات'!$B$5:$B$304,MATCH(B113,'المشروعات'!$A$5:$A$304,0)),""))</f>
        <v/>
      </c>
      <c r="D113" s="40" t="n"/>
      <c r="E113" s="40" t="n"/>
      <c r="F113" s="40" t="n"/>
      <c r="G113" s="40" t="n"/>
      <c r="H113" s="40" t="n"/>
      <c r="I113" s="51" t="n"/>
      <c r="J113" s="47" t="n"/>
      <c r="K113" s="47" t="n"/>
      <c r="L113" s="50" t="n"/>
      <c r="M113" s="49">
        <f>IF(B113="","",IF(L113="","قيد المراجعة",IF(L113="A","معتمد",IF(L113="B","معتمد بملاحظات",IF(L113="C","مرفوض – يعاد التقديم","مرفوض نهائياً")))))</f>
        <v/>
      </c>
      <c r="N113" s="48">
        <f>IF(J113="","",IF(K113="",TODAY(),K113)-J113)</f>
        <v/>
      </c>
      <c r="O113" s="49">
        <f>IF(B113="","",IF(AND(L113="",N(N113)&gt;S_SLA),"متأخر رد الاستشاري",""))</f>
        <v/>
      </c>
      <c r="P113" s="49">
        <f>IF(B113="","",IF(OR(L113="A",L113="B"),"نعم","لا"))</f>
        <v/>
      </c>
    </row>
    <row r="114">
      <c r="A114" s="39">
        <f>IF(B114="","","MAR-"&amp;TEXT(ROW()-4,"0000"))</f>
        <v/>
      </c>
      <c r="B114" s="50" t="n"/>
      <c r="C114" s="49">
        <f>IF(B114="","",IFERROR(INDEX('المشروعات'!$B$5:$B$304,MATCH(B114,'المشروعات'!$A$5:$A$304,0)),""))</f>
        <v/>
      </c>
      <c r="D114" s="40" t="n"/>
      <c r="E114" s="40" t="n"/>
      <c r="F114" s="40" t="n"/>
      <c r="G114" s="40" t="n"/>
      <c r="H114" s="40" t="n"/>
      <c r="I114" s="51" t="n"/>
      <c r="J114" s="47" t="n"/>
      <c r="K114" s="47" t="n"/>
      <c r="L114" s="50" t="n"/>
      <c r="M114" s="49">
        <f>IF(B114="","",IF(L114="","قيد المراجعة",IF(L114="A","معتمد",IF(L114="B","معتمد بملاحظات",IF(L114="C","مرفوض – يعاد التقديم","مرفوض نهائياً")))))</f>
        <v/>
      </c>
      <c r="N114" s="48">
        <f>IF(J114="","",IF(K114="",TODAY(),K114)-J114)</f>
        <v/>
      </c>
      <c r="O114" s="49">
        <f>IF(B114="","",IF(AND(L114="",N(N114)&gt;S_SLA),"متأخر رد الاستشاري",""))</f>
        <v/>
      </c>
      <c r="P114" s="49">
        <f>IF(B114="","",IF(OR(L114="A",L114="B"),"نعم","لا"))</f>
        <v/>
      </c>
    </row>
    <row r="115">
      <c r="A115" s="39">
        <f>IF(B115="","","MAR-"&amp;TEXT(ROW()-4,"0000"))</f>
        <v/>
      </c>
      <c r="B115" s="50" t="n"/>
      <c r="C115" s="49">
        <f>IF(B115="","",IFERROR(INDEX('المشروعات'!$B$5:$B$304,MATCH(B115,'المشروعات'!$A$5:$A$304,0)),""))</f>
        <v/>
      </c>
      <c r="D115" s="40" t="n"/>
      <c r="E115" s="40" t="n"/>
      <c r="F115" s="40" t="n"/>
      <c r="G115" s="40" t="n"/>
      <c r="H115" s="40" t="n"/>
      <c r="I115" s="51" t="n"/>
      <c r="J115" s="47" t="n"/>
      <c r="K115" s="47" t="n"/>
      <c r="L115" s="50" t="n"/>
      <c r="M115" s="49">
        <f>IF(B115="","",IF(L115="","قيد المراجعة",IF(L115="A","معتمد",IF(L115="B","معتمد بملاحظات",IF(L115="C","مرفوض – يعاد التقديم","مرفوض نهائياً")))))</f>
        <v/>
      </c>
      <c r="N115" s="48">
        <f>IF(J115="","",IF(K115="",TODAY(),K115)-J115)</f>
        <v/>
      </c>
      <c r="O115" s="49">
        <f>IF(B115="","",IF(AND(L115="",N(N115)&gt;S_SLA),"متأخر رد الاستشاري",""))</f>
        <v/>
      </c>
      <c r="P115" s="49">
        <f>IF(B115="","",IF(OR(L115="A",L115="B"),"نعم","لا"))</f>
        <v/>
      </c>
    </row>
    <row r="116">
      <c r="A116" s="39">
        <f>IF(B116="","","MAR-"&amp;TEXT(ROW()-4,"0000"))</f>
        <v/>
      </c>
      <c r="B116" s="50" t="n"/>
      <c r="C116" s="49">
        <f>IF(B116="","",IFERROR(INDEX('المشروعات'!$B$5:$B$304,MATCH(B116,'المشروعات'!$A$5:$A$304,0)),""))</f>
        <v/>
      </c>
      <c r="D116" s="40" t="n"/>
      <c r="E116" s="40" t="n"/>
      <c r="F116" s="40" t="n"/>
      <c r="G116" s="40" t="n"/>
      <c r="H116" s="40" t="n"/>
      <c r="I116" s="51" t="n"/>
      <c r="J116" s="47" t="n"/>
      <c r="K116" s="47" t="n"/>
      <c r="L116" s="50" t="n"/>
      <c r="M116" s="49">
        <f>IF(B116="","",IF(L116="","قيد المراجعة",IF(L116="A","معتمد",IF(L116="B","معتمد بملاحظات",IF(L116="C","مرفوض – يعاد التقديم","مرفوض نهائياً")))))</f>
        <v/>
      </c>
      <c r="N116" s="48">
        <f>IF(J116="","",IF(K116="",TODAY(),K116)-J116)</f>
        <v/>
      </c>
      <c r="O116" s="49">
        <f>IF(B116="","",IF(AND(L116="",N(N116)&gt;S_SLA),"متأخر رد الاستشاري",""))</f>
        <v/>
      </c>
      <c r="P116" s="49">
        <f>IF(B116="","",IF(OR(L116="A",L116="B"),"نعم","لا"))</f>
        <v/>
      </c>
    </row>
    <row r="117">
      <c r="A117" s="39">
        <f>IF(B117="","","MAR-"&amp;TEXT(ROW()-4,"0000"))</f>
        <v/>
      </c>
      <c r="B117" s="50" t="n"/>
      <c r="C117" s="49">
        <f>IF(B117="","",IFERROR(INDEX('المشروعات'!$B$5:$B$304,MATCH(B117,'المشروعات'!$A$5:$A$304,0)),""))</f>
        <v/>
      </c>
      <c r="D117" s="40" t="n"/>
      <c r="E117" s="40" t="n"/>
      <c r="F117" s="40" t="n"/>
      <c r="G117" s="40" t="n"/>
      <c r="H117" s="40" t="n"/>
      <c r="I117" s="51" t="n"/>
      <c r="J117" s="47" t="n"/>
      <c r="K117" s="47" t="n"/>
      <c r="L117" s="50" t="n"/>
      <c r="M117" s="49">
        <f>IF(B117="","",IF(L117="","قيد المراجعة",IF(L117="A","معتمد",IF(L117="B","معتمد بملاحظات",IF(L117="C","مرفوض – يعاد التقديم","مرفوض نهائياً")))))</f>
        <v/>
      </c>
      <c r="N117" s="48">
        <f>IF(J117="","",IF(K117="",TODAY(),K117)-J117)</f>
        <v/>
      </c>
      <c r="O117" s="49">
        <f>IF(B117="","",IF(AND(L117="",N(N117)&gt;S_SLA),"متأخر رد الاستشاري",""))</f>
        <v/>
      </c>
      <c r="P117" s="49">
        <f>IF(B117="","",IF(OR(L117="A",L117="B"),"نعم","لا"))</f>
        <v/>
      </c>
    </row>
    <row r="118">
      <c r="A118" s="39">
        <f>IF(B118="","","MAR-"&amp;TEXT(ROW()-4,"0000"))</f>
        <v/>
      </c>
      <c r="B118" s="50" t="n"/>
      <c r="C118" s="49">
        <f>IF(B118="","",IFERROR(INDEX('المشروعات'!$B$5:$B$304,MATCH(B118,'المشروعات'!$A$5:$A$304,0)),""))</f>
        <v/>
      </c>
      <c r="D118" s="40" t="n"/>
      <c r="E118" s="40" t="n"/>
      <c r="F118" s="40" t="n"/>
      <c r="G118" s="40" t="n"/>
      <c r="H118" s="40" t="n"/>
      <c r="I118" s="51" t="n"/>
      <c r="J118" s="47" t="n"/>
      <c r="K118" s="47" t="n"/>
      <c r="L118" s="50" t="n"/>
      <c r="M118" s="49">
        <f>IF(B118="","",IF(L118="","قيد المراجعة",IF(L118="A","معتمد",IF(L118="B","معتمد بملاحظات",IF(L118="C","مرفوض – يعاد التقديم","مرفوض نهائياً")))))</f>
        <v/>
      </c>
      <c r="N118" s="48">
        <f>IF(J118="","",IF(K118="",TODAY(),K118)-J118)</f>
        <v/>
      </c>
      <c r="O118" s="49">
        <f>IF(B118="","",IF(AND(L118="",N(N118)&gt;S_SLA),"متأخر رد الاستشاري",""))</f>
        <v/>
      </c>
      <c r="P118" s="49">
        <f>IF(B118="","",IF(OR(L118="A",L118="B"),"نعم","لا"))</f>
        <v/>
      </c>
    </row>
    <row r="119">
      <c r="A119" s="39">
        <f>IF(B119="","","MAR-"&amp;TEXT(ROW()-4,"0000"))</f>
        <v/>
      </c>
      <c r="B119" s="50" t="n"/>
      <c r="C119" s="49">
        <f>IF(B119="","",IFERROR(INDEX('المشروعات'!$B$5:$B$304,MATCH(B119,'المشروعات'!$A$5:$A$304,0)),""))</f>
        <v/>
      </c>
      <c r="D119" s="40" t="n"/>
      <c r="E119" s="40" t="n"/>
      <c r="F119" s="40" t="n"/>
      <c r="G119" s="40" t="n"/>
      <c r="H119" s="40" t="n"/>
      <c r="I119" s="51" t="n"/>
      <c r="J119" s="47" t="n"/>
      <c r="K119" s="47" t="n"/>
      <c r="L119" s="50" t="n"/>
      <c r="M119" s="49">
        <f>IF(B119="","",IF(L119="","قيد المراجعة",IF(L119="A","معتمد",IF(L119="B","معتمد بملاحظات",IF(L119="C","مرفوض – يعاد التقديم","مرفوض نهائياً")))))</f>
        <v/>
      </c>
      <c r="N119" s="48">
        <f>IF(J119="","",IF(K119="",TODAY(),K119)-J119)</f>
        <v/>
      </c>
      <c r="O119" s="49">
        <f>IF(B119="","",IF(AND(L119="",N(N119)&gt;S_SLA),"متأخر رد الاستشاري",""))</f>
        <v/>
      </c>
      <c r="P119" s="49">
        <f>IF(B119="","",IF(OR(L119="A",L119="B"),"نعم","لا"))</f>
        <v/>
      </c>
    </row>
    <row r="120">
      <c r="A120" s="39">
        <f>IF(B120="","","MAR-"&amp;TEXT(ROW()-4,"0000"))</f>
        <v/>
      </c>
      <c r="B120" s="50" t="n"/>
      <c r="C120" s="49">
        <f>IF(B120="","",IFERROR(INDEX('المشروعات'!$B$5:$B$304,MATCH(B120,'المشروعات'!$A$5:$A$304,0)),""))</f>
        <v/>
      </c>
      <c r="D120" s="40" t="n"/>
      <c r="E120" s="40" t="n"/>
      <c r="F120" s="40" t="n"/>
      <c r="G120" s="40" t="n"/>
      <c r="H120" s="40" t="n"/>
      <c r="I120" s="51" t="n"/>
      <c r="J120" s="47" t="n"/>
      <c r="K120" s="47" t="n"/>
      <c r="L120" s="50" t="n"/>
      <c r="M120" s="49">
        <f>IF(B120="","",IF(L120="","قيد المراجعة",IF(L120="A","معتمد",IF(L120="B","معتمد بملاحظات",IF(L120="C","مرفوض – يعاد التقديم","مرفوض نهائياً")))))</f>
        <v/>
      </c>
      <c r="N120" s="48">
        <f>IF(J120="","",IF(K120="",TODAY(),K120)-J120)</f>
        <v/>
      </c>
      <c r="O120" s="49">
        <f>IF(B120="","",IF(AND(L120="",N(N120)&gt;S_SLA),"متأخر رد الاستشاري",""))</f>
        <v/>
      </c>
      <c r="P120" s="49">
        <f>IF(B120="","",IF(OR(L120="A",L120="B"),"نعم","لا"))</f>
        <v/>
      </c>
    </row>
    <row r="121">
      <c r="A121" s="39">
        <f>IF(B121="","","MAR-"&amp;TEXT(ROW()-4,"0000"))</f>
        <v/>
      </c>
      <c r="B121" s="50" t="n"/>
      <c r="C121" s="49">
        <f>IF(B121="","",IFERROR(INDEX('المشروعات'!$B$5:$B$304,MATCH(B121,'المشروعات'!$A$5:$A$304,0)),""))</f>
        <v/>
      </c>
      <c r="D121" s="40" t="n"/>
      <c r="E121" s="40" t="n"/>
      <c r="F121" s="40" t="n"/>
      <c r="G121" s="40" t="n"/>
      <c r="H121" s="40" t="n"/>
      <c r="I121" s="51" t="n"/>
      <c r="J121" s="47" t="n"/>
      <c r="K121" s="47" t="n"/>
      <c r="L121" s="50" t="n"/>
      <c r="M121" s="49">
        <f>IF(B121="","",IF(L121="","قيد المراجعة",IF(L121="A","معتمد",IF(L121="B","معتمد بملاحظات",IF(L121="C","مرفوض – يعاد التقديم","مرفوض نهائياً")))))</f>
        <v/>
      </c>
      <c r="N121" s="48">
        <f>IF(J121="","",IF(K121="",TODAY(),K121)-J121)</f>
        <v/>
      </c>
      <c r="O121" s="49">
        <f>IF(B121="","",IF(AND(L121="",N(N121)&gt;S_SLA),"متأخر رد الاستشاري",""))</f>
        <v/>
      </c>
      <c r="P121" s="49">
        <f>IF(B121="","",IF(OR(L121="A",L121="B"),"نعم","لا"))</f>
        <v/>
      </c>
    </row>
    <row r="122">
      <c r="A122" s="39">
        <f>IF(B122="","","MAR-"&amp;TEXT(ROW()-4,"0000"))</f>
        <v/>
      </c>
      <c r="B122" s="50" t="n"/>
      <c r="C122" s="49">
        <f>IF(B122="","",IFERROR(INDEX('المشروعات'!$B$5:$B$304,MATCH(B122,'المشروعات'!$A$5:$A$304,0)),""))</f>
        <v/>
      </c>
      <c r="D122" s="40" t="n"/>
      <c r="E122" s="40" t="n"/>
      <c r="F122" s="40" t="n"/>
      <c r="G122" s="40" t="n"/>
      <c r="H122" s="40" t="n"/>
      <c r="I122" s="51" t="n"/>
      <c r="J122" s="47" t="n"/>
      <c r="K122" s="47" t="n"/>
      <c r="L122" s="50" t="n"/>
      <c r="M122" s="49">
        <f>IF(B122="","",IF(L122="","قيد المراجعة",IF(L122="A","معتمد",IF(L122="B","معتمد بملاحظات",IF(L122="C","مرفوض – يعاد التقديم","مرفوض نهائياً")))))</f>
        <v/>
      </c>
      <c r="N122" s="48">
        <f>IF(J122="","",IF(K122="",TODAY(),K122)-J122)</f>
        <v/>
      </c>
      <c r="O122" s="49">
        <f>IF(B122="","",IF(AND(L122="",N(N122)&gt;S_SLA),"متأخر رد الاستشاري",""))</f>
        <v/>
      </c>
      <c r="P122" s="49">
        <f>IF(B122="","",IF(OR(L122="A",L122="B"),"نعم","لا"))</f>
        <v/>
      </c>
    </row>
    <row r="123">
      <c r="A123" s="39">
        <f>IF(B123="","","MAR-"&amp;TEXT(ROW()-4,"0000"))</f>
        <v/>
      </c>
      <c r="B123" s="50" t="n"/>
      <c r="C123" s="49">
        <f>IF(B123="","",IFERROR(INDEX('المشروعات'!$B$5:$B$304,MATCH(B123,'المشروعات'!$A$5:$A$304,0)),""))</f>
        <v/>
      </c>
      <c r="D123" s="40" t="n"/>
      <c r="E123" s="40" t="n"/>
      <c r="F123" s="40" t="n"/>
      <c r="G123" s="40" t="n"/>
      <c r="H123" s="40" t="n"/>
      <c r="I123" s="51" t="n"/>
      <c r="J123" s="47" t="n"/>
      <c r="K123" s="47" t="n"/>
      <c r="L123" s="50" t="n"/>
      <c r="M123" s="49">
        <f>IF(B123="","",IF(L123="","قيد المراجعة",IF(L123="A","معتمد",IF(L123="B","معتمد بملاحظات",IF(L123="C","مرفوض – يعاد التقديم","مرفوض نهائياً")))))</f>
        <v/>
      </c>
      <c r="N123" s="48">
        <f>IF(J123="","",IF(K123="",TODAY(),K123)-J123)</f>
        <v/>
      </c>
      <c r="O123" s="49">
        <f>IF(B123="","",IF(AND(L123="",N(N123)&gt;S_SLA),"متأخر رد الاستشاري",""))</f>
        <v/>
      </c>
      <c r="P123" s="49">
        <f>IF(B123="","",IF(OR(L123="A",L123="B"),"نعم","لا"))</f>
        <v/>
      </c>
    </row>
    <row r="124">
      <c r="A124" s="39">
        <f>IF(B124="","","MAR-"&amp;TEXT(ROW()-4,"0000"))</f>
        <v/>
      </c>
      <c r="B124" s="50" t="n"/>
      <c r="C124" s="49">
        <f>IF(B124="","",IFERROR(INDEX('المشروعات'!$B$5:$B$304,MATCH(B124,'المشروعات'!$A$5:$A$304,0)),""))</f>
        <v/>
      </c>
      <c r="D124" s="40" t="n"/>
      <c r="E124" s="40" t="n"/>
      <c r="F124" s="40" t="n"/>
      <c r="G124" s="40" t="n"/>
      <c r="H124" s="40" t="n"/>
      <c r="I124" s="51" t="n"/>
      <c r="J124" s="47" t="n"/>
      <c r="K124" s="47" t="n"/>
      <c r="L124" s="50" t="n"/>
      <c r="M124" s="49">
        <f>IF(B124="","",IF(L124="","قيد المراجعة",IF(L124="A","معتمد",IF(L124="B","معتمد بملاحظات",IF(L124="C","مرفوض – يعاد التقديم","مرفوض نهائياً")))))</f>
        <v/>
      </c>
      <c r="N124" s="48">
        <f>IF(J124="","",IF(K124="",TODAY(),K124)-J124)</f>
        <v/>
      </c>
      <c r="O124" s="49">
        <f>IF(B124="","",IF(AND(L124="",N(N124)&gt;S_SLA),"متأخر رد الاستشاري",""))</f>
        <v/>
      </c>
      <c r="P124" s="49">
        <f>IF(B124="","",IF(OR(L124="A",L124="B"),"نعم","لا"))</f>
        <v/>
      </c>
    </row>
    <row r="125">
      <c r="A125" s="39">
        <f>IF(B125="","","MAR-"&amp;TEXT(ROW()-4,"0000"))</f>
        <v/>
      </c>
      <c r="B125" s="50" t="n"/>
      <c r="C125" s="49">
        <f>IF(B125="","",IFERROR(INDEX('المشروعات'!$B$5:$B$304,MATCH(B125,'المشروعات'!$A$5:$A$304,0)),""))</f>
        <v/>
      </c>
      <c r="D125" s="40" t="n"/>
      <c r="E125" s="40" t="n"/>
      <c r="F125" s="40" t="n"/>
      <c r="G125" s="40" t="n"/>
      <c r="H125" s="40" t="n"/>
      <c r="I125" s="51" t="n"/>
      <c r="J125" s="47" t="n"/>
      <c r="K125" s="47" t="n"/>
      <c r="L125" s="50" t="n"/>
      <c r="M125" s="49">
        <f>IF(B125="","",IF(L125="","قيد المراجعة",IF(L125="A","معتمد",IF(L125="B","معتمد بملاحظات",IF(L125="C","مرفوض – يعاد التقديم","مرفوض نهائياً")))))</f>
        <v/>
      </c>
      <c r="N125" s="48">
        <f>IF(J125="","",IF(K125="",TODAY(),K125)-J125)</f>
        <v/>
      </c>
      <c r="O125" s="49">
        <f>IF(B125="","",IF(AND(L125="",N(N125)&gt;S_SLA),"متأخر رد الاستشاري",""))</f>
        <v/>
      </c>
      <c r="P125" s="49">
        <f>IF(B125="","",IF(OR(L125="A",L125="B"),"نعم","لا"))</f>
        <v/>
      </c>
    </row>
    <row r="126">
      <c r="A126" s="39">
        <f>IF(B126="","","MAR-"&amp;TEXT(ROW()-4,"0000"))</f>
        <v/>
      </c>
      <c r="B126" s="50" t="n"/>
      <c r="C126" s="49">
        <f>IF(B126="","",IFERROR(INDEX('المشروعات'!$B$5:$B$304,MATCH(B126,'المشروعات'!$A$5:$A$304,0)),""))</f>
        <v/>
      </c>
      <c r="D126" s="40" t="n"/>
      <c r="E126" s="40" t="n"/>
      <c r="F126" s="40" t="n"/>
      <c r="G126" s="40" t="n"/>
      <c r="H126" s="40" t="n"/>
      <c r="I126" s="51" t="n"/>
      <c r="J126" s="47" t="n"/>
      <c r="K126" s="47" t="n"/>
      <c r="L126" s="50" t="n"/>
      <c r="M126" s="49">
        <f>IF(B126="","",IF(L126="","قيد المراجعة",IF(L126="A","معتمد",IF(L126="B","معتمد بملاحظات",IF(L126="C","مرفوض – يعاد التقديم","مرفوض نهائياً")))))</f>
        <v/>
      </c>
      <c r="N126" s="48">
        <f>IF(J126="","",IF(K126="",TODAY(),K126)-J126)</f>
        <v/>
      </c>
      <c r="O126" s="49">
        <f>IF(B126="","",IF(AND(L126="",N(N126)&gt;S_SLA),"متأخر رد الاستشاري",""))</f>
        <v/>
      </c>
      <c r="P126" s="49">
        <f>IF(B126="","",IF(OR(L126="A",L126="B"),"نعم","لا"))</f>
        <v/>
      </c>
    </row>
    <row r="127">
      <c r="A127" s="39">
        <f>IF(B127="","","MAR-"&amp;TEXT(ROW()-4,"0000"))</f>
        <v/>
      </c>
      <c r="B127" s="50" t="n"/>
      <c r="C127" s="49">
        <f>IF(B127="","",IFERROR(INDEX('المشروعات'!$B$5:$B$304,MATCH(B127,'المشروعات'!$A$5:$A$304,0)),""))</f>
        <v/>
      </c>
      <c r="D127" s="40" t="n"/>
      <c r="E127" s="40" t="n"/>
      <c r="F127" s="40" t="n"/>
      <c r="G127" s="40" t="n"/>
      <c r="H127" s="40" t="n"/>
      <c r="I127" s="51" t="n"/>
      <c r="J127" s="47" t="n"/>
      <c r="K127" s="47" t="n"/>
      <c r="L127" s="50" t="n"/>
      <c r="M127" s="49">
        <f>IF(B127="","",IF(L127="","قيد المراجعة",IF(L127="A","معتمد",IF(L127="B","معتمد بملاحظات",IF(L127="C","مرفوض – يعاد التقديم","مرفوض نهائياً")))))</f>
        <v/>
      </c>
      <c r="N127" s="48">
        <f>IF(J127="","",IF(K127="",TODAY(),K127)-J127)</f>
        <v/>
      </c>
      <c r="O127" s="49">
        <f>IF(B127="","",IF(AND(L127="",N(N127)&gt;S_SLA),"متأخر رد الاستشاري",""))</f>
        <v/>
      </c>
      <c r="P127" s="49">
        <f>IF(B127="","",IF(OR(L127="A",L127="B"),"نعم","لا"))</f>
        <v/>
      </c>
    </row>
    <row r="128">
      <c r="A128" s="39">
        <f>IF(B128="","","MAR-"&amp;TEXT(ROW()-4,"0000"))</f>
        <v/>
      </c>
      <c r="B128" s="50" t="n"/>
      <c r="C128" s="49">
        <f>IF(B128="","",IFERROR(INDEX('المشروعات'!$B$5:$B$304,MATCH(B128,'المشروعات'!$A$5:$A$304,0)),""))</f>
        <v/>
      </c>
      <c r="D128" s="40" t="n"/>
      <c r="E128" s="40" t="n"/>
      <c r="F128" s="40" t="n"/>
      <c r="G128" s="40" t="n"/>
      <c r="H128" s="40" t="n"/>
      <c r="I128" s="51" t="n"/>
      <c r="J128" s="47" t="n"/>
      <c r="K128" s="47" t="n"/>
      <c r="L128" s="50" t="n"/>
      <c r="M128" s="49">
        <f>IF(B128="","",IF(L128="","قيد المراجعة",IF(L128="A","معتمد",IF(L128="B","معتمد بملاحظات",IF(L128="C","مرفوض – يعاد التقديم","مرفوض نهائياً")))))</f>
        <v/>
      </c>
      <c r="N128" s="48">
        <f>IF(J128="","",IF(K128="",TODAY(),K128)-J128)</f>
        <v/>
      </c>
      <c r="O128" s="49">
        <f>IF(B128="","",IF(AND(L128="",N(N128)&gt;S_SLA),"متأخر رد الاستشاري",""))</f>
        <v/>
      </c>
      <c r="P128" s="49">
        <f>IF(B128="","",IF(OR(L128="A",L128="B"),"نعم","لا"))</f>
        <v/>
      </c>
    </row>
    <row r="129">
      <c r="A129" s="39">
        <f>IF(B129="","","MAR-"&amp;TEXT(ROW()-4,"0000"))</f>
        <v/>
      </c>
      <c r="B129" s="50" t="n"/>
      <c r="C129" s="49">
        <f>IF(B129="","",IFERROR(INDEX('المشروعات'!$B$5:$B$304,MATCH(B129,'المشروعات'!$A$5:$A$304,0)),""))</f>
        <v/>
      </c>
      <c r="D129" s="40" t="n"/>
      <c r="E129" s="40" t="n"/>
      <c r="F129" s="40" t="n"/>
      <c r="G129" s="40" t="n"/>
      <c r="H129" s="40" t="n"/>
      <c r="I129" s="51" t="n"/>
      <c r="J129" s="47" t="n"/>
      <c r="K129" s="47" t="n"/>
      <c r="L129" s="50" t="n"/>
      <c r="M129" s="49">
        <f>IF(B129="","",IF(L129="","قيد المراجعة",IF(L129="A","معتمد",IF(L129="B","معتمد بملاحظات",IF(L129="C","مرفوض – يعاد التقديم","مرفوض نهائياً")))))</f>
        <v/>
      </c>
      <c r="N129" s="48">
        <f>IF(J129="","",IF(K129="",TODAY(),K129)-J129)</f>
        <v/>
      </c>
      <c r="O129" s="49">
        <f>IF(B129="","",IF(AND(L129="",N(N129)&gt;S_SLA),"متأخر رد الاستشاري",""))</f>
        <v/>
      </c>
      <c r="P129" s="49">
        <f>IF(B129="","",IF(OR(L129="A",L129="B"),"نعم","لا"))</f>
        <v/>
      </c>
    </row>
    <row r="130">
      <c r="A130" s="39">
        <f>IF(B130="","","MAR-"&amp;TEXT(ROW()-4,"0000"))</f>
        <v/>
      </c>
      <c r="B130" s="50" t="n"/>
      <c r="C130" s="49">
        <f>IF(B130="","",IFERROR(INDEX('المشروعات'!$B$5:$B$304,MATCH(B130,'المشروعات'!$A$5:$A$304,0)),""))</f>
        <v/>
      </c>
      <c r="D130" s="40" t="n"/>
      <c r="E130" s="40" t="n"/>
      <c r="F130" s="40" t="n"/>
      <c r="G130" s="40" t="n"/>
      <c r="H130" s="40" t="n"/>
      <c r="I130" s="51" t="n"/>
      <c r="J130" s="47" t="n"/>
      <c r="K130" s="47" t="n"/>
      <c r="L130" s="50" t="n"/>
      <c r="M130" s="49">
        <f>IF(B130="","",IF(L130="","قيد المراجعة",IF(L130="A","معتمد",IF(L130="B","معتمد بملاحظات",IF(L130="C","مرفوض – يعاد التقديم","مرفوض نهائياً")))))</f>
        <v/>
      </c>
      <c r="N130" s="48">
        <f>IF(J130="","",IF(K130="",TODAY(),K130)-J130)</f>
        <v/>
      </c>
      <c r="O130" s="49">
        <f>IF(B130="","",IF(AND(L130="",N(N130)&gt;S_SLA),"متأخر رد الاستشاري",""))</f>
        <v/>
      </c>
      <c r="P130" s="49">
        <f>IF(B130="","",IF(OR(L130="A",L130="B"),"نعم","لا"))</f>
        <v/>
      </c>
    </row>
    <row r="131">
      <c r="A131" s="39">
        <f>IF(B131="","","MAR-"&amp;TEXT(ROW()-4,"0000"))</f>
        <v/>
      </c>
      <c r="B131" s="50" t="n"/>
      <c r="C131" s="49">
        <f>IF(B131="","",IFERROR(INDEX('المشروعات'!$B$5:$B$304,MATCH(B131,'المشروعات'!$A$5:$A$304,0)),""))</f>
        <v/>
      </c>
      <c r="D131" s="40" t="n"/>
      <c r="E131" s="40" t="n"/>
      <c r="F131" s="40" t="n"/>
      <c r="G131" s="40" t="n"/>
      <c r="H131" s="40" t="n"/>
      <c r="I131" s="51" t="n"/>
      <c r="J131" s="47" t="n"/>
      <c r="K131" s="47" t="n"/>
      <c r="L131" s="50" t="n"/>
      <c r="M131" s="49">
        <f>IF(B131="","",IF(L131="","قيد المراجعة",IF(L131="A","معتمد",IF(L131="B","معتمد بملاحظات",IF(L131="C","مرفوض – يعاد التقديم","مرفوض نهائياً")))))</f>
        <v/>
      </c>
      <c r="N131" s="48">
        <f>IF(J131="","",IF(K131="",TODAY(),K131)-J131)</f>
        <v/>
      </c>
      <c r="O131" s="49">
        <f>IF(B131="","",IF(AND(L131="",N(N131)&gt;S_SLA),"متأخر رد الاستشاري",""))</f>
        <v/>
      </c>
      <c r="P131" s="49">
        <f>IF(B131="","",IF(OR(L131="A",L131="B"),"نعم","لا"))</f>
        <v/>
      </c>
    </row>
    <row r="132">
      <c r="A132" s="39">
        <f>IF(B132="","","MAR-"&amp;TEXT(ROW()-4,"0000"))</f>
        <v/>
      </c>
      <c r="B132" s="50" t="n"/>
      <c r="C132" s="49">
        <f>IF(B132="","",IFERROR(INDEX('المشروعات'!$B$5:$B$304,MATCH(B132,'المشروعات'!$A$5:$A$304,0)),""))</f>
        <v/>
      </c>
      <c r="D132" s="40" t="n"/>
      <c r="E132" s="40" t="n"/>
      <c r="F132" s="40" t="n"/>
      <c r="G132" s="40" t="n"/>
      <c r="H132" s="40" t="n"/>
      <c r="I132" s="51" t="n"/>
      <c r="J132" s="47" t="n"/>
      <c r="K132" s="47" t="n"/>
      <c r="L132" s="50" t="n"/>
      <c r="M132" s="49">
        <f>IF(B132="","",IF(L132="","قيد المراجعة",IF(L132="A","معتمد",IF(L132="B","معتمد بملاحظات",IF(L132="C","مرفوض – يعاد التقديم","مرفوض نهائياً")))))</f>
        <v/>
      </c>
      <c r="N132" s="48">
        <f>IF(J132="","",IF(K132="",TODAY(),K132)-J132)</f>
        <v/>
      </c>
      <c r="O132" s="49">
        <f>IF(B132="","",IF(AND(L132="",N(N132)&gt;S_SLA),"متأخر رد الاستشاري",""))</f>
        <v/>
      </c>
      <c r="P132" s="49">
        <f>IF(B132="","",IF(OR(L132="A",L132="B"),"نعم","لا"))</f>
        <v/>
      </c>
    </row>
    <row r="133">
      <c r="A133" s="39">
        <f>IF(B133="","","MAR-"&amp;TEXT(ROW()-4,"0000"))</f>
        <v/>
      </c>
      <c r="B133" s="50" t="n"/>
      <c r="C133" s="49">
        <f>IF(B133="","",IFERROR(INDEX('المشروعات'!$B$5:$B$304,MATCH(B133,'المشروعات'!$A$5:$A$304,0)),""))</f>
        <v/>
      </c>
      <c r="D133" s="40" t="n"/>
      <c r="E133" s="40" t="n"/>
      <c r="F133" s="40" t="n"/>
      <c r="G133" s="40" t="n"/>
      <c r="H133" s="40" t="n"/>
      <c r="I133" s="51" t="n"/>
      <c r="J133" s="47" t="n"/>
      <c r="K133" s="47" t="n"/>
      <c r="L133" s="50" t="n"/>
      <c r="M133" s="49">
        <f>IF(B133="","",IF(L133="","قيد المراجعة",IF(L133="A","معتمد",IF(L133="B","معتمد بملاحظات",IF(L133="C","مرفوض – يعاد التقديم","مرفوض نهائياً")))))</f>
        <v/>
      </c>
      <c r="N133" s="48">
        <f>IF(J133="","",IF(K133="",TODAY(),K133)-J133)</f>
        <v/>
      </c>
      <c r="O133" s="49">
        <f>IF(B133="","",IF(AND(L133="",N(N133)&gt;S_SLA),"متأخر رد الاستشاري",""))</f>
        <v/>
      </c>
      <c r="P133" s="49">
        <f>IF(B133="","",IF(OR(L133="A",L133="B"),"نعم","لا"))</f>
        <v/>
      </c>
    </row>
    <row r="134">
      <c r="A134" s="39">
        <f>IF(B134="","","MAR-"&amp;TEXT(ROW()-4,"0000"))</f>
        <v/>
      </c>
      <c r="B134" s="50" t="n"/>
      <c r="C134" s="49">
        <f>IF(B134="","",IFERROR(INDEX('المشروعات'!$B$5:$B$304,MATCH(B134,'المشروعات'!$A$5:$A$304,0)),""))</f>
        <v/>
      </c>
      <c r="D134" s="40" t="n"/>
      <c r="E134" s="40" t="n"/>
      <c r="F134" s="40" t="n"/>
      <c r="G134" s="40" t="n"/>
      <c r="H134" s="40" t="n"/>
      <c r="I134" s="51" t="n"/>
      <c r="J134" s="47" t="n"/>
      <c r="K134" s="47" t="n"/>
      <c r="L134" s="50" t="n"/>
      <c r="M134" s="49">
        <f>IF(B134="","",IF(L134="","قيد المراجعة",IF(L134="A","معتمد",IF(L134="B","معتمد بملاحظات",IF(L134="C","مرفوض – يعاد التقديم","مرفوض نهائياً")))))</f>
        <v/>
      </c>
      <c r="N134" s="48">
        <f>IF(J134="","",IF(K134="",TODAY(),K134)-J134)</f>
        <v/>
      </c>
      <c r="O134" s="49">
        <f>IF(B134="","",IF(AND(L134="",N(N134)&gt;S_SLA),"متأخر رد الاستشاري",""))</f>
        <v/>
      </c>
      <c r="P134" s="49">
        <f>IF(B134="","",IF(OR(L134="A",L134="B"),"نعم","لا"))</f>
        <v/>
      </c>
    </row>
    <row r="135">
      <c r="A135" s="39">
        <f>IF(B135="","","MAR-"&amp;TEXT(ROW()-4,"0000"))</f>
        <v/>
      </c>
      <c r="B135" s="50" t="n"/>
      <c r="C135" s="49">
        <f>IF(B135="","",IFERROR(INDEX('المشروعات'!$B$5:$B$304,MATCH(B135,'المشروعات'!$A$5:$A$304,0)),""))</f>
        <v/>
      </c>
      <c r="D135" s="40" t="n"/>
      <c r="E135" s="40" t="n"/>
      <c r="F135" s="40" t="n"/>
      <c r="G135" s="40" t="n"/>
      <c r="H135" s="40" t="n"/>
      <c r="I135" s="51" t="n"/>
      <c r="J135" s="47" t="n"/>
      <c r="K135" s="47" t="n"/>
      <c r="L135" s="50" t="n"/>
      <c r="M135" s="49">
        <f>IF(B135="","",IF(L135="","قيد المراجعة",IF(L135="A","معتمد",IF(L135="B","معتمد بملاحظات",IF(L135="C","مرفوض – يعاد التقديم","مرفوض نهائياً")))))</f>
        <v/>
      </c>
      <c r="N135" s="48">
        <f>IF(J135="","",IF(K135="",TODAY(),K135)-J135)</f>
        <v/>
      </c>
      <c r="O135" s="49">
        <f>IF(B135="","",IF(AND(L135="",N(N135)&gt;S_SLA),"متأخر رد الاستشاري",""))</f>
        <v/>
      </c>
      <c r="P135" s="49">
        <f>IF(B135="","",IF(OR(L135="A",L135="B"),"نعم","لا"))</f>
        <v/>
      </c>
    </row>
    <row r="136">
      <c r="A136" s="39">
        <f>IF(B136="","","MAR-"&amp;TEXT(ROW()-4,"0000"))</f>
        <v/>
      </c>
      <c r="B136" s="50" t="n"/>
      <c r="C136" s="49">
        <f>IF(B136="","",IFERROR(INDEX('المشروعات'!$B$5:$B$304,MATCH(B136,'المشروعات'!$A$5:$A$304,0)),""))</f>
        <v/>
      </c>
      <c r="D136" s="40" t="n"/>
      <c r="E136" s="40" t="n"/>
      <c r="F136" s="40" t="n"/>
      <c r="G136" s="40" t="n"/>
      <c r="H136" s="40" t="n"/>
      <c r="I136" s="51" t="n"/>
      <c r="J136" s="47" t="n"/>
      <c r="K136" s="47" t="n"/>
      <c r="L136" s="50" t="n"/>
      <c r="M136" s="49">
        <f>IF(B136="","",IF(L136="","قيد المراجعة",IF(L136="A","معتمد",IF(L136="B","معتمد بملاحظات",IF(L136="C","مرفوض – يعاد التقديم","مرفوض نهائياً")))))</f>
        <v/>
      </c>
      <c r="N136" s="48">
        <f>IF(J136="","",IF(K136="",TODAY(),K136)-J136)</f>
        <v/>
      </c>
      <c r="O136" s="49">
        <f>IF(B136="","",IF(AND(L136="",N(N136)&gt;S_SLA),"متأخر رد الاستشاري",""))</f>
        <v/>
      </c>
      <c r="P136" s="49">
        <f>IF(B136="","",IF(OR(L136="A",L136="B"),"نعم","لا"))</f>
        <v/>
      </c>
    </row>
    <row r="137">
      <c r="A137" s="39">
        <f>IF(B137="","","MAR-"&amp;TEXT(ROW()-4,"0000"))</f>
        <v/>
      </c>
      <c r="B137" s="50" t="n"/>
      <c r="C137" s="49">
        <f>IF(B137="","",IFERROR(INDEX('المشروعات'!$B$5:$B$304,MATCH(B137,'المشروعات'!$A$5:$A$304,0)),""))</f>
        <v/>
      </c>
      <c r="D137" s="40" t="n"/>
      <c r="E137" s="40" t="n"/>
      <c r="F137" s="40" t="n"/>
      <c r="G137" s="40" t="n"/>
      <c r="H137" s="40" t="n"/>
      <c r="I137" s="51" t="n"/>
      <c r="J137" s="47" t="n"/>
      <c r="K137" s="47" t="n"/>
      <c r="L137" s="50" t="n"/>
      <c r="M137" s="49">
        <f>IF(B137="","",IF(L137="","قيد المراجعة",IF(L137="A","معتمد",IF(L137="B","معتمد بملاحظات",IF(L137="C","مرفوض – يعاد التقديم","مرفوض نهائياً")))))</f>
        <v/>
      </c>
      <c r="N137" s="48">
        <f>IF(J137="","",IF(K137="",TODAY(),K137)-J137)</f>
        <v/>
      </c>
      <c r="O137" s="49">
        <f>IF(B137="","",IF(AND(L137="",N(N137)&gt;S_SLA),"متأخر رد الاستشاري",""))</f>
        <v/>
      </c>
      <c r="P137" s="49">
        <f>IF(B137="","",IF(OR(L137="A",L137="B"),"نعم","لا"))</f>
        <v/>
      </c>
    </row>
    <row r="138">
      <c r="A138" s="39">
        <f>IF(B138="","","MAR-"&amp;TEXT(ROW()-4,"0000"))</f>
        <v/>
      </c>
      <c r="B138" s="50" t="n"/>
      <c r="C138" s="49">
        <f>IF(B138="","",IFERROR(INDEX('المشروعات'!$B$5:$B$304,MATCH(B138,'المشروعات'!$A$5:$A$304,0)),""))</f>
        <v/>
      </c>
      <c r="D138" s="40" t="n"/>
      <c r="E138" s="40" t="n"/>
      <c r="F138" s="40" t="n"/>
      <c r="G138" s="40" t="n"/>
      <c r="H138" s="40" t="n"/>
      <c r="I138" s="51" t="n"/>
      <c r="J138" s="47" t="n"/>
      <c r="K138" s="47" t="n"/>
      <c r="L138" s="50" t="n"/>
      <c r="M138" s="49">
        <f>IF(B138="","",IF(L138="","قيد المراجعة",IF(L138="A","معتمد",IF(L138="B","معتمد بملاحظات",IF(L138="C","مرفوض – يعاد التقديم","مرفوض نهائياً")))))</f>
        <v/>
      </c>
      <c r="N138" s="48">
        <f>IF(J138="","",IF(K138="",TODAY(),K138)-J138)</f>
        <v/>
      </c>
      <c r="O138" s="49">
        <f>IF(B138="","",IF(AND(L138="",N(N138)&gt;S_SLA),"متأخر رد الاستشاري",""))</f>
        <v/>
      </c>
      <c r="P138" s="49">
        <f>IF(B138="","",IF(OR(L138="A",L138="B"),"نعم","لا"))</f>
        <v/>
      </c>
    </row>
    <row r="139">
      <c r="A139" s="39">
        <f>IF(B139="","","MAR-"&amp;TEXT(ROW()-4,"0000"))</f>
        <v/>
      </c>
      <c r="B139" s="50" t="n"/>
      <c r="C139" s="49">
        <f>IF(B139="","",IFERROR(INDEX('المشروعات'!$B$5:$B$304,MATCH(B139,'المشروعات'!$A$5:$A$304,0)),""))</f>
        <v/>
      </c>
      <c r="D139" s="40" t="n"/>
      <c r="E139" s="40" t="n"/>
      <c r="F139" s="40" t="n"/>
      <c r="G139" s="40" t="n"/>
      <c r="H139" s="40" t="n"/>
      <c r="I139" s="51" t="n"/>
      <c r="J139" s="47" t="n"/>
      <c r="K139" s="47" t="n"/>
      <c r="L139" s="50" t="n"/>
      <c r="M139" s="49">
        <f>IF(B139="","",IF(L139="","قيد المراجعة",IF(L139="A","معتمد",IF(L139="B","معتمد بملاحظات",IF(L139="C","مرفوض – يعاد التقديم","مرفوض نهائياً")))))</f>
        <v/>
      </c>
      <c r="N139" s="48">
        <f>IF(J139="","",IF(K139="",TODAY(),K139)-J139)</f>
        <v/>
      </c>
      <c r="O139" s="49">
        <f>IF(B139="","",IF(AND(L139="",N(N139)&gt;S_SLA),"متأخر رد الاستشاري",""))</f>
        <v/>
      </c>
      <c r="P139" s="49">
        <f>IF(B139="","",IF(OR(L139="A",L139="B"),"نعم","لا"))</f>
        <v/>
      </c>
    </row>
    <row r="140">
      <c r="A140" s="39">
        <f>IF(B140="","","MAR-"&amp;TEXT(ROW()-4,"0000"))</f>
        <v/>
      </c>
      <c r="B140" s="50" t="n"/>
      <c r="C140" s="49">
        <f>IF(B140="","",IFERROR(INDEX('المشروعات'!$B$5:$B$304,MATCH(B140,'المشروعات'!$A$5:$A$304,0)),""))</f>
        <v/>
      </c>
      <c r="D140" s="40" t="n"/>
      <c r="E140" s="40" t="n"/>
      <c r="F140" s="40" t="n"/>
      <c r="G140" s="40" t="n"/>
      <c r="H140" s="40" t="n"/>
      <c r="I140" s="51" t="n"/>
      <c r="J140" s="47" t="n"/>
      <c r="K140" s="47" t="n"/>
      <c r="L140" s="50" t="n"/>
      <c r="M140" s="49">
        <f>IF(B140="","",IF(L140="","قيد المراجعة",IF(L140="A","معتمد",IF(L140="B","معتمد بملاحظات",IF(L140="C","مرفوض – يعاد التقديم","مرفوض نهائياً")))))</f>
        <v/>
      </c>
      <c r="N140" s="48">
        <f>IF(J140="","",IF(K140="",TODAY(),K140)-J140)</f>
        <v/>
      </c>
      <c r="O140" s="49">
        <f>IF(B140="","",IF(AND(L140="",N(N140)&gt;S_SLA),"متأخر رد الاستشاري",""))</f>
        <v/>
      </c>
      <c r="P140" s="49">
        <f>IF(B140="","",IF(OR(L140="A",L140="B"),"نعم","لا"))</f>
        <v/>
      </c>
    </row>
    <row r="141">
      <c r="A141" s="39">
        <f>IF(B141="","","MAR-"&amp;TEXT(ROW()-4,"0000"))</f>
        <v/>
      </c>
      <c r="B141" s="50" t="n"/>
      <c r="C141" s="49">
        <f>IF(B141="","",IFERROR(INDEX('المشروعات'!$B$5:$B$304,MATCH(B141,'المشروعات'!$A$5:$A$304,0)),""))</f>
        <v/>
      </c>
      <c r="D141" s="40" t="n"/>
      <c r="E141" s="40" t="n"/>
      <c r="F141" s="40" t="n"/>
      <c r="G141" s="40" t="n"/>
      <c r="H141" s="40" t="n"/>
      <c r="I141" s="51" t="n"/>
      <c r="J141" s="47" t="n"/>
      <c r="K141" s="47" t="n"/>
      <c r="L141" s="50" t="n"/>
      <c r="M141" s="49">
        <f>IF(B141="","",IF(L141="","قيد المراجعة",IF(L141="A","معتمد",IF(L141="B","معتمد بملاحظات",IF(L141="C","مرفوض – يعاد التقديم","مرفوض نهائياً")))))</f>
        <v/>
      </c>
      <c r="N141" s="48">
        <f>IF(J141="","",IF(K141="",TODAY(),K141)-J141)</f>
        <v/>
      </c>
      <c r="O141" s="49">
        <f>IF(B141="","",IF(AND(L141="",N(N141)&gt;S_SLA),"متأخر رد الاستشاري",""))</f>
        <v/>
      </c>
      <c r="P141" s="49">
        <f>IF(B141="","",IF(OR(L141="A",L141="B"),"نعم","لا"))</f>
        <v/>
      </c>
    </row>
    <row r="142">
      <c r="A142" s="39">
        <f>IF(B142="","","MAR-"&amp;TEXT(ROW()-4,"0000"))</f>
        <v/>
      </c>
      <c r="B142" s="50" t="n"/>
      <c r="C142" s="49">
        <f>IF(B142="","",IFERROR(INDEX('المشروعات'!$B$5:$B$304,MATCH(B142,'المشروعات'!$A$5:$A$304,0)),""))</f>
        <v/>
      </c>
      <c r="D142" s="40" t="n"/>
      <c r="E142" s="40" t="n"/>
      <c r="F142" s="40" t="n"/>
      <c r="G142" s="40" t="n"/>
      <c r="H142" s="40" t="n"/>
      <c r="I142" s="51" t="n"/>
      <c r="J142" s="47" t="n"/>
      <c r="K142" s="47" t="n"/>
      <c r="L142" s="50" t="n"/>
      <c r="M142" s="49">
        <f>IF(B142="","",IF(L142="","قيد المراجعة",IF(L142="A","معتمد",IF(L142="B","معتمد بملاحظات",IF(L142="C","مرفوض – يعاد التقديم","مرفوض نهائياً")))))</f>
        <v/>
      </c>
      <c r="N142" s="48">
        <f>IF(J142="","",IF(K142="",TODAY(),K142)-J142)</f>
        <v/>
      </c>
      <c r="O142" s="49">
        <f>IF(B142="","",IF(AND(L142="",N(N142)&gt;S_SLA),"متأخر رد الاستشاري",""))</f>
        <v/>
      </c>
      <c r="P142" s="49">
        <f>IF(B142="","",IF(OR(L142="A",L142="B"),"نعم","لا"))</f>
        <v/>
      </c>
    </row>
    <row r="143">
      <c r="A143" s="39">
        <f>IF(B143="","","MAR-"&amp;TEXT(ROW()-4,"0000"))</f>
        <v/>
      </c>
      <c r="B143" s="50" t="n"/>
      <c r="C143" s="49">
        <f>IF(B143="","",IFERROR(INDEX('المشروعات'!$B$5:$B$304,MATCH(B143,'المشروعات'!$A$5:$A$304,0)),""))</f>
        <v/>
      </c>
      <c r="D143" s="40" t="n"/>
      <c r="E143" s="40" t="n"/>
      <c r="F143" s="40" t="n"/>
      <c r="G143" s="40" t="n"/>
      <c r="H143" s="40" t="n"/>
      <c r="I143" s="51" t="n"/>
      <c r="J143" s="47" t="n"/>
      <c r="K143" s="47" t="n"/>
      <c r="L143" s="50" t="n"/>
      <c r="M143" s="49">
        <f>IF(B143="","",IF(L143="","قيد المراجعة",IF(L143="A","معتمد",IF(L143="B","معتمد بملاحظات",IF(L143="C","مرفوض – يعاد التقديم","مرفوض نهائياً")))))</f>
        <v/>
      </c>
      <c r="N143" s="48">
        <f>IF(J143="","",IF(K143="",TODAY(),K143)-J143)</f>
        <v/>
      </c>
      <c r="O143" s="49">
        <f>IF(B143="","",IF(AND(L143="",N(N143)&gt;S_SLA),"متأخر رد الاستشاري",""))</f>
        <v/>
      </c>
      <c r="P143" s="49">
        <f>IF(B143="","",IF(OR(L143="A",L143="B"),"نعم","لا"))</f>
        <v/>
      </c>
    </row>
    <row r="144">
      <c r="A144" s="39">
        <f>IF(B144="","","MAR-"&amp;TEXT(ROW()-4,"0000"))</f>
        <v/>
      </c>
      <c r="B144" s="50" t="n"/>
      <c r="C144" s="49">
        <f>IF(B144="","",IFERROR(INDEX('المشروعات'!$B$5:$B$304,MATCH(B144,'المشروعات'!$A$5:$A$304,0)),""))</f>
        <v/>
      </c>
      <c r="D144" s="40" t="n"/>
      <c r="E144" s="40" t="n"/>
      <c r="F144" s="40" t="n"/>
      <c r="G144" s="40" t="n"/>
      <c r="H144" s="40" t="n"/>
      <c r="I144" s="51" t="n"/>
      <c r="J144" s="47" t="n"/>
      <c r="K144" s="47" t="n"/>
      <c r="L144" s="50" t="n"/>
      <c r="M144" s="49">
        <f>IF(B144="","",IF(L144="","قيد المراجعة",IF(L144="A","معتمد",IF(L144="B","معتمد بملاحظات",IF(L144="C","مرفوض – يعاد التقديم","مرفوض نهائياً")))))</f>
        <v/>
      </c>
      <c r="N144" s="48">
        <f>IF(J144="","",IF(K144="",TODAY(),K144)-J144)</f>
        <v/>
      </c>
      <c r="O144" s="49">
        <f>IF(B144="","",IF(AND(L144="",N(N144)&gt;S_SLA),"متأخر رد الاستشاري",""))</f>
        <v/>
      </c>
      <c r="P144" s="49">
        <f>IF(B144="","",IF(OR(L144="A",L144="B"),"نعم","لا"))</f>
        <v/>
      </c>
    </row>
    <row r="145">
      <c r="A145" s="39">
        <f>IF(B145="","","MAR-"&amp;TEXT(ROW()-4,"0000"))</f>
        <v/>
      </c>
      <c r="B145" s="50" t="n"/>
      <c r="C145" s="49">
        <f>IF(B145="","",IFERROR(INDEX('المشروعات'!$B$5:$B$304,MATCH(B145,'المشروعات'!$A$5:$A$304,0)),""))</f>
        <v/>
      </c>
      <c r="D145" s="40" t="n"/>
      <c r="E145" s="40" t="n"/>
      <c r="F145" s="40" t="n"/>
      <c r="G145" s="40" t="n"/>
      <c r="H145" s="40" t="n"/>
      <c r="I145" s="51" t="n"/>
      <c r="J145" s="47" t="n"/>
      <c r="K145" s="47" t="n"/>
      <c r="L145" s="50" t="n"/>
      <c r="M145" s="49">
        <f>IF(B145="","",IF(L145="","قيد المراجعة",IF(L145="A","معتمد",IF(L145="B","معتمد بملاحظات",IF(L145="C","مرفوض – يعاد التقديم","مرفوض نهائياً")))))</f>
        <v/>
      </c>
      <c r="N145" s="48">
        <f>IF(J145="","",IF(K145="",TODAY(),K145)-J145)</f>
        <v/>
      </c>
      <c r="O145" s="49">
        <f>IF(B145="","",IF(AND(L145="",N(N145)&gt;S_SLA),"متأخر رد الاستشاري",""))</f>
        <v/>
      </c>
      <c r="P145" s="49">
        <f>IF(B145="","",IF(OR(L145="A",L145="B"),"نعم","لا"))</f>
        <v/>
      </c>
    </row>
    <row r="146">
      <c r="A146" s="39">
        <f>IF(B146="","","MAR-"&amp;TEXT(ROW()-4,"0000"))</f>
        <v/>
      </c>
      <c r="B146" s="50" t="n"/>
      <c r="C146" s="49">
        <f>IF(B146="","",IFERROR(INDEX('المشروعات'!$B$5:$B$304,MATCH(B146,'المشروعات'!$A$5:$A$304,0)),""))</f>
        <v/>
      </c>
      <c r="D146" s="40" t="n"/>
      <c r="E146" s="40" t="n"/>
      <c r="F146" s="40" t="n"/>
      <c r="G146" s="40" t="n"/>
      <c r="H146" s="40" t="n"/>
      <c r="I146" s="51" t="n"/>
      <c r="J146" s="47" t="n"/>
      <c r="K146" s="47" t="n"/>
      <c r="L146" s="50" t="n"/>
      <c r="M146" s="49">
        <f>IF(B146="","",IF(L146="","قيد المراجعة",IF(L146="A","معتمد",IF(L146="B","معتمد بملاحظات",IF(L146="C","مرفوض – يعاد التقديم","مرفوض نهائياً")))))</f>
        <v/>
      </c>
      <c r="N146" s="48">
        <f>IF(J146="","",IF(K146="",TODAY(),K146)-J146)</f>
        <v/>
      </c>
      <c r="O146" s="49">
        <f>IF(B146="","",IF(AND(L146="",N(N146)&gt;S_SLA),"متأخر رد الاستشاري",""))</f>
        <v/>
      </c>
      <c r="P146" s="49">
        <f>IF(B146="","",IF(OR(L146="A",L146="B"),"نعم","لا"))</f>
        <v/>
      </c>
    </row>
    <row r="147">
      <c r="A147" s="39">
        <f>IF(B147="","","MAR-"&amp;TEXT(ROW()-4,"0000"))</f>
        <v/>
      </c>
      <c r="B147" s="50" t="n"/>
      <c r="C147" s="49">
        <f>IF(B147="","",IFERROR(INDEX('المشروعات'!$B$5:$B$304,MATCH(B147,'المشروعات'!$A$5:$A$304,0)),""))</f>
        <v/>
      </c>
      <c r="D147" s="40" t="n"/>
      <c r="E147" s="40" t="n"/>
      <c r="F147" s="40" t="n"/>
      <c r="G147" s="40" t="n"/>
      <c r="H147" s="40" t="n"/>
      <c r="I147" s="51" t="n"/>
      <c r="J147" s="47" t="n"/>
      <c r="K147" s="47" t="n"/>
      <c r="L147" s="50" t="n"/>
      <c r="M147" s="49">
        <f>IF(B147="","",IF(L147="","قيد المراجعة",IF(L147="A","معتمد",IF(L147="B","معتمد بملاحظات",IF(L147="C","مرفوض – يعاد التقديم","مرفوض نهائياً")))))</f>
        <v/>
      </c>
      <c r="N147" s="48">
        <f>IF(J147="","",IF(K147="",TODAY(),K147)-J147)</f>
        <v/>
      </c>
      <c r="O147" s="49">
        <f>IF(B147="","",IF(AND(L147="",N(N147)&gt;S_SLA),"متأخر رد الاستشاري",""))</f>
        <v/>
      </c>
      <c r="P147" s="49">
        <f>IF(B147="","",IF(OR(L147="A",L147="B"),"نعم","لا"))</f>
        <v/>
      </c>
    </row>
    <row r="148">
      <c r="A148" s="39">
        <f>IF(B148="","","MAR-"&amp;TEXT(ROW()-4,"0000"))</f>
        <v/>
      </c>
      <c r="B148" s="50" t="n"/>
      <c r="C148" s="49">
        <f>IF(B148="","",IFERROR(INDEX('المشروعات'!$B$5:$B$304,MATCH(B148,'المشروعات'!$A$5:$A$304,0)),""))</f>
        <v/>
      </c>
      <c r="D148" s="40" t="n"/>
      <c r="E148" s="40" t="n"/>
      <c r="F148" s="40" t="n"/>
      <c r="G148" s="40" t="n"/>
      <c r="H148" s="40" t="n"/>
      <c r="I148" s="51" t="n"/>
      <c r="J148" s="47" t="n"/>
      <c r="K148" s="47" t="n"/>
      <c r="L148" s="50" t="n"/>
      <c r="M148" s="49">
        <f>IF(B148="","",IF(L148="","قيد المراجعة",IF(L148="A","معتمد",IF(L148="B","معتمد بملاحظات",IF(L148="C","مرفوض – يعاد التقديم","مرفوض نهائياً")))))</f>
        <v/>
      </c>
      <c r="N148" s="48">
        <f>IF(J148="","",IF(K148="",TODAY(),K148)-J148)</f>
        <v/>
      </c>
      <c r="O148" s="49">
        <f>IF(B148="","",IF(AND(L148="",N(N148)&gt;S_SLA),"متأخر رد الاستشاري",""))</f>
        <v/>
      </c>
      <c r="P148" s="49">
        <f>IF(B148="","",IF(OR(L148="A",L148="B"),"نعم","لا"))</f>
        <v/>
      </c>
    </row>
    <row r="149">
      <c r="A149" s="39">
        <f>IF(B149="","","MAR-"&amp;TEXT(ROW()-4,"0000"))</f>
        <v/>
      </c>
      <c r="B149" s="50" t="n"/>
      <c r="C149" s="49">
        <f>IF(B149="","",IFERROR(INDEX('المشروعات'!$B$5:$B$304,MATCH(B149,'المشروعات'!$A$5:$A$304,0)),""))</f>
        <v/>
      </c>
      <c r="D149" s="40" t="n"/>
      <c r="E149" s="40" t="n"/>
      <c r="F149" s="40" t="n"/>
      <c r="G149" s="40" t="n"/>
      <c r="H149" s="40" t="n"/>
      <c r="I149" s="51" t="n"/>
      <c r="J149" s="47" t="n"/>
      <c r="K149" s="47" t="n"/>
      <c r="L149" s="50" t="n"/>
      <c r="M149" s="49">
        <f>IF(B149="","",IF(L149="","قيد المراجعة",IF(L149="A","معتمد",IF(L149="B","معتمد بملاحظات",IF(L149="C","مرفوض – يعاد التقديم","مرفوض نهائياً")))))</f>
        <v/>
      </c>
      <c r="N149" s="48">
        <f>IF(J149="","",IF(K149="",TODAY(),K149)-J149)</f>
        <v/>
      </c>
      <c r="O149" s="49">
        <f>IF(B149="","",IF(AND(L149="",N(N149)&gt;S_SLA),"متأخر رد الاستشاري",""))</f>
        <v/>
      </c>
      <c r="P149" s="49">
        <f>IF(B149="","",IF(OR(L149="A",L149="B"),"نعم","لا"))</f>
        <v/>
      </c>
    </row>
    <row r="150">
      <c r="A150" s="39">
        <f>IF(B150="","","MAR-"&amp;TEXT(ROW()-4,"0000"))</f>
        <v/>
      </c>
      <c r="B150" s="50" t="n"/>
      <c r="C150" s="49">
        <f>IF(B150="","",IFERROR(INDEX('المشروعات'!$B$5:$B$304,MATCH(B150,'المشروعات'!$A$5:$A$304,0)),""))</f>
        <v/>
      </c>
      <c r="D150" s="40" t="n"/>
      <c r="E150" s="40" t="n"/>
      <c r="F150" s="40" t="n"/>
      <c r="G150" s="40" t="n"/>
      <c r="H150" s="40" t="n"/>
      <c r="I150" s="51" t="n"/>
      <c r="J150" s="47" t="n"/>
      <c r="K150" s="47" t="n"/>
      <c r="L150" s="50" t="n"/>
      <c r="M150" s="49">
        <f>IF(B150="","",IF(L150="","قيد المراجعة",IF(L150="A","معتمد",IF(L150="B","معتمد بملاحظات",IF(L150="C","مرفوض – يعاد التقديم","مرفوض نهائياً")))))</f>
        <v/>
      </c>
      <c r="N150" s="48">
        <f>IF(J150="","",IF(K150="",TODAY(),K150)-J150)</f>
        <v/>
      </c>
      <c r="O150" s="49">
        <f>IF(B150="","",IF(AND(L150="",N(N150)&gt;S_SLA),"متأخر رد الاستشاري",""))</f>
        <v/>
      </c>
      <c r="P150" s="49">
        <f>IF(B150="","",IF(OR(L150="A",L150="B"),"نعم","لا"))</f>
        <v/>
      </c>
    </row>
    <row r="151">
      <c r="A151" s="39">
        <f>IF(B151="","","MAR-"&amp;TEXT(ROW()-4,"0000"))</f>
        <v/>
      </c>
      <c r="B151" s="50" t="n"/>
      <c r="C151" s="49">
        <f>IF(B151="","",IFERROR(INDEX('المشروعات'!$B$5:$B$304,MATCH(B151,'المشروعات'!$A$5:$A$304,0)),""))</f>
        <v/>
      </c>
      <c r="D151" s="40" t="n"/>
      <c r="E151" s="40" t="n"/>
      <c r="F151" s="40" t="n"/>
      <c r="G151" s="40" t="n"/>
      <c r="H151" s="40" t="n"/>
      <c r="I151" s="51" t="n"/>
      <c r="J151" s="47" t="n"/>
      <c r="K151" s="47" t="n"/>
      <c r="L151" s="50" t="n"/>
      <c r="M151" s="49">
        <f>IF(B151="","",IF(L151="","قيد المراجعة",IF(L151="A","معتمد",IF(L151="B","معتمد بملاحظات",IF(L151="C","مرفوض – يعاد التقديم","مرفوض نهائياً")))))</f>
        <v/>
      </c>
      <c r="N151" s="48">
        <f>IF(J151="","",IF(K151="",TODAY(),K151)-J151)</f>
        <v/>
      </c>
      <c r="O151" s="49">
        <f>IF(B151="","",IF(AND(L151="",N(N151)&gt;S_SLA),"متأخر رد الاستشاري",""))</f>
        <v/>
      </c>
      <c r="P151" s="49">
        <f>IF(B151="","",IF(OR(L151="A",L151="B"),"نعم","لا"))</f>
        <v/>
      </c>
    </row>
    <row r="152">
      <c r="A152" s="39">
        <f>IF(B152="","","MAR-"&amp;TEXT(ROW()-4,"0000"))</f>
        <v/>
      </c>
      <c r="B152" s="50" t="n"/>
      <c r="C152" s="49">
        <f>IF(B152="","",IFERROR(INDEX('المشروعات'!$B$5:$B$304,MATCH(B152,'المشروعات'!$A$5:$A$304,0)),""))</f>
        <v/>
      </c>
      <c r="D152" s="40" t="n"/>
      <c r="E152" s="40" t="n"/>
      <c r="F152" s="40" t="n"/>
      <c r="G152" s="40" t="n"/>
      <c r="H152" s="40" t="n"/>
      <c r="I152" s="51" t="n"/>
      <c r="J152" s="47" t="n"/>
      <c r="K152" s="47" t="n"/>
      <c r="L152" s="50" t="n"/>
      <c r="M152" s="49">
        <f>IF(B152="","",IF(L152="","قيد المراجعة",IF(L152="A","معتمد",IF(L152="B","معتمد بملاحظات",IF(L152="C","مرفوض – يعاد التقديم","مرفوض نهائياً")))))</f>
        <v/>
      </c>
      <c r="N152" s="48">
        <f>IF(J152="","",IF(K152="",TODAY(),K152)-J152)</f>
        <v/>
      </c>
      <c r="O152" s="49">
        <f>IF(B152="","",IF(AND(L152="",N(N152)&gt;S_SLA),"متأخر رد الاستشاري",""))</f>
        <v/>
      </c>
      <c r="P152" s="49">
        <f>IF(B152="","",IF(OR(L152="A",L152="B"),"نعم","لا"))</f>
        <v/>
      </c>
    </row>
    <row r="153">
      <c r="A153" s="39">
        <f>IF(B153="","","MAR-"&amp;TEXT(ROW()-4,"0000"))</f>
        <v/>
      </c>
      <c r="B153" s="50" t="n"/>
      <c r="C153" s="49">
        <f>IF(B153="","",IFERROR(INDEX('المشروعات'!$B$5:$B$304,MATCH(B153,'المشروعات'!$A$5:$A$304,0)),""))</f>
        <v/>
      </c>
      <c r="D153" s="40" t="n"/>
      <c r="E153" s="40" t="n"/>
      <c r="F153" s="40" t="n"/>
      <c r="G153" s="40" t="n"/>
      <c r="H153" s="40" t="n"/>
      <c r="I153" s="51" t="n"/>
      <c r="J153" s="47" t="n"/>
      <c r="K153" s="47" t="n"/>
      <c r="L153" s="50" t="n"/>
      <c r="M153" s="49">
        <f>IF(B153="","",IF(L153="","قيد المراجعة",IF(L153="A","معتمد",IF(L153="B","معتمد بملاحظات",IF(L153="C","مرفوض – يعاد التقديم","مرفوض نهائياً")))))</f>
        <v/>
      </c>
      <c r="N153" s="48">
        <f>IF(J153="","",IF(K153="",TODAY(),K153)-J153)</f>
        <v/>
      </c>
      <c r="O153" s="49">
        <f>IF(B153="","",IF(AND(L153="",N(N153)&gt;S_SLA),"متأخر رد الاستشاري",""))</f>
        <v/>
      </c>
      <c r="P153" s="49">
        <f>IF(B153="","",IF(OR(L153="A",L153="B"),"نعم","لا"))</f>
        <v/>
      </c>
    </row>
    <row r="154">
      <c r="A154" s="39">
        <f>IF(B154="","","MAR-"&amp;TEXT(ROW()-4,"0000"))</f>
        <v/>
      </c>
      <c r="B154" s="50" t="n"/>
      <c r="C154" s="49">
        <f>IF(B154="","",IFERROR(INDEX('المشروعات'!$B$5:$B$304,MATCH(B154,'المشروعات'!$A$5:$A$304,0)),""))</f>
        <v/>
      </c>
      <c r="D154" s="40" t="n"/>
      <c r="E154" s="40" t="n"/>
      <c r="F154" s="40" t="n"/>
      <c r="G154" s="40" t="n"/>
      <c r="H154" s="40" t="n"/>
      <c r="I154" s="51" t="n"/>
      <c r="J154" s="47" t="n"/>
      <c r="K154" s="47" t="n"/>
      <c r="L154" s="50" t="n"/>
      <c r="M154" s="49">
        <f>IF(B154="","",IF(L154="","قيد المراجعة",IF(L154="A","معتمد",IF(L154="B","معتمد بملاحظات",IF(L154="C","مرفوض – يعاد التقديم","مرفوض نهائياً")))))</f>
        <v/>
      </c>
      <c r="N154" s="48">
        <f>IF(J154="","",IF(K154="",TODAY(),K154)-J154)</f>
        <v/>
      </c>
      <c r="O154" s="49">
        <f>IF(B154="","",IF(AND(L154="",N(N154)&gt;S_SLA),"متأخر رد الاستشاري",""))</f>
        <v/>
      </c>
      <c r="P154" s="49">
        <f>IF(B154="","",IF(OR(L154="A",L154="B"),"نعم","لا"))</f>
        <v/>
      </c>
    </row>
    <row r="155">
      <c r="A155" s="39">
        <f>IF(B155="","","MAR-"&amp;TEXT(ROW()-4,"0000"))</f>
        <v/>
      </c>
      <c r="B155" s="50" t="n"/>
      <c r="C155" s="49">
        <f>IF(B155="","",IFERROR(INDEX('المشروعات'!$B$5:$B$304,MATCH(B155,'المشروعات'!$A$5:$A$304,0)),""))</f>
        <v/>
      </c>
      <c r="D155" s="40" t="n"/>
      <c r="E155" s="40" t="n"/>
      <c r="F155" s="40" t="n"/>
      <c r="G155" s="40" t="n"/>
      <c r="H155" s="40" t="n"/>
      <c r="I155" s="51" t="n"/>
      <c r="J155" s="47" t="n"/>
      <c r="K155" s="47" t="n"/>
      <c r="L155" s="50" t="n"/>
      <c r="M155" s="49">
        <f>IF(B155="","",IF(L155="","قيد المراجعة",IF(L155="A","معتمد",IF(L155="B","معتمد بملاحظات",IF(L155="C","مرفوض – يعاد التقديم","مرفوض نهائياً")))))</f>
        <v/>
      </c>
      <c r="N155" s="48">
        <f>IF(J155="","",IF(K155="",TODAY(),K155)-J155)</f>
        <v/>
      </c>
      <c r="O155" s="49">
        <f>IF(B155="","",IF(AND(L155="",N(N155)&gt;S_SLA),"متأخر رد الاستشاري",""))</f>
        <v/>
      </c>
      <c r="P155" s="49">
        <f>IF(B155="","",IF(OR(L155="A",L155="B"),"نعم","لا"))</f>
        <v/>
      </c>
    </row>
    <row r="156">
      <c r="A156" s="39">
        <f>IF(B156="","","MAR-"&amp;TEXT(ROW()-4,"0000"))</f>
        <v/>
      </c>
      <c r="B156" s="50" t="n"/>
      <c r="C156" s="49">
        <f>IF(B156="","",IFERROR(INDEX('المشروعات'!$B$5:$B$304,MATCH(B156,'المشروعات'!$A$5:$A$304,0)),""))</f>
        <v/>
      </c>
      <c r="D156" s="40" t="n"/>
      <c r="E156" s="40" t="n"/>
      <c r="F156" s="40" t="n"/>
      <c r="G156" s="40" t="n"/>
      <c r="H156" s="40" t="n"/>
      <c r="I156" s="51" t="n"/>
      <c r="J156" s="47" t="n"/>
      <c r="K156" s="47" t="n"/>
      <c r="L156" s="50" t="n"/>
      <c r="M156" s="49">
        <f>IF(B156="","",IF(L156="","قيد المراجعة",IF(L156="A","معتمد",IF(L156="B","معتمد بملاحظات",IF(L156="C","مرفوض – يعاد التقديم","مرفوض نهائياً")))))</f>
        <v/>
      </c>
      <c r="N156" s="48">
        <f>IF(J156="","",IF(K156="",TODAY(),K156)-J156)</f>
        <v/>
      </c>
      <c r="O156" s="49">
        <f>IF(B156="","",IF(AND(L156="",N(N156)&gt;S_SLA),"متأخر رد الاستشاري",""))</f>
        <v/>
      </c>
      <c r="P156" s="49">
        <f>IF(B156="","",IF(OR(L156="A",L156="B"),"نعم","لا"))</f>
        <v/>
      </c>
    </row>
    <row r="157">
      <c r="A157" s="39">
        <f>IF(B157="","","MAR-"&amp;TEXT(ROW()-4,"0000"))</f>
        <v/>
      </c>
      <c r="B157" s="50" t="n"/>
      <c r="C157" s="49">
        <f>IF(B157="","",IFERROR(INDEX('المشروعات'!$B$5:$B$304,MATCH(B157,'المشروعات'!$A$5:$A$304,0)),""))</f>
        <v/>
      </c>
      <c r="D157" s="40" t="n"/>
      <c r="E157" s="40" t="n"/>
      <c r="F157" s="40" t="n"/>
      <c r="G157" s="40" t="n"/>
      <c r="H157" s="40" t="n"/>
      <c r="I157" s="51" t="n"/>
      <c r="J157" s="47" t="n"/>
      <c r="K157" s="47" t="n"/>
      <c r="L157" s="50" t="n"/>
      <c r="M157" s="49">
        <f>IF(B157="","",IF(L157="","قيد المراجعة",IF(L157="A","معتمد",IF(L157="B","معتمد بملاحظات",IF(L157="C","مرفوض – يعاد التقديم","مرفوض نهائياً")))))</f>
        <v/>
      </c>
      <c r="N157" s="48">
        <f>IF(J157="","",IF(K157="",TODAY(),K157)-J157)</f>
        <v/>
      </c>
      <c r="O157" s="49">
        <f>IF(B157="","",IF(AND(L157="",N(N157)&gt;S_SLA),"متأخر رد الاستشاري",""))</f>
        <v/>
      </c>
      <c r="P157" s="49">
        <f>IF(B157="","",IF(OR(L157="A",L157="B"),"نعم","لا"))</f>
        <v/>
      </c>
    </row>
    <row r="158">
      <c r="A158" s="39">
        <f>IF(B158="","","MAR-"&amp;TEXT(ROW()-4,"0000"))</f>
        <v/>
      </c>
      <c r="B158" s="50" t="n"/>
      <c r="C158" s="49">
        <f>IF(B158="","",IFERROR(INDEX('المشروعات'!$B$5:$B$304,MATCH(B158,'المشروعات'!$A$5:$A$304,0)),""))</f>
        <v/>
      </c>
      <c r="D158" s="40" t="n"/>
      <c r="E158" s="40" t="n"/>
      <c r="F158" s="40" t="n"/>
      <c r="G158" s="40" t="n"/>
      <c r="H158" s="40" t="n"/>
      <c r="I158" s="51" t="n"/>
      <c r="J158" s="47" t="n"/>
      <c r="K158" s="47" t="n"/>
      <c r="L158" s="50" t="n"/>
      <c r="M158" s="49">
        <f>IF(B158="","",IF(L158="","قيد المراجعة",IF(L158="A","معتمد",IF(L158="B","معتمد بملاحظات",IF(L158="C","مرفوض – يعاد التقديم","مرفوض نهائياً")))))</f>
        <v/>
      </c>
      <c r="N158" s="48">
        <f>IF(J158="","",IF(K158="",TODAY(),K158)-J158)</f>
        <v/>
      </c>
      <c r="O158" s="49">
        <f>IF(B158="","",IF(AND(L158="",N(N158)&gt;S_SLA),"متأخر رد الاستشاري",""))</f>
        <v/>
      </c>
      <c r="P158" s="49">
        <f>IF(B158="","",IF(OR(L158="A",L158="B"),"نعم","لا"))</f>
        <v/>
      </c>
    </row>
    <row r="159">
      <c r="A159" s="39">
        <f>IF(B159="","","MAR-"&amp;TEXT(ROW()-4,"0000"))</f>
        <v/>
      </c>
      <c r="B159" s="50" t="n"/>
      <c r="C159" s="49">
        <f>IF(B159="","",IFERROR(INDEX('المشروعات'!$B$5:$B$304,MATCH(B159,'المشروعات'!$A$5:$A$304,0)),""))</f>
        <v/>
      </c>
      <c r="D159" s="40" t="n"/>
      <c r="E159" s="40" t="n"/>
      <c r="F159" s="40" t="n"/>
      <c r="G159" s="40" t="n"/>
      <c r="H159" s="40" t="n"/>
      <c r="I159" s="51" t="n"/>
      <c r="J159" s="47" t="n"/>
      <c r="K159" s="47" t="n"/>
      <c r="L159" s="50" t="n"/>
      <c r="M159" s="49">
        <f>IF(B159="","",IF(L159="","قيد المراجعة",IF(L159="A","معتمد",IF(L159="B","معتمد بملاحظات",IF(L159="C","مرفوض – يعاد التقديم","مرفوض نهائياً")))))</f>
        <v/>
      </c>
      <c r="N159" s="48">
        <f>IF(J159="","",IF(K159="",TODAY(),K159)-J159)</f>
        <v/>
      </c>
      <c r="O159" s="49">
        <f>IF(B159="","",IF(AND(L159="",N(N159)&gt;S_SLA),"متأخر رد الاستشاري",""))</f>
        <v/>
      </c>
      <c r="P159" s="49">
        <f>IF(B159="","",IF(OR(L159="A",L159="B"),"نعم","لا"))</f>
        <v/>
      </c>
    </row>
    <row r="160">
      <c r="A160" s="39">
        <f>IF(B160="","","MAR-"&amp;TEXT(ROW()-4,"0000"))</f>
        <v/>
      </c>
      <c r="B160" s="50" t="n"/>
      <c r="C160" s="49">
        <f>IF(B160="","",IFERROR(INDEX('المشروعات'!$B$5:$B$304,MATCH(B160,'المشروعات'!$A$5:$A$304,0)),""))</f>
        <v/>
      </c>
      <c r="D160" s="40" t="n"/>
      <c r="E160" s="40" t="n"/>
      <c r="F160" s="40" t="n"/>
      <c r="G160" s="40" t="n"/>
      <c r="H160" s="40" t="n"/>
      <c r="I160" s="51" t="n"/>
      <c r="J160" s="47" t="n"/>
      <c r="K160" s="47" t="n"/>
      <c r="L160" s="50" t="n"/>
      <c r="M160" s="49">
        <f>IF(B160="","",IF(L160="","قيد المراجعة",IF(L160="A","معتمد",IF(L160="B","معتمد بملاحظات",IF(L160="C","مرفوض – يعاد التقديم","مرفوض نهائياً")))))</f>
        <v/>
      </c>
      <c r="N160" s="48">
        <f>IF(J160="","",IF(K160="",TODAY(),K160)-J160)</f>
        <v/>
      </c>
      <c r="O160" s="49">
        <f>IF(B160="","",IF(AND(L160="",N(N160)&gt;S_SLA),"متأخر رد الاستشاري",""))</f>
        <v/>
      </c>
      <c r="P160" s="49">
        <f>IF(B160="","",IF(OR(L160="A",L160="B"),"نعم","لا"))</f>
        <v/>
      </c>
    </row>
    <row r="161">
      <c r="A161" s="39">
        <f>IF(B161="","","MAR-"&amp;TEXT(ROW()-4,"0000"))</f>
        <v/>
      </c>
      <c r="B161" s="50" t="n"/>
      <c r="C161" s="49">
        <f>IF(B161="","",IFERROR(INDEX('المشروعات'!$B$5:$B$304,MATCH(B161,'المشروعات'!$A$5:$A$304,0)),""))</f>
        <v/>
      </c>
      <c r="D161" s="40" t="n"/>
      <c r="E161" s="40" t="n"/>
      <c r="F161" s="40" t="n"/>
      <c r="G161" s="40" t="n"/>
      <c r="H161" s="40" t="n"/>
      <c r="I161" s="51" t="n"/>
      <c r="J161" s="47" t="n"/>
      <c r="K161" s="47" t="n"/>
      <c r="L161" s="50" t="n"/>
      <c r="M161" s="49">
        <f>IF(B161="","",IF(L161="","قيد المراجعة",IF(L161="A","معتمد",IF(L161="B","معتمد بملاحظات",IF(L161="C","مرفوض – يعاد التقديم","مرفوض نهائياً")))))</f>
        <v/>
      </c>
      <c r="N161" s="48">
        <f>IF(J161="","",IF(K161="",TODAY(),K161)-J161)</f>
        <v/>
      </c>
      <c r="O161" s="49">
        <f>IF(B161="","",IF(AND(L161="",N(N161)&gt;S_SLA),"متأخر رد الاستشاري",""))</f>
        <v/>
      </c>
      <c r="P161" s="49">
        <f>IF(B161="","",IF(OR(L161="A",L161="B"),"نعم","لا"))</f>
        <v/>
      </c>
    </row>
    <row r="162">
      <c r="A162" s="39">
        <f>IF(B162="","","MAR-"&amp;TEXT(ROW()-4,"0000"))</f>
        <v/>
      </c>
      <c r="B162" s="50" t="n"/>
      <c r="C162" s="49">
        <f>IF(B162="","",IFERROR(INDEX('المشروعات'!$B$5:$B$304,MATCH(B162,'المشروعات'!$A$5:$A$304,0)),""))</f>
        <v/>
      </c>
      <c r="D162" s="40" t="n"/>
      <c r="E162" s="40" t="n"/>
      <c r="F162" s="40" t="n"/>
      <c r="G162" s="40" t="n"/>
      <c r="H162" s="40" t="n"/>
      <c r="I162" s="51" t="n"/>
      <c r="J162" s="47" t="n"/>
      <c r="K162" s="47" t="n"/>
      <c r="L162" s="50" t="n"/>
      <c r="M162" s="49">
        <f>IF(B162="","",IF(L162="","قيد المراجعة",IF(L162="A","معتمد",IF(L162="B","معتمد بملاحظات",IF(L162="C","مرفوض – يعاد التقديم","مرفوض نهائياً")))))</f>
        <v/>
      </c>
      <c r="N162" s="48">
        <f>IF(J162="","",IF(K162="",TODAY(),K162)-J162)</f>
        <v/>
      </c>
      <c r="O162" s="49">
        <f>IF(B162="","",IF(AND(L162="",N(N162)&gt;S_SLA),"متأخر رد الاستشاري",""))</f>
        <v/>
      </c>
      <c r="P162" s="49">
        <f>IF(B162="","",IF(OR(L162="A",L162="B"),"نعم","لا"))</f>
        <v/>
      </c>
    </row>
    <row r="163">
      <c r="A163" s="39">
        <f>IF(B163="","","MAR-"&amp;TEXT(ROW()-4,"0000"))</f>
        <v/>
      </c>
      <c r="B163" s="50" t="n"/>
      <c r="C163" s="49">
        <f>IF(B163="","",IFERROR(INDEX('المشروعات'!$B$5:$B$304,MATCH(B163,'المشروعات'!$A$5:$A$304,0)),""))</f>
        <v/>
      </c>
      <c r="D163" s="40" t="n"/>
      <c r="E163" s="40" t="n"/>
      <c r="F163" s="40" t="n"/>
      <c r="G163" s="40" t="n"/>
      <c r="H163" s="40" t="n"/>
      <c r="I163" s="51" t="n"/>
      <c r="J163" s="47" t="n"/>
      <c r="K163" s="47" t="n"/>
      <c r="L163" s="50" t="n"/>
      <c r="M163" s="49">
        <f>IF(B163="","",IF(L163="","قيد المراجعة",IF(L163="A","معتمد",IF(L163="B","معتمد بملاحظات",IF(L163="C","مرفوض – يعاد التقديم","مرفوض نهائياً")))))</f>
        <v/>
      </c>
      <c r="N163" s="48">
        <f>IF(J163="","",IF(K163="",TODAY(),K163)-J163)</f>
        <v/>
      </c>
      <c r="O163" s="49">
        <f>IF(B163="","",IF(AND(L163="",N(N163)&gt;S_SLA),"متأخر رد الاستشاري",""))</f>
        <v/>
      </c>
      <c r="P163" s="49">
        <f>IF(B163="","",IF(OR(L163="A",L163="B"),"نعم","لا"))</f>
        <v/>
      </c>
    </row>
    <row r="164">
      <c r="A164" s="39">
        <f>IF(B164="","","MAR-"&amp;TEXT(ROW()-4,"0000"))</f>
        <v/>
      </c>
      <c r="B164" s="50" t="n"/>
      <c r="C164" s="49">
        <f>IF(B164="","",IFERROR(INDEX('المشروعات'!$B$5:$B$304,MATCH(B164,'المشروعات'!$A$5:$A$304,0)),""))</f>
        <v/>
      </c>
      <c r="D164" s="40" t="n"/>
      <c r="E164" s="40" t="n"/>
      <c r="F164" s="40" t="n"/>
      <c r="G164" s="40" t="n"/>
      <c r="H164" s="40" t="n"/>
      <c r="I164" s="51" t="n"/>
      <c r="J164" s="47" t="n"/>
      <c r="K164" s="47" t="n"/>
      <c r="L164" s="50" t="n"/>
      <c r="M164" s="49">
        <f>IF(B164="","",IF(L164="","قيد المراجعة",IF(L164="A","معتمد",IF(L164="B","معتمد بملاحظات",IF(L164="C","مرفوض – يعاد التقديم","مرفوض نهائياً")))))</f>
        <v/>
      </c>
      <c r="N164" s="48">
        <f>IF(J164="","",IF(K164="",TODAY(),K164)-J164)</f>
        <v/>
      </c>
      <c r="O164" s="49">
        <f>IF(B164="","",IF(AND(L164="",N(N164)&gt;S_SLA),"متأخر رد الاستشاري",""))</f>
        <v/>
      </c>
      <c r="P164" s="49">
        <f>IF(B164="","",IF(OR(L164="A",L164="B"),"نعم","لا"))</f>
        <v/>
      </c>
    </row>
    <row r="165">
      <c r="A165" s="39">
        <f>IF(B165="","","MAR-"&amp;TEXT(ROW()-4,"0000"))</f>
        <v/>
      </c>
      <c r="B165" s="50" t="n"/>
      <c r="C165" s="49">
        <f>IF(B165="","",IFERROR(INDEX('المشروعات'!$B$5:$B$304,MATCH(B165,'المشروعات'!$A$5:$A$304,0)),""))</f>
        <v/>
      </c>
      <c r="D165" s="40" t="n"/>
      <c r="E165" s="40" t="n"/>
      <c r="F165" s="40" t="n"/>
      <c r="G165" s="40" t="n"/>
      <c r="H165" s="40" t="n"/>
      <c r="I165" s="51" t="n"/>
      <c r="J165" s="47" t="n"/>
      <c r="K165" s="47" t="n"/>
      <c r="L165" s="50" t="n"/>
      <c r="M165" s="49">
        <f>IF(B165="","",IF(L165="","قيد المراجعة",IF(L165="A","معتمد",IF(L165="B","معتمد بملاحظات",IF(L165="C","مرفوض – يعاد التقديم","مرفوض نهائياً")))))</f>
        <v/>
      </c>
      <c r="N165" s="48">
        <f>IF(J165="","",IF(K165="",TODAY(),K165)-J165)</f>
        <v/>
      </c>
      <c r="O165" s="49">
        <f>IF(B165="","",IF(AND(L165="",N(N165)&gt;S_SLA),"متأخر رد الاستشاري",""))</f>
        <v/>
      </c>
      <c r="P165" s="49">
        <f>IF(B165="","",IF(OR(L165="A",L165="B"),"نعم","لا"))</f>
        <v/>
      </c>
    </row>
    <row r="166">
      <c r="A166" s="39">
        <f>IF(B166="","","MAR-"&amp;TEXT(ROW()-4,"0000"))</f>
        <v/>
      </c>
      <c r="B166" s="50" t="n"/>
      <c r="C166" s="49">
        <f>IF(B166="","",IFERROR(INDEX('المشروعات'!$B$5:$B$304,MATCH(B166,'المشروعات'!$A$5:$A$304,0)),""))</f>
        <v/>
      </c>
      <c r="D166" s="40" t="n"/>
      <c r="E166" s="40" t="n"/>
      <c r="F166" s="40" t="n"/>
      <c r="G166" s="40" t="n"/>
      <c r="H166" s="40" t="n"/>
      <c r="I166" s="51" t="n"/>
      <c r="J166" s="47" t="n"/>
      <c r="K166" s="47" t="n"/>
      <c r="L166" s="50" t="n"/>
      <c r="M166" s="49">
        <f>IF(B166="","",IF(L166="","قيد المراجعة",IF(L166="A","معتمد",IF(L166="B","معتمد بملاحظات",IF(L166="C","مرفوض – يعاد التقديم","مرفوض نهائياً")))))</f>
        <v/>
      </c>
      <c r="N166" s="48">
        <f>IF(J166="","",IF(K166="",TODAY(),K166)-J166)</f>
        <v/>
      </c>
      <c r="O166" s="49">
        <f>IF(B166="","",IF(AND(L166="",N(N166)&gt;S_SLA),"متأخر رد الاستشاري",""))</f>
        <v/>
      </c>
      <c r="P166" s="49">
        <f>IF(B166="","",IF(OR(L166="A",L166="B"),"نعم","لا"))</f>
        <v/>
      </c>
    </row>
    <row r="167">
      <c r="A167" s="39">
        <f>IF(B167="","","MAR-"&amp;TEXT(ROW()-4,"0000"))</f>
        <v/>
      </c>
      <c r="B167" s="50" t="n"/>
      <c r="C167" s="49">
        <f>IF(B167="","",IFERROR(INDEX('المشروعات'!$B$5:$B$304,MATCH(B167,'المشروعات'!$A$5:$A$304,0)),""))</f>
        <v/>
      </c>
      <c r="D167" s="40" t="n"/>
      <c r="E167" s="40" t="n"/>
      <c r="F167" s="40" t="n"/>
      <c r="G167" s="40" t="n"/>
      <c r="H167" s="40" t="n"/>
      <c r="I167" s="51" t="n"/>
      <c r="J167" s="47" t="n"/>
      <c r="K167" s="47" t="n"/>
      <c r="L167" s="50" t="n"/>
      <c r="M167" s="49">
        <f>IF(B167="","",IF(L167="","قيد المراجعة",IF(L167="A","معتمد",IF(L167="B","معتمد بملاحظات",IF(L167="C","مرفوض – يعاد التقديم","مرفوض نهائياً")))))</f>
        <v/>
      </c>
      <c r="N167" s="48">
        <f>IF(J167="","",IF(K167="",TODAY(),K167)-J167)</f>
        <v/>
      </c>
      <c r="O167" s="49">
        <f>IF(B167="","",IF(AND(L167="",N(N167)&gt;S_SLA),"متأخر رد الاستشاري",""))</f>
        <v/>
      </c>
      <c r="P167" s="49">
        <f>IF(B167="","",IF(OR(L167="A",L167="B"),"نعم","لا"))</f>
        <v/>
      </c>
    </row>
    <row r="168">
      <c r="A168" s="39">
        <f>IF(B168="","","MAR-"&amp;TEXT(ROW()-4,"0000"))</f>
        <v/>
      </c>
      <c r="B168" s="50" t="n"/>
      <c r="C168" s="49">
        <f>IF(B168="","",IFERROR(INDEX('المشروعات'!$B$5:$B$304,MATCH(B168,'المشروعات'!$A$5:$A$304,0)),""))</f>
        <v/>
      </c>
      <c r="D168" s="40" t="n"/>
      <c r="E168" s="40" t="n"/>
      <c r="F168" s="40" t="n"/>
      <c r="G168" s="40" t="n"/>
      <c r="H168" s="40" t="n"/>
      <c r="I168" s="51" t="n"/>
      <c r="J168" s="47" t="n"/>
      <c r="K168" s="47" t="n"/>
      <c r="L168" s="50" t="n"/>
      <c r="M168" s="49">
        <f>IF(B168="","",IF(L168="","قيد المراجعة",IF(L168="A","معتمد",IF(L168="B","معتمد بملاحظات",IF(L168="C","مرفوض – يعاد التقديم","مرفوض نهائياً")))))</f>
        <v/>
      </c>
      <c r="N168" s="48">
        <f>IF(J168="","",IF(K168="",TODAY(),K168)-J168)</f>
        <v/>
      </c>
      <c r="O168" s="49">
        <f>IF(B168="","",IF(AND(L168="",N(N168)&gt;S_SLA),"متأخر رد الاستشاري",""))</f>
        <v/>
      </c>
      <c r="P168" s="49">
        <f>IF(B168="","",IF(OR(L168="A",L168="B"),"نعم","لا"))</f>
        <v/>
      </c>
    </row>
    <row r="169">
      <c r="A169" s="39">
        <f>IF(B169="","","MAR-"&amp;TEXT(ROW()-4,"0000"))</f>
        <v/>
      </c>
      <c r="B169" s="50" t="n"/>
      <c r="C169" s="49">
        <f>IF(B169="","",IFERROR(INDEX('المشروعات'!$B$5:$B$304,MATCH(B169,'المشروعات'!$A$5:$A$304,0)),""))</f>
        <v/>
      </c>
      <c r="D169" s="40" t="n"/>
      <c r="E169" s="40" t="n"/>
      <c r="F169" s="40" t="n"/>
      <c r="G169" s="40" t="n"/>
      <c r="H169" s="40" t="n"/>
      <c r="I169" s="51" t="n"/>
      <c r="J169" s="47" t="n"/>
      <c r="K169" s="47" t="n"/>
      <c r="L169" s="50" t="n"/>
      <c r="M169" s="49">
        <f>IF(B169="","",IF(L169="","قيد المراجعة",IF(L169="A","معتمد",IF(L169="B","معتمد بملاحظات",IF(L169="C","مرفوض – يعاد التقديم","مرفوض نهائياً")))))</f>
        <v/>
      </c>
      <c r="N169" s="48">
        <f>IF(J169="","",IF(K169="",TODAY(),K169)-J169)</f>
        <v/>
      </c>
      <c r="O169" s="49">
        <f>IF(B169="","",IF(AND(L169="",N(N169)&gt;S_SLA),"متأخر رد الاستشاري",""))</f>
        <v/>
      </c>
      <c r="P169" s="49">
        <f>IF(B169="","",IF(OR(L169="A",L169="B"),"نعم","لا"))</f>
        <v/>
      </c>
    </row>
    <row r="170">
      <c r="A170" s="39">
        <f>IF(B170="","","MAR-"&amp;TEXT(ROW()-4,"0000"))</f>
        <v/>
      </c>
      <c r="B170" s="50" t="n"/>
      <c r="C170" s="49">
        <f>IF(B170="","",IFERROR(INDEX('المشروعات'!$B$5:$B$304,MATCH(B170,'المشروعات'!$A$5:$A$304,0)),""))</f>
        <v/>
      </c>
      <c r="D170" s="40" t="n"/>
      <c r="E170" s="40" t="n"/>
      <c r="F170" s="40" t="n"/>
      <c r="G170" s="40" t="n"/>
      <c r="H170" s="40" t="n"/>
      <c r="I170" s="51" t="n"/>
      <c r="J170" s="47" t="n"/>
      <c r="K170" s="47" t="n"/>
      <c r="L170" s="50" t="n"/>
      <c r="M170" s="49">
        <f>IF(B170="","",IF(L170="","قيد المراجعة",IF(L170="A","معتمد",IF(L170="B","معتمد بملاحظات",IF(L170="C","مرفوض – يعاد التقديم","مرفوض نهائياً")))))</f>
        <v/>
      </c>
      <c r="N170" s="48">
        <f>IF(J170="","",IF(K170="",TODAY(),K170)-J170)</f>
        <v/>
      </c>
      <c r="O170" s="49">
        <f>IF(B170="","",IF(AND(L170="",N(N170)&gt;S_SLA),"متأخر رد الاستشاري",""))</f>
        <v/>
      </c>
      <c r="P170" s="49">
        <f>IF(B170="","",IF(OR(L170="A",L170="B"),"نعم","لا"))</f>
        <v/>
      </c>
    </row>
    <row r="171">
      <c r="A171" s="39">
        <f>IF(B171="","","MAR-"&amp;TEXT(ROW()-4,"0000"))</f>
        <v/>
      </c>
      <c r="B171" s="50" t="n"/>
      <c r="C171" s="49">
        <f>IF(B171="","",IFERROR(INDEX('المشروعات'!$B$5:$B$304,MATCH(B171,'المشروعات'!$A$5:$A$304,0)),""))</f>
        <v/>
      </c>
      <c r="D171" s="40" t="n"/>
      <c r="E171" s="40" t="n"/>
      <c r="F171" s="40" t="n"/>
      <c r="G171" s="40" t="n"/>
      <c r="H171" s="40" t="n"/>
      <c r="I171" s="51" t="n"/>
      <c r="J171" s="47" t="n"/>
      <c r="K171" s="47" t="n"/>
      <c r="L171" s="50" t="n"/>
      <c r="M171" s="49">
        <f>IF(B171="","",IF(L171="","قيد المراجعة",IF(L171="A","معتمد",IF(L171="B","معتمد بملاحظات",IF(L171="C","مرفوض – يعاد التقديم","مرفوض نهائياً")))))</f>
        <v/>
      </c>
      <c r="N171" s="48">
        <f>IF(J171="","",IF(K171="",TODAY(),K171)-J171)</f>
        <v/>
      </c>
      <c r="O171" s="49">
        <f>IF(B171="","",IF(AND(L171="",N(N171)&gt;S_SLA),"متأخر رد الاستشاري",""))</f>
        <v/>
      </c>
      <c r="P171" s="49">
        <f>IF(B171="","",IF(OR(L171="A",L171="B"),"نعم","لا"))</f>
        <v/>
      </c>
    </row>
    <row r="172">
      <c r="A172" s="39">
        <f>IF(B172="","","MAR-"&amp;TEXT(ROW()-4,"0000"))</f>
        <v/>
      </c>
      <c r="B172" s="50" t="n"/>
      <c r="C172" s="49">
        <f>IF(B172="","",IFERROR(INDEX('المشروعات'!$B$5:$B$304,MATCH(B172,'المشروعات'!$A$5:$A$304,0)),""))</f>
        <v/>
      </c>
      <c r="D172" s="40" t="n"/>
      <c r="E172" s="40" t="n"/>
      <c r="F172" s="40" t="n"/>
      <c r="G172" s="40" t="n"/>
      <c r="H172" s="40" t="n"/>
      <c r="I172" s="51" t="n"/>
      <c r="J172" s="47" t="n"/>
      <c r="K172" s="47" t="n"/>
      <c r="L172" s="50" t="n"/>
      <c r="M172" s="49">
        <f>IF(B172="","",IF(L172="","قيد المراجعة",IF(L172="A","معتمد",IF(L172="B","معتمد بملاحظات",IF(L172="C","مرفوض – يعاد التقديم","مرفوض نهائياً")))))</f>
        <v/>
      </c>
      <c r="N172" s="48">
        <f>IF(J172="","",IF(K172="",TODAY(),K172)-J172)</f>
        <v/>
      </c>
      <c r="O172" s="49">
        <f>IF(B172="","",IF(AND(L172="",N(N172)&gt;S_SLA),"متأخر رد الاستشاري",""))</f>
        <v/>
      </c>
      <c r="P172" s="49">
        <f>IF(B172="","",IF(OR(L172="A",L172="B"),"نعم","لا"))</f>
        <v/>
      </c>
    </row>
    <row r="173">
      <c r="A173" s="39">
        <f>IF(B173="","","MAR-"&amp;TEXT(ROW()-4,"0000"))</f>
        <v/>
      </c>
      <c r="B173" s="50" t="n"/>
      <c r="C173" s="49">
        <f>IF(B173="","",IFERROR(INDEX('المشروعات'!$B$5:$B$304,MATCH(B173,'المشروعات'!$A$5:$A$304,0)),""))</f>
        <v/>
      </c>
      <c r="D173" s="40" t="n"/>
      <c r="E173" s="40" t="n"/>
      <c r="F173" s="40" t="n"/>
      <c r="G173" s="40" t="n"/>
      <c r="H173" s="40" t="n"/>
      <c r="I173" s="51" t="n"/>
      <c r="J173" s="47" t="n"/>
      <c r="K173" s="47" t="n"/>
      <c r="L173" s="50" t="n"/>
      <c r="M173" s="49">
        <f>IF(B173="","",IF(L173="","قيد المراجعة",IF(L173="A","معتمد",IF(L173="B","معتمد بملاحظات",IF(L173="C","مرفوض – يعاد التقديم","مرفوض نهائياً")))))</f>
        <v/>
      </c>
      <c r="N173" s="48">
        <f>IF(J173="","",IF(K173="",TODAY(),K173)-J173)</f>
        <v/>
      </c>
      <c r="O173" s="49">
        <f>IF(B173="","",IF(AND(L173="",N(N173)&gt;S_SLA),"متأخر رد الاستشاري",""))</f>
        <v/>
      </c>
      <c r="P173" s="49">
        <f>IF(B173="","",IF(OR(L173="A",L173="B"),"نعم","لا"))</f>
        <v/>
      </c>
    </row>
    <row r="174">
      <c r="A174" s="39">
        <f>IF(B174="","","MAR-"&amp;TEXT(ROW()-4,"0000"))</f>
        <v/>
      </c>
      <c r="B174" s="50" t="n"/>
      <c r="C174" s="49">
        <f>IF(B174="","",IFERROR(INDEX('المشروعات'!$B$5:$B$304,MATCH(B174,'المشروعات'!$A$5:$A$304,0)),""))</f>
        <v/>
      </c>
      <c r="D174" s="40" t="n"/>
      <c r="E174" s="40" t="n"/>
      <c r="F174" s="40" t="n"/>
      <c r="G174" s="40" t="n"/>
      <c r="H174" s="40" t="n"/>
      <c r="I174" s="51" t="n"/>
      <c r="J174" s="47" t="n"/>
      <c r="K174" s="47" t="n"/>
      <c r="L174" s="50" t="n"/>
      <c r="M174" s="49">
        <f>IF(B174="","",IF(L174="","قيد المراجعة",IF(L174="A","معتمد",IF(L174="B","معتمد بملاحظات",IF(L174="C","مرفوض – يعاد التقديم","مرفوض نهائياً")))))</f>
        <v/>
      </c>
      <c r="N174" s="48">
        <f>IF(J174="","",IF(K174="",TODAY(),K174)-J174)</f>
        <v/>
      </c>
      <c r="O174" s="49">
        <f>IF(B174="","",IF(AND(L174="",N(N174)&gt;S_SLA),"متأخر رد الاستشاري",""))</f>
        <v/>
      </c>
      <c r="P174" s="49">
        <f>IF(B174="","",IF(OR(L174="A",L174="B"),"نعم","لا"))</f>
        <v/>
      </c>
    </row>
    <row r="175">
      <c r="A175" s="39">
        <f>IF(B175="","","MAR-"&amp;TEXT(ROW()-4,"0000"))</f>
        <v/>
      </c>
      <c r="B175" s="50" t="n"/>
      <c r="C175" s="49">
        <f>IF(B175="","",IFERROR(INDEX('المشروعات'!$B$5:$B$304,MATCH(B175,'المشروعات'!$A$5:$A$304,0)),""))</f>
        <v/>
      </c>
      <c r="D175" s="40" t="n"/>
      <c r="E175" s="40" t="n"/>
      <c r="F175" s="40" t="n"/>
      <c r="G175" s="40" t="n"/>
      <c r="H175" s="40" t="n"/>
      <c r="I175" s="51" t="n"/>
      <c r="J175" s="47" t="n"/>
      <c r="K175" s="47" t="n"/>
      <c r="L175" s="50" t="n"/>
      <c r="M175" s="49">
        <f>IF(B175="","",IF(L175="","قيد المراجعة",IF(L175="A","معتمد",IF(L175="B","معتمد بملاحظات",IF(L175="C","مرفوض – يعاد التقديم","مرفوض نهائياً")))))</f>
        <v/>
      </c>
      <c r="N175" s="48">
        <f>IF(J175="","",IF(K175="",TODAY(),K175)-J175)</f>
        <v/>
      </c>
      <c r="O175" s="49">
        <f>IF(B175="","",IF(AND(L175="",N(N175)&gt;S_SLA),"متأخر رد الاستشاري",""))</f>
        <v/>
      </c>
      <c r="P175" s="49">
        <f>IF(B175="","",IF(OR(L175="A",L175="B"),"نعم","لا"))</f>
        <v/>
      </c>
    </row>
    <row r="176">
      <c r="A176" s="39">
        <f>IF(B176="","","MAR-"&amp;TEXT(ROW()-4,"0000"))</f>
        <v/>
      </c>
      <c r="B176" s="50" t="n"/>
      <c r="C176" s="49">
        <f>IF(B176="","",IFERROR(INDEX('المشروعات'!$B$5:$B$304,MATCH(B176,'المشروعات'!$A$5:$A$304,0)),""))</f>
        <v/>
      </c>
      <c r="D176" s="40" t="n"/>
      <c r="E176" s="40" t="n"/>
      <c r="F176" s="40" t="n"/>
      <c r="G176" s="40" t="n"/>
      <c r="H176" s="40" t="n"/>
      <c r="I176" s="51" t="n"/>
      <c r="J176" s="47" t="n"/>
      <c r="K176" s="47" t="n"/>
      <c r="L176" s="50" t="n"/>
      <c r="M176" s="49">
        <f>IF(B176="","",IF(L176="","قيد المراجعة",IF(L176="A","معتمد",IF(L176="B","معتمد بملاحظات",IF(L176="C","مرفوض – يعاد التقديم","مرفوض نهائياً")))))</f>
        <v/>
      </c>
      <c r="N176" s="48">
        <f>IF(J176="","",IF(K176="",TODAY(),K176)-J176)</f>
        <v/>
      </c>
      <c r="O176" s="49">
        <f>IF(B176="","",IF(AND(L176="",N(N176)&gt;S_SLA),"متأخر رد الاستشاري",""))</f>
        <v/>
      </c>
      <c r="P176" s="49">
        <f>IF(B176="","",IF(OR(L176="A",L176="B"),"نعم","لا"))</f>
        <v/>
      </c>
    </row>
    <row r="177">
      <c r="A177" s="39">
        <f>IF(B177="","","MAR-"&amp;TEXT(ROW()-4,"0000"))</f>
        <v/>
      </c>
      <c r="B177" s="50" t="n"/>
      <c r="C177" s="49">
        <f>IF(B177="","",IFERROR(INDEX('المشروعات'!$B$5:$B$304,MATCH(B177,'المشروعات'!$A$5:$A$304,0)),""))</f>
        <v/>
      </c>
      <c r="D177" s="40" t="n"/>
      <c r="E177" s="40" t="n"/>
      <c r="F177" s="40" t="n"/>
      <c r="G177" s="40" t="n"/>
      <c r="H177" s="40" t="n"/>
      <c r="I177" s="51" t="n"/>
      <c r="J177" s="47" t="n"/>
      <c r="K177" s="47" t="n"/>
      <c r="L177" s="50" t="n"/>
      <c r="M177" s="49">
        <f>IF(B177="","",IF(L177="","قيد المراجعة",IF(L177="A","معتمد",IF(L177="B","معتمد بملاحظات",IF(L177="C","مرفوض – يعاد التقديم","مرفوض نهائياً")))))</f>
        <v/>
      </c>
      <c r="N177" s="48">
        <f>IF(J177="","",IF(K177="",TODAY(),K177)-J177)</f>
        <v/>
      </c>
      <c r="O177" s="49">
        <f>IF(B177="","",IF(AND(L177="",N(N177)&gt;S_SLA),"متأخر رد الاستشاري",""))</f>
        <v/>
      </c>
      <c r="P177" s="49">
        <f>IF(B177="","",IF(OR(L177="A",L177="B"),"نعم","لا"))</f>
        <v/>
      </c>
    </row>
    <row r="178">
      <c r="A178" s="39">
        <f>IF(B178="","","MAR-"&amp;TEXT(ROW()-4,"0000"))</f>
        <v/>
      </c>
      <c r="B178" s="50" t="n"/>
      <c r="C178" s="49">
        <f>IF(B178="","",IFERROR(INDEX('المشروعات'!$B$5:$B$304,MATCH(B178,'المشروعات'!$A$5:$A$304,0)),""))</f>
        <v/>
      </c>
      <c r="D178" s="40" t="n"/>
      <c r="E178" s="40" t="n"/>
      <c r="F178" s="40" t="n"/>
      <c r="G178" s="40" t="n"/>
      <c r="H178" s="40" t="n"/>
      <c r="I178" s="51" t="n"/>
      <c r="J178" s="47" t="n"/>
      <c r="K178" s="47" t="n"/>
      <c r="L178" s="50" t="n"/>
      <c r="M178" s="49">
        <f>IF(B178="","",IF(L178="","قيد المراجعة",IF(L178="A","معتمد",IF(L178="B","معتمد بملاحظات",IF(L178="C","مرفوض – يعاد التقديم","مرفوض نهائياً")))))</f>
        <v/>
      </c>
      <c r="N178" s="48">
        <f>IF(J178="","",IF(K178="",TODAY(),K178)-J178)</f>
        <v/>
      </c>
      <c r="O178" s="49">
        <f>IF(B178="","",IF(AND(L178="",N(N178)&gt;S_SLA),"متأخر رد الاستشاري",""))</f>
        <v/>
      </c>
      <c r="P178" s="49">
        <f>IF(B178="","",IF(OR(L178="A",L178="B"),"نعم","لا"))</f>
        <v/>
      </c>
    </row>
    <row r="179">
      <c r="A179" s="39">
        <f>IF(B179="","","MAR-"&amp;TEXT(ROW()-4,"0000"))</f>
        <v/>
      </c>
      <c r="B179" s="50" t="n"/>
      <c r="C179" s="49">
        <f>IF(B179="","",IFERROR(INDEX('المشروعات'!$B$5:$B$304,MATCH(B179,'المشروعات'!$A$5:$A$304,0)),""))</f>
        <v/>
      </c>
      <c r="D179" s="40" t="n"/>
      <c r="E179" s="40" t="n"/>
      <c r="F179" s="40" t="n"/>
      <c r="G179" s="40" t="n"/>
      <c r="H179" s="40" t="n"/>
      <c r="I179" s="51" t="n"/>
      <c r="J179" s="47" t="n"/>
      <c r="K179" s="47" t="n"/>
      <c r="L179" s="50" t="n"/>
      <c r="M179" s="49">
        <f>IF(B179="","",IF(L179="","قيد المراجعة",IF(L179="A","معتمد",IF(L179="B","معتمد بملاحظات",IF(L179="C","مرفوض – يعاد التقديم","مرفوض نهائياً")))))</f>
        <v/>
      </c>
      <c r="N179" s="48">
        <f>IF(J179="","",IF(K179="",TODAY(),K179)-J179)</f>
        <v/>
      </c>
      <c r="O179" s="49">
        <f>IF(B179="","",IF(AND(L179="",N(N179)&gt;S_SLA),"متأخر رد الاستشاري",""))</f>
        <v/>
      </c>
      <c r="P179" s="49">
        <f>IF(B179="","",IF(OR(L179="A",L179="B"),"نعم","لا"))</f>
        <v/>
      </c>
    </row>
    <row r="180">
      <c r="A180" s="39">
        <f>IF(B180="","","MAR-"&amp;TEXT(ROW()-4,"0000"))</f>
        <v/>
      </c>
      <c r="B180" s="50" t="n"/>
      <c r="C180" s="49">
        <f>IF(B180="","",IFERROR(INDEX('المشروعات'!$B$5:$B$304,MATCH(B180,'المشروعات'!$A$5:$A$304,0)),""))</f>
        <v/>
      </c>
      <c r="D180" s="40" t="n"/>
      <c r="E180" s="40" t="n"/>
      <c r="F180" s="40" t="n"/>
      <c r="G180" s="40" t="n"/>
      <c r="H180" s="40" t="n"/>
      <c r="I180" s="51" t="n"/>
      <c r="J180" s="47" t="n"/>
      <c r="K180" s="47" t="n"/>
      <c r="L180" s="50" t="n"/>
      <c r="M180" s="49">
        <f>IF(B180="","",IF(L180="","قيد المراجعة",IF(L180="A","معتمد",IF(L180="B","معتمد بملاحظات",IF(L180="C","مرفوض – يعاد التقديم","مرفوض نهائياً")))))</f>
        <v/>
      </c>
      <c r="N180" s="48">
        <f>IF(J180="","",IF(K180="",TODAY(),K180)-J180)</f>
        <v/>
      </c>
      <c r="O180" s="49">
        <f>IF(B180="","",IF(AND(L180="",N(N180)&gt;S_SLA),"متأخر رد الاستشاري",""))</f>
        <v/>
      </c>
      <c r="P180" s="49">
        <f>IF(B180="","",IF(OR(L180="A",L180="B"),"نعم","لا"))</f>
        <v/>
      </c>
    </row>
    <row r="181">
      <c r="A181" s="39">
        <f>IF(B181="","","MAR-"&amp;TEXT(ROW()-4,"0000"))</f>
        <v/>
      </c>
      <c r="B181" s="50" t="n"/>
      <c r="C181" s="49">
        <f>IF(B181="","",IFERROR(INDEX('المشروعات'!$B$5:$B$304,MATCH(B181,'المشروعات'!$A$5:$A$304,0)),""))</f>
        <v/>
      </c>
      <c r="D181" s="40" t="n"/>
      <c r="E181" s="40" t="n"/>
      <c r="F181" s="40" t="n"/>
      <c r="G181" s="40" t="n"/>
      <c r="H181" s="40" t="n"/>
      <c r="I181" s="51" t="n"/>
      <c r="J181" s="47" t="n"/>
      <c r="K181" s="47" t="n"/>
      <c r="L181" s="50" t="n"/>
      <c r="M181" s="49">
        <f>IF(B181="","",IF(L181="","قيد المراجعة",IF(L181="A","معتمد",IF(L181="B","معتمد بملاحظات",IF(L181="C","مرفوض – يعاد التقديم","مرفوض نهائياً")))))</f>
        <v/>
      </c>
      <c r="N181" s="48">
        <f>IF(J181="","",IF(K181="",TODAY(),K181)-J181)</f>
        <v/>
      </c>
      <c r="O181" s="49">
        <f>IF(B181="","",IF(AND(L181="",N(N181)&gt;S_SLA),"متأخر رد الاستشاري",""))</f>
        <v/>
      </c>
      <c r="P181" s="49">
        <f>IF(B181="","",IF(OR(L181="A",L181="B"),"نعم","لا"))</f>
        <v/>
      </c>
    </row>
    <row r="182">
      <c r="A182" s="39">
        <f>IF(B182="","","MAR-"&amp;TEXT(ROW()-4,"0000"))</f>
        <v/>
      </c>
      <c r="B182" s="50" t="n"/>
      <c r="C182" s="49">
        <f>IF(B182="","",IFERROR(INDEX('المشروعات'!$B$5:$B$304,MATCH(B182,'المشروعات'!$A$5:$A$304,0)),""))</f>
        <v/>
      </c>
      <c r="D182" s="40" t="n"/>
      <c r="E182" s="40" t="n"/>
      <c r="F182" s="40" t="n"/>
      <c r="G182" s="40" t="n"/>
      <c r="H182" s="40" t="n"/>
      <c r="I182" s="51" t="n"/>
      <c r="J182" s="47" t="n"/>
      <c r="K182" s="47" t="n"/>
      <c r="L182" s="50" t="n"/>
      <c r="M182" s="49">
        <f>IF(B182="","",IF(L182="","قيد المراجعة",IF(L182="A","معتمد",IF(L182="B","معتمد بملاحظات",IF(L182="C","مرفوض – يعاد التقديم","مرفوض نهائياً")))))</f>
        <v/>
      </c>
      <c r="N182" s="48">
        <f>IF(J182="","",IF(K182="",TODAY(),K182)-J182)</f>
        <v/>
      </c>
      <c r="O182" s="49">
        <f>IF(B182="","",IF(AND(L182="",N(N182)&gt;S_SLA),"متأخر رد الاستشاري",""))</f>
        <v/>
      </c>
      <c r="P182" s="49">
        <f>IF(B182="","",IF(OR(L182="A",L182="B"),"نعم","لا"))</f>
        <v/>
      </c>
    </row>
    <row r="183">
      <c r="A183" s="39">
        <f>IF(B183="","","MAR-"&amp;TEXT(ROW()-4,"0000"))</f>
        <v/>
      </c>
      <c r="B183" s="50" t="n"/>
      <c r="C183" s="49">
        <f>IF(B183="","",IFERROR(INDEX('المشروعات'!$B$5:$B$304,MATCH(B183,'المشروعات'!$A$5:$A$304,0)),""))</f>
        <v/>
      </c>
      <c r="D183" s="40" t="n"/>
      <c r="E183" s="40" t="n"/>
      <c r="F183" s="40" t="n"/>
      <c r="G183" s="40" t="n"/>
      <c r="H183" s="40" t="n"/>
      <c r="I183" s="51" t="n"/>
      <c r="J183" s="47" t="n"/>
      <c r="K183" s="47" t="n"/>
      <c r="L183" s="50" t="n"/>
      <c r="M183" s="49">
        <f>IF(B183="","",IF(L183="","قيد المراجعة",IF(L183="A","معتمد",IF(L183="B","معتمد بملاحظات",IF(L183="C","مرفوض – يعاد التقديم","مرفوض نهائياً")))))</f>
        <v/>
      </c>
      <c r="N183" s="48">
        <f>IF(J183="","",IF(K183="",TODAY(),K183)-J183)</f>
        <v/>
      </c>
      <c r="O183" s="49">
        <f>IF(B183="","",IF(AND(L183="",N(N183)&gt;S_SLA),"متأخر رد الاستشاري",""))</f>
        <v/>
      </c>
      <c r="P183" s="49">
        <f>IF(B183="","",IF(OR(L183="A",L183="B"),"نعم","لا"))</f>
        <v/>
      </c>
    </row>
    <row r="184">
      <c r="A184" s="39">
        <f>IF(B184="","","MAR-"&amp;TEXT(ROW()-4,"0000"))</f>
        <v/>
      </c>
      <c r="B184" s="50" t="n"/>
      <c r="C184" s="49">
        <f>IF(B184="","",IFERROR(INDEX('المشروعات'!$B$5:$B$304,MATCH(B184,'المشروعات'!$A$5:$A$304,0)),""))</f>
        <v/>
      </c>
      <c r="D184" s="40" t="n"/>
      <c r="E184" s="40" t="n"/>
      <c r="F184" s="40" t="n"/>
      <c r="G184" s="40" t="n"/>
      <c r="H184" s="40" t="n"/>
      <c r="I184" s="51" t="n"/>
      <c r="J184" s="47" t="n"/>
      <c r="K184" s="47" t="n"/>
      <c r="L184" s="50" t="n"/>
      <c r="M184" s="49">
        <f>IF(B184="","",IF(L184="","قيد المراجعة",IF(L184="A","معتمد",IF(L184="B","معتمد بملاحظات",IF(L184="C","مرفوض – يعاد التقديم","مرفوض نهائياً")))))</f>
        <v/>
      </c>
      <c r="N184" s="48">
        <f>IF(J184="","",IF(K184="",TODAY(),K184)-J184)</f>
        <v/>
      </c>
      <c r="O184" s="49">
        <f>IF(B184="","",IF(AND(L184="",N(N184)&gt;S_SLA),"متأخر رد الاستشاري",""))</f>
        <v/>
      </c>
      <c r="P184" s="49">
        <f>IF(B184="","",IF(OR(L184="A",L184="B"),"نعم","لا"))</f>
        <v/>
      </c>
    </row>
    <row r="185">
      <c r="A185" s="39">
        <f>IF(B185="","","MAR-"&amp;TEXT(ROW()-4,"0000"))</f>
        <v/>
      </c>
      <c r="B185" s="50" t="n"/>
      <c r="C185" s="49">
        <f>IF(B185="","",IFERROR(INDEX('المشروعات'!$B$5:$B$304,MATCH(B185,'المشروعات'!$A$5:$A$304,0)),""))</f>
        <v/>
      </c>
      <c r="D185" s="40" t="n"/>
      <c r="E185" s="40" t="n"/>
      <c r="F185" s="40" t="n"/>
      <c r="G185" s="40" t="n"/>
      <c r="H185" s="40" t="n"/>
      <c r="I185" s="51" t="n"/>
      <c r="J185" s="47" t="n"/>
      <c r="K185" s="47" t="n"/>
      <c r="L185" s="50" t="n"/>
      <c r="M185" s="49">
        <f>IF(B185="","",IF(L185="","قيد المراجعة",IF(L185="A","معتمد",IF(L185="B","معتمد بملاحظات",IF(L185="C","مرفوض – يعاد التقديم","مرفوض نهائياً")))))</f>
        <v/>
      </c>
      <c r="N185" s="48">
        <f>IF(J185="","",IF(K185="",TODAY(),K185)-J185)</f>
        <v/>
      </c>
      <c r="O185" s="49">
        <f>IF(B185="","",IF(AND(L185="",N(N185)&gt;S_SLA),"متأخر رد الاستشاري",""))</f>
        <v/>
      </c>
      <c r="P185" s="49">
        <f>IF(B185="","",IF(OR(L185="A",L185="B"),"نعم","لا"))</f>
        <v/>
      </c>
    </row>
    <row r="186">
      <c r="A186" s="39">
        <f>IF(B186="","","MAR-"&amp;TEXT(ROW()-4,"0000"))</f>
        <v/>
      </c>
      <c r="B186" s="50" t="n"/>
      <c r="C186" s="49">
        <f>IF(B186="","",IFERROR(INDEX('المشروعات'!$B$5:$B$304,MATCH(B186,'المشروعات'!$A$5:$A$304,0)),""))</f>
        <v/>
      </c>
      <c r="D186" s="40" t="n"/>
      <c r="E186" s="40" t="n"/>
      <c r="F186" s="40" t="n"/>
      <c r="G186" s="40" t="n"/>
      <c r="H186" s="40" t="n"/>
      <c r="I186" s="51" t="n"/>
      <c r="J186" s="47" t="n"/>
      <c r="K186" s="47" t="n"/>
      <c r="L186" s="50" t="n"/>
      <c r="M186" s="49">
        <f>IF(B186="","",IF(L186="","قيد المراجعة",IF(L186="A","معتمد",IF(L186="B","معتمد بملاحظات",IF(L186="C","مرفوض – يعاد التقديم","مرفوض نهائياً")))))</f>
        <v/>
      </c>
      <c r="N186" s="48">
        <f>IF(J186="","",IF(K186="",TODAY(),K186)-J186)</f>
        <v/>
      </c>
      <c r="O186" s="49">
        <f>IF(B186="","",IF(AND(L186="",N(N186)&gt;S_SLA),"متأخر رد الاستشاري",""))</f>
        <v/>
      </c>
      <c r="P186" s="49">
        <f>IF(B186="","",IF(OR(L186="A",L186="B"),"نعم","لا"))</f>
        <v/>
      </c>
    </row>
    <row r="187">
      <c r="A187" s="39">
        <f>IF(B187="","","MAR-"&amp;TEXT(ROW()-4,"0000"))</f>
        <v/>
      </c>
      <c r="B187" s="50" t="n"/>
      <c r="C187" s="49">
        <f>IF(B187="","",IFERROR(INDEX('المشروعات'!$B$5:$B$304,MATCH(B187,'المشروعات'!$A$5:$A$304,0)),""))</f>
        <v/>
      </c>
      <c r="D187" s="40" t="n"/>
      <c r="E187" s="40" t="n"/>
      <c r="F187" s="40" t="n"/>
      <c r="G187" s="40" t="n"/>
      <c r="H187" s="40" t="n"/>
      <c r="I187" s="51" t="n"/>
      <c r="J187" s="47" t="n"/>
      <c r="K187" s="47" t="n"/>
      <c r="L187" s="50" t="n"/>
      <c r="M187" s="49">
        <f>IF(B187="","",IF(L187="","قيد المراجعة",IF(L187="A","معتمد",IF(L187="B","معتمد بملاحظات",IF(L187="C","مرفوض – يعاد التقديم","مرفوض نهائياً")))))</f>
        <v/>
      </c>
      <c r="N187" s="48">
        <f>IF(J187="","",IF(K187="",TODAY(),K187)-J187)</f>
        <v/>
      </c>
      <c r="O187" s="49">
        <f>IF(B187="","",IF(AND(L187="",N(N187)&gt;S_SLA),"متأخر رد الاستشاري",""))</f>
        <v/>
      </c>
      <c r="P187" s="49">
        <f>IF(B187="","",IF(OR(L187="A",L187="B"),"نعم","لا"))</f>
        <v/>
      </c>
    </row>
    <row r="188">
      <c r="A188" s="39">
        <f>IF(B188="","","MAR-"&amp;TEXT(ROW()-4,"0000"))</f>
        <v/>
      </c>
      <c r="B188" s="50" t="n"/>
      <c r="C188" s="49">
        <f>IF(B188="","",IFERROR(INDEX('المشروعات'!$B$5:$B$304,MATCH(B188,'المشروعات'!$A$5:$A$304,0)),""))</f>
        <v/>
      </c>
      <c r="D188" s="40" t="n"/>
      <c r="E188" s="40" t="n"/>
      <c r="F188" s="40" t="n"/>
      <c r="G188" s="40" t="n"/>
      <c r="H188" s="40" t="n"/>
      <c r="I188" s="51" t="n"/>
      <c r="J188" s="47" t="n"/>
      <c r="K188" s="47" t="n"/>
      <c r="L188" s="50" t="n"/>
      <c r="M188" s="49">
        <f>IF(B188="","",IF(L188="","قيد المراجعة",IF(L188="A","معتمد",IF(L188="B","معتمد بملاحظات",IF(L188="C","مرفوض – يعاد التقديم","مرفوض نهائياً")))))</f>
        <v/>
      </c>
      <c r="N188" s="48">
        <f>IF(J188="","",IF(K188="",TODAY(),K188)-J188)</f>
        <v/>
      </c>
      <c r="O188" s="49">
        <f>IF(B188="","",IF(AND(L188="",N(N188)&gt;S_SLA),"متأخر رد الاستشاري",""))</f>
        <v/>
      </c>
      <c r="P188" s="49">
        <f>IF(B188="","",IF(OR(L188="A",L188="B"),"نعم","لا"))</f>
        <v/>
      </c>
    </row>
    <row r="189">
      <c r="A189" s="39">
        <f>IF(B189="","","MAR-"&amp;TEXT(ROW()-4,"0000"))</f>
        <v/>
      </c>
      <c r="B189" s="50" t="n"/>
      <c r="C189" s="49">
        <f>IF(B189="","",IFERROR(INDEX('المشروعات'!$B$5:$B$304,MATCH(B189,'المشروعات'!$A$5:$A$304,0)),""))</f>
        <v/>
      </c>
      <c r="D189" s="40" t="n"/>
      <c r="E189" s="40" t="n"/>
      <c r="F189" s="40" t="n"/>
      <c r="G189" s="40" t="n"/>
      <c r="H189" s="40" t="n"/>
      <c r="I189" s="51" t="n"/>
      <c r="J189" s="47" t="n"/>
      <c r="K189" s="47" t="n"/>
      <c r="L189" s="50" t="n"/>
      <c r="M189" s="49">
        <f>IF(B189="","",IF(L189="","قيد المراجعة",IF(L189="A","معتمد",IF(L189="B","معتمد بملاحظات",IF(L189="C","مرفوض – يعاد التقديم","مرفوض نهائياً")))))</f>
        <v/>
      </c>
      <c r="N189" s="48">
        <f>IF(J189="","",IF(K189="",TODAY(),K189)-J189)</f>
        <v/>
      </c>
      <c r="O189" s="49">
        <f>IF(B189="","",IF(AND(L189="",N(N189)&gt;S_SLA),"متأخر رد الاستشاري",""))</f>
        <v/>
      </c>
      <c r="P189" s="49">
        <f>IF(B189="","",IF(OR(L189="A",L189="B"),"نعم","لا"))</f>
        <v/>
      </c>
    </row>
    <row r="190">
      <c r="A190" s="39">
        <f>IF(B190="","","MAR-"&amp;TEXT(ROW()-4,"0000"))</f>
        <v/>
      </c>
      <c r="B190" s="50" t="n"/>
      <c r="C190" s="49">
        <f>IF(B190="","",IFERROR(INDEX('المشروعات'!$B$5:$B$304,MATCH(B190,'المشروعات'!$A$5:$A$304,0)),""))</f>
        <v/>
      </c>
      <c r="D190" s="40" t="n"/>
      <c r="E190" s="40" t="n"/>
      <c r="F190" s="40" t="n"/>
      <c r="G190" s="40" t="n"/>
      <c r="H190" s="40" t="n"/>
      <c r="I190" s="51" t="n"/>
      <c r="J190" s="47" t="n"/>
      <c r="K190" s="47" t="n"/>
      <c r="L190" s="50" t="n"/>
      <c r="M190" s="49">
        <f>IF(B190="","",IF(L190="","قيد المراجعة",IF(L190="A","معتمد",IF(L190="B","معتمد بملاحظات",IF(L190="C","مرفوض – يعاد التقديم","مرفوض نهائياً")))))</f>
        <v/>
      </c>
      <c r="N190" s="48">
        <f>IF(J190="","",IF(K190="",TODAY(),K190)-J190)</f>
        <v/>
      </c>
      <c r="O190" s="49">
        <f>IF(B190="","",IF(AND(L190="",N(N190)&gt;S_SLA),"متأخر رد الاستشاري",""))</f>
        <v/>
      </c>
      <c r="P190" s="49">
        <f>IF(B190="","",IF(OR(L190="A",L190="B"),"نعم","لا"))</f>
        <v/>
      </c>
    </row>
    <row r="191">
      <c r="A191" s="39">
        <f>IF(B191="","","MAR-"&amp;TEXT(ROW()-4,"0000"))</f>
        <v/>
      </c>
      <c r="B191" s="50" t="n"/>
      <c r="C191" s="49">
        <f>IF(B191="","",IFERROR(INDEX('المشروعات'!$B$5:$B$304,MATCH(B191,'المشروعات'!$A$5:$A$304,0)),""))</f>
        <v/>
      </c>
      <c r="D191" s="40" t="n"/>
      <c r="E191" s="40" t="n"/>
      <c r="F191" s="40" t="n"/>
      <c r="G191" s="40" t="n"/>
      <c r="H191" s="40" t="n"/>
      <c r="I191" s="51" t="n"/>
      <c r="J191" s="47" t="n"/>
      <c r="K191" s="47" t="n"/>
      <c r="L191" s="50" t="n"/>
      <c r="M191" s="49">
        <f>IF(B191="","",IF(L191="","قيد المراجعة",IF(L191="A","معتمد",IF(L191="B","معتمد بملاحظات",IF(L191="C","مرفوض – يعاد التقديم","مرفوض نهائياً")))))</f>
        <v/>
      </c>
      <c r="N191" s="48">
        <f>IF(J191="","",IF(K191="",TODAY(),K191)-J191)</f>
        <v/>
      </c>
      <c r="O191" s="49">
        <f>IF(B191="","",IF(AND(L191="",N(N191)&gt;S_SLA),"متأخر رد الاستشاري",""))</f>
        <v/>
      </c>
      <c r="P191" s="49">
        <f>IF(B191="","",IF(OR(L191="A",L191="B"),"نعم","لا"))</f>
        <v/>
      </c>
    </row>
    <row r="192">
      <c r="A192" s="39">
        <f>IF(B192="","","MAR-"&amp;TEXT(ROW()-4,"0000"))</f>
        <v/>
      </c>
      <c r="B192" s="50" t="n"/>
      <c r="C192" s="49">
        <f>IF(B192="","",IFERROR(INDEX('المشروعات'!$B$5:$B$304,MATCH(B192,'المشروعات'!$A$5:$A$304,0)),""))</f>
        <v/>
      </c>
      <c r="D192" s="40" t="n"/>
      <c r="E192" s="40" t="n"/>
      <c r="F192" s="40" t="n"/>
      <c r="G192" s="40" t="n"/>
      <c r="H192" s="40" t="n"/>
      <c r="I192" s="51" t="n"/>
      <c r="J192" s="47" t="n"/>
      <c r="K192" s="47" t="n"/>
      <c r="L192" s="50" t="n"/>
      <c r="M192" s="49">
        <f>IF(B192="","",IF(L192="","قيد المراجعة",IF(L192="A","معتمد",IF(L192="B","معتمد بملاحظات",IF(L192="C","مرفوض – يعاد التقديم","مرفوض نهائياً")))))</f>
        <v/>
      </c>
      <c r="N192" s="48">
        <f>IF(J192="","",IF(K192="",TODAY(),K192)-J192)</f>
        <v/>
      </c>
      <c r="O192" s="49">
        <f>IF(B192="","",IF(AND(L192="",N(N192)&gt;S_SLA),"متأخر رد الاستشاري",""))</f>
        <v/>
      </c>
      <c r="P192" s="49">
        <f>IF(B192="","",IF(OR(L192="A",L192="B"),"نعم","لا"))</f>
        <v/>
      </c>
    </row>
    <row r="193">
      <c r="A193" s="39">
        <f>IF(B193="","","MAR-"&amp;TEXT(ROW()-4,"0000"))</f>
        <v/>
      </c>
      <c r="B193" s="50" t="n"/>
      <c r="C193" s="49">
        <f>IF(B193="","",IFERROR(INDEX('المشروعات'!$B$5:$B$304,MATCH(B193,'المشروعات'!$A$5:$A$304,0)),""))</f>
        <v/>
      </c>
      <c r="D193" s="40" t="n"/>
      <c r="E193" s="40" t="n"/>
      <c r="F193" s="40" t="n"/>
      <c r="G193" s="40" t="n"/>
      <c r="H193" s="40" t="n"/>
      <c r="I193" s="51" t="n"/>
      <c r="J193" s="47" t="n"/>
      <c r="K193" s="47" t="n"/>
      <c r="L193" s="50" t="n"/>
      <c r="M193" s="49">
        <f>IF(B193="","",IF(L193="","قيد المراجعة",IF(L193="A","معتمد",IF(L193="B","معتمد بملاحظات",IF(L193="C","مرفوض – يعاد التقديم","مرفوض نهائياً")))))</f>
        <v/>
      </c>
      <c r="N193" s="48">
        <f>IF(J193="","",IF(K193="",TODAY(),K193)-J193)</f>
        <v/>
      </c>
      <c r="O193" s="49">
        <f>IF(B193="","",IF(AND(L193="",N(N193)&gt;S_SLA),"متأخر رد الاستشاري",""))</f>
        <v/>
      </c>
      <c r="P193" s="49">
        <f>IF(B193="","",IF(OR(L193="A",L193="B"),"نعم","لا"))</f>
        <v/>
      </c>
    </row>
    <row r="194">
      <c r="A194" s="39">
        <f>IF(B194="","","MAR-"&amp;TEXT(ROW()-4,"0000"))</f>
        <v/>
      </c>
      <c r="B194" s="50" t="n"/>
      <c r="C194" s="49">
        <f>IF(B194="","",IFERROR(INDEX('المشروعات'!$B$5:$B$304,MATCH(B194,'المشروعات'!$A$5:$A$304,0)),""))</f>
        <v/>
      </c>
      <c r="D194" s="40" t="n"/>
      <c r="E194" s="40" t="n"/>
      <c r="F194" s="40" t="n"/>
      <c r="G194" s="40" t="n"/>
      <c r="H194" s="40" t="n"/>
      <c r="I194" s="51" t="n"/>
      <c r="J194" s="47" t="n"/>
      <c r="K194" s="47" t="n"/>
      <c r="L194" s="50" t="n"/>
      <c r="M194" s="49">
        <f>IF(B194="","",IF(L194="","قيد المراجعة",IF(L194="A","معتمد",IF(L194="B","معتمد بملاحظات",IF(L194="C","مرفوض – يعاد التقديم","مرفوض نهائياً")))))</f>
        <v/>
      </c>
      <c r="N194" s="48">
        <f>IF(J194="","",IF(K194="",TODAY(),K194)-J194)</f>
        <v/>
      </c>
      <c r="O194" s="49">
        <f>IF(B194="","",IF(AND(L194="",N(N194)&gt;S_SLA),"متأخر رد الاستشاري",""))</f>
        <v/>
      </c>
      <c r="P194" s="49">
        <f>IF(B194="","",IF(OR(L194="A",L194="B"),"نعم","لا"))</f>
        <v/>
      </c>
    </row>
    <row r="195">
      <c r="A195" s="39">
        <f>IF(B195="","","MAR-"&amp;TEXT(ROW()-4,"0000"))</f>
        <v/>
      </c>
      <c r="B195" s="50" t="n"/>
      <c r="C195" s="49">
        <f>IF(B195="","",IFERROR(INDEX('المشروعات'!$B$5:$B$304,MATCH(B195,'المشروعات'!$A$5:$A$304,0)),""))</f>
        <v/>
      </c>
      <c r="D195" s="40" t="n"/>
      <c r="E195" s="40" t="n"/>
      <c r="F195" s="40" t="n"/>
      <c r="G195" s="40" t="n"/>
      <c r="H195" s="40" t="n"/>
      <c r="I195" s="51" t="n"/>
      <c r="J195" s="47" t="n"/>
      <c r="K195" s="47" t="n"/>
      <c r="L195" s="50" t="n"/>
      <c r="M195" s="49">
        <f>IF(B195="","",IF(L195="","قيد المراجعة",IF(L195="A","معتمد",IF(L195="B","معتمد بملاحظات",IF(L195="C","مرفوض – يعاد التقديم","مرفوض نهائياً")))))</f>
        <v/>
      </c>
      <c r="N195" s="48">
        <f>IF(J195="","",IF(K195="",TODAY(),K195)-J195)</f>
        <v/>
      </c>
      <c r="O195" s="49">
        <f>IF(B195="","",IF(AND(L195="",N(N195)&gt;S_SLA),"متأخر رد الاستشاري",""))</f>
        <v/>
      </c>
      <c r="P195" s="49">
        <f>IF(B195="","",IF(OR(L195="A",L195="B"),"نعم","لا"))</f>
        <v/>
      </c>
    </row>
    <row r="196">
      <c r="A196" s="39">
        <f>IF(B196="","","MAR-"&amp;TEXT(ROW()-4,"0000"))</f>
        <v/>
      </c>
      <c r="B196" s="50" t="n"/>
      <c r="C196" s="49">
        <f>IF(B196="","",IFERROR(INDEX('المشروعات'!$B$5:$B$304,MATCH(B196,'المشروعات'!$A$5:$A$304,0)),""))</f>
        <v/>
      </c>
      <c r="D196" s="40" t="n"/>
      <c r="E196" s="40" t="n"/>
      <c r="F196" s="40" t="n"/>
      <c r="G196" s="40" t="n"/>
      <c r="H196" s="40" t="n"/>
      <c r="I196" s="51" t="n"/>
      <c r="J196" s="47" t="n"/>
      <c r="K196" s="47" t="n"/>
      <c r="L196" s="50" t="n"/>
      <c r="M196" s="49">
        <f>IF(B196="","",IF(L196="","قيد المراجعة",IF(L196="A","معتمد",IF(L196="B","معتمد بملاحظات",IF(L196="C","مرفوض – يعاد التقديم","مرفوض نهائياً")))))</f>
        <v/>
      </c>
      <c r="N196" s="48">
        <f>IF(J196="","",IF(K196="",TODAY(),K196)-J196)</f>
        <v/>
      </c>
      <c r="O196" s="49">
        <f>IF(B196="","",IF(AND(L196="",N(N196)&gt;S_SLA),"متأخر رد الاستشاري",""))</f>
        <v/>
      </c>
      <c r="P196" s="49">
        <f>IF(B196="","",IF(OR(L196="A",L196="B"),"نعم","لا"))</f>
        <v/>
      </c>
    </row>
    <row r="197">
      <c r="A197" s="39">
        <f>IF(B197="","","MAR-"&amp;TEXT(ROW()-4,"0000"))</f>
        <v/>
      </c>
      <c r="B197" s="50" t="n"/>
      <c r="C197" s="49">
        <f>IF(B197="","",IFERROR(INDEX('المشروعات'!$B$5:$B$304,MATCH(B197,'المشروعات'!$A$5:$A$304,0)),""))</f>
        <v/>
      </c>
      <c r="D197" s="40" t="n"/>
      <c r="E197" s="40" t="n"/>
      <c r="F197" s="40" t="n"/>
      <c r="G197" s="40" t="n"/>
      <c r="H197" s="40" t="n"/>
      <c r="I197" s="51" t="n"/>
      <c r="J197" s="47" t="n"/>
      <c r="K197" s="47" t="n"/>
      <c r="L197" s="50" t="n"/>
      <c r="M197" s="49">
        <f>IF(B197="","",IF(L197="","قيد المراجعة",IF(L197="A","معتمد",IF(L197="B","معتمد بملاحظات",IF(L197="C","مرفوض – يعاد التقديم","مرفوض نهائياً")))))</f>
        <v/>
      </c>
      <c r="N197" s="48">
        <f>IF(J197="","",IF(K197="",TODAY(),K197)-J197)</f>
        <v/>
      </c>
      <c r="O197" s="49">
        <f>IF(B197="","",IF(AND(L197="",N(N197)&gt;S_SLA),"متأخر رد الاستشاري",""))</f>
        <v/>
      </c>
      <c r="P197" s="49">
        <f>IF(B197="","",IF(OR(L197="A",L197="B"),"نعم","لا"))</f>
        <v/>
      </c>
    </row>
    <row r="198">
      <c r="A198" s="39">
        <f>IF(B198="","","MAR-"&amp;TEXT(ROW()-4,"0000"))</f>
        <v/>
      </c>
      <c r="B198" s="50" t="n"/>
      <c r="C198" s="49">
        <f>IF(B198="","",IFERROR(INDEX('المشروعات'!$B$5:$B$304,MATCH(B198,'المشروعات'!$A$5:$A$304,0)),""))</f>
        <v/>
      </c>
      <c r="D198" s="40" t="n"/>
      <c r="E198" s="40" t="n"/>
      <c r="F198" s="40" t="n"/>
      <c r="G198" s="40" t="n"/>
      <c r="H198" s="40" t="n"/>
      <c r="I198" s="51" t="n"/>
      <c r="J198" s="47" t="n"/>
      <c r="K198" s="47" t="n"/>
      <c r="L198" s="50" t="n"/>
      <c r="M198" s="49">
        <f>IF(B198="","",IF(L198="","قيد المراجعة",IF(L198="A","معتمد",IF(L198="B","معتمد بملاحظات",IF(L198="C","مرفوض – يعاد التقديم","مرفوض نهائياً")))))</f>
        <v/>
      </c>
      <c r="N198" s="48">
        <f>IF(J198="","",IF(K198="",TODAY(),K198)-J198)</f>
        <v/>
      </c>
      <c r="O198" s="49">
        <f>IF(B198="","",IF(AND(L198="",N(N198)&gt;S_SLA),"متأخر رد الاستشاري",""))</f>
        <v/>
      </c>
      <c r="P198" s="49">
        <f>IF(B198="","",IF(OR(L198="A",L198="B"),"نعم","لا"))</f>
        <v/>
      </c>
    </row>
    <row r="199">
      <c r="A199" s="39">
        <f>IF(B199="","","MAR-"&amp;TEXT(ROW()-4,"0000"))</f>
        <v/>
      </c>
      <c r="B199" s="50" t="n"/>
      <c r="C199" s="49">
        <f>IF(B199="","",IFERROR(INDEX('المشروعات'!$B$5:$B$304,MATCH(B199,'المشروعات'!$A$5:$A$304,0)),""))</f>
        <v/>
      </c>
      <c r="D199" s="40" t="n"/>
      <c r="E199" s="40" t="n"/>
      <c r="F199" s="40" t="n"/>
      <c r="G199" s="40" t="n"/>
      <c r="H199" s="40" t="n"/>
      <c r="I199" s="51" t="n"/>
      <c r="J199" s="47" t="n"/>
      <c r="K199" s="47" t="n"/>
      <c r="L199" s="50" t="n"/>
      <c r="M199" s="49">
        <f>IF(B199="","",IF(L199="","قيد المراجعة",IF(L199="A","معتمد",IF(L199="B","معتمد بملاحظات",IF(L199="C","مرفوض – يعاد التقديم","مرفوض نهائياً")))))</f>
        <v/>
      </c>
      <c r="N199" s="48">
        <f>IF(J199="","",IF(K199="",TODAY(),K199)-J199)</f>
        <v/>
      </c>
      <c r="O199" s="49">
        <f>IF(B199="","",IF(AND(L199="",N(N199)&gt;S_SLA),"متأخر رد الاستشاري",""))</f>
        <v/>
      </c>
      <c r="P199" s="49">
        <f>IF(B199="","",IF(OR(L199="A",L199="B"),"نعم","لا"))</f>
        <v/>
      </c>
    </row>
    <row r="200">
      <c r="A200" s="39">
        <f>IF(B200="","","MAR-"&amp;TEXT(ROW()-4,"0000"))</f>
        <v/>
      </c>
      <c r="B200" s="50" t="n"/>
      <c r="C200" s="49">
        <f>IF(B200="","",IFERROR(INDEX('المشروعات'!$B$5:$B$304,MATCH(B200,'المشروعات'!$A$5:$A$304,0)),""))</f>
        <v/>
      </c>
      <c r="D200" s="40" t="n"/>
      <c r="E200" s="40" t="n"/>
      <c r="F200" s="40" t="n"/>
      <c r="G200" s="40" t="n"/>
      <c r="H200" s="40" t="n"/>
      <c r="I200" s="51" t="n"/>
      <c r="J200" s="47" t="n"/>
      <c r="K200" s="47" t="n"/>
      <c r="L200" s="50" t="n"/>
      <c r="M200" s="49">
        <f>IF(B200="","",IF(L200="","قيد المراجعة",IF(L200="A","معتمد",IF(L200="B","معتمد بملاحظات",IF(L200="C","مرفوض – يعاد التقديم","مرفوض نهائياً")))))</f>
        <v/>
      </c>
      <c r="N200" s="48">
        <f>IF(J200="","",IF(K200="",TODAY(),K200)-J200)</f>
        <v/>
      </c>
      <c r="O200" s="49">
        <f>IF(B200="","",IF(AND(L200="",N(N200)&gt;S_SLA),"متأخر رد الاستشاري",""))</f>
        <v/>
      </c>
      <c r="P200" s="49">
        <f>IF(B200="","",IF(OR(L200="A",L200="B"),"نعم","لا"))</f>
        <v/>
      </c>
    </row>
    <row r="201">
      <c r="A201" s="39">
        <f>IF(B201="","","MAR-"&amp;TEXT(ROW()-4,"0000"))</f>
        <v/>
      </c>
      <c r="B201" s="50" t="n"/>
      <c r="C201" s="49">
        <f>IF(B201="","",IFERROR(INDEX('المشروعات'!$B$5:$B$304,MATCH(B201,'المشروعات'!$A$5:$A$304,0)),""))</f>
        <v/>
      </c>
      <c r="D201" s="40" t="n"/>
      <c r="E201" s="40" t="n"/>
      <c r="F201" s="40" t="n"/>
      <c r="G201" s="40" t="n"/>
      <c r="H201" s="40" t="n"/>
      <c r="I201" s="51" t="n"/>
      <c r="J201" s="47" t="n"/>
      <c r="K201" s="47" t="n"/>
      <c r="L201" s="50" t="n"/>
      <c r="M201" s="49">
        <f>IF(B201="","",IF(L201="","قيد المراجعة",IF(L201="A","معتمد",IF(L201="B","معتمد بملاحظات",IF(L201="C","مرفوض – يعاد التقديم","مرفوض نهائياً")))))</f>
        <v/>
      </c>
      <c r="N201" s="48">
        <f>IF(J201="","",IF(K201="",TODAY(),K201)-J201)</f>
        <v/>
      </c>
      <c r="O201" s="49">
        <f>IF(B201="","",IF(AND(L201="",N(N201)&gt;S_SLA),"متأخر رد الاستشاري",""))</f>
        <v/>
      </c>
      <c r="P201" s="49">
        <f>IF(B201="","",IF(OR(L201="A",L201="B"),"نعم","لا"))</f>
        <v/>
      </c>
    </row>
    <row r="202">
      <c r="A202" s="39">
        <f>IF(B202="","","MAR-"&amp;TEXT(ROW()-4,"0000"))</f>
        <v/>
      </c>
      <c r="B202" s="50" t="n"/>
      <c r="C202" s="49">
        <f>IF(B202="","",IFERROR(INDEX('المشروعات'!$B$5:$B$304,MATCH(B202,'المشروعات'!$A$5:$A$304,0)),""))</f>
        <v/>
      </c>
      <c r="D202" s="40" t="n"/>
      <c r="E202" s="40" t="n"/>
      <c r="F202" s="40" t="n"/>
      <c r="G202" s="40" t="n"/>
      <c r="H202" s="40" t="n"/>
      <c r="I202" s="51" t="n"/>
      <c r="J202" s="47" t="n"/>
      <c r="K202" s="47" t="n"/>
      <c r="L202" s="50" t="n"/>
      <c r="M202" s="49">
        <f>IF(B202="","",IF(L202="","قيد المراجعة",IF(L202="A","معتمد",IF(L202="B","معتمد بملاحظات",IF(L202="C","مرفوض – يعاد التقديم","مرفوض نهائياً")))))</f>
        <v/>
      </c>
      <c r="N202" s="48">
        <f>IF(J202="","",IF(K202="",TODAY(),K202)-J202)</f>
        <v/>
      </c>
      <c r="O202" s="49">
        <f>IF(B202="","",IF(AND(L202="",N(N202)&gt;S_SLA),"متأخر رد الاستشاري",""))</f>
        <v/>
      </c>
      <c r="P202" s="49">
        <f>IF(B202="","",IF(OR(L202="A",L202="B"),"نعم","لا"))</f>
        <v/>
      </c>
    </row>
    <row r="203">
      <c r="A203" s="39">
        <f>IF(B203="","","MAR-"&amp;TEXT(ROW()-4,"0000"))</f>
        <v/>
      </c>
      <c r="B203" s="50" t="n"/>
      <c r="C203" s="49">
        <f>IF(B203="","",IFERROR(INDEX('المشروعات'!$B$5:$B$304,MATCH(B203,'المشروعات'!$A$5:$A$304,0)),""))</f>
        <v/>
      </c>
      <c r="D203" s="40" t="n"/>
      <c r="E203" s="40" t="n"/>
      <c r="F203" s="40" t="n"/>
      <c r="G203" s="40" t="n"/>
      <c r="H203" s="40" t="n"/>
      <c r="I203" s="51" t="n"/>
      <c r="J203" s="47" t="n"/>
      <c r="K203" s="47" t="n"/>
      <c r="L203" s="50" t="n"/>
      <c r="M203" s="49">
        <f>IF(B203="","",IF(L203="","قيد المراجعة",IF(L203="A","معتمد",IF(L203="B","معتمد بملاحظات",IF(L203="C","مرفوض – يعاد التقديم","مرفوض نهائياً")))))</f>
        <v/>
      </c>
      <c r="N203" s="48">
        <f>IF(J203="","",IF(K203="",TODAY(),K203)-J203)</f>
        <v/>
      </c>
      <c r="O203" s="49">
        <f>IF(B203="","",IF(AND(L203="",N(N203)&gt;S_SLA),"متأخر رد الاستشاري",""))</f>
        <v/>
      </c>
      <c r="P203" s="49">
        <f>IF(B203="","",IF(OR(L203="A",L203="B"),"نعم","لا"))</f>
        <v/>
      </c>
    </row>
    <row r="204">
      <c r="A204" s="39">
        <f>IF(B204="","","MAR-"&amp;TEXT(ROW()-4,"0000"))</f>
        <v/>
      </c>
      <c r="B204" s="50" t="n"/>
      <c r="C204" s="49">
        <f>IF(B204="","",IFERROR(INDEX('المشروعات'!$B$5:$B$304,MATCH(B204,'المشروعات'!$A$5:$A$304,0)),""))</f>
        <v/>
      </c>
      <c r="D204" s="40" t="n"/>
      <c r="E204" s="40" t="n"/>
      <c r="F204" s="40" t="n"/>
      <c r="G204" s="40" t="n"/>
      <c r="H204" s="40" t="n"/>
      <c r="I204" s="51" t="n"/>
      <c r="J204" s="47" t="n"/>
      <c r="K204" s="47" t="n"/>
      <c r="L204" s="50" t="n"/>
      <c r="M204" s="49">
        <f>IF(B204="","",IF(L204="","قيد المراجعة",IF(L204="A","معتمد",IF(L204="B","معتمد بملاحظات",IF(L204="C","مرفوض – يعاد التقديم","مرفوض نهائياً")))))</f>
        <v/>
      </c>
      <c r="N204" s="48">
        <f>IF(J204="","",IF(K204="",TODAY(),K204)-J204)</f>
        <v/>
      </c>
      <c r="O204" s="49">
        <f>IF(B204="","",IF(AND(L204="",N(N204)&gt;S_SLA),"متأخر رد الاستشاري",""))</f>
        <v/>
      </c>
      <c r="P204" s="49">
        <f>IF(B204="","",IF(OR(L204="A",L204="B"),"نعم","لا"))</f>
        <v/>
      </c>
    </row>
    <row r="205">
      <c r="A205" s="39">
        <f>IF(B205="","","MAR-"&amp;TEXT(ROW()-4,"0000"))</f>
        <v/>
      </c>
      <c r="B205" s="50" t="n"/>
      <c r="C205" s="49">
        <f>IF(B205="","",IFERROR(INDEX('المشروعات'!$B$5:$B$304,MATCH(B205,'المشروعات'!$A$5:$A$304,0)),""))</f>
        <v/>
      </c>
      <c r="D205" s="40" t="n"/>
      <c r="E205" s="40" t="n"/>
      <c r="F205" s="40" t="n"/>
      <c r="G205" s="40" t="n"/>
      <c r="H205" s="40" t="n"/>
      <c r="I205" s="51" t="n"/>
      <c r="J205" s="47" t="n"/>
      <c r="K205" s="47" t="n"/>
      <c r="L205" s="50" t="n"/>
      <c r="M205" s="49">
        <f>IF(B205="","",IF(L205="","قيد المراجعة",IF(L205="A","معتمد",IF(L205="B","معتمد بملاحظات",IF(L205="C","مرفوض – يعاد التقديم","مرفوض نهائياً")))))</f>
        <v/>
      </c>
      <c r="N205" s="48">
        <f>IF(J205="","",IF(K205="",TODAY(),K205)-J205)</f>
        <v/>
      </c>
      <c r="O205" s="49">
        <f>IF(B205="","",IF(AND(L205="",N(N205)&gt;S_SLA),"متأخر رد الاستشاري",""))</f>
        <v/>
      </c>
      <c r="P205" s="49">
        <f>IF(B205="","",IF(OR(L205="A",L205="B"),"نعم","لا"))</f>
        <v/>
      </c>
    </row>
    <row r="206">
      <c r="A206" s="39">
        <f>IF(B206="","","MAR-"&amp;TEXT(ROW()-4,"0000"))</f>
        <v/>
      </c>
      <c r="B206" s="50" t="n"/>
      <c r="C206" s="49">
        <f>IF(B206="","",IFERROR(INDEX('المشروعات'!$B$5:$B$304,MATCH(B206,'المشروعات'!$A$5:$A$304,0)),""))</f>
        <v/>
      </c>
      <c r="D206" s="40" t="n"/>
      <c r="E206" s="40" t="n"/>
      <c r="F206" s="40" t="n"/>
      <c r="G206" s="40" t="n"/>
      <c r="H206" s="40" t="n"/>
      <c r="I206" s="51" t="n"/>
      <c r="J206" s="47" t="n"/>
      <c r="K206" s="47" t="n"/>
      <c r="L206" s="50" t="n"/>
      <c r="M206" s="49">
        <f>IF(B206="","",IF(L206="","قيد المراجعة",IF(L206="A","معتمد",IF(L206="B","معتمد بملاحظات",IF(L206="C","مرفوض – يعاد التقديم","مرفوض نهائياً")))))</f>
        <v/>
      </c>
      <c r="N206" s="48">
        <f>IF(J206="","",IF(K206="",TODAY(),K206)-J206)</f>
        <v/>
      </c>
      <c r="O206" s="49">
        <f>IF(B206="","",IF(AND(L206="",N(N206)&gt;S_SLA),"متأخر رد الاستشاري",""))</f>
        <v/>
      </c>
      <c r="P206" s="49">
        <f>IF(B206="","",IF(OR(L206="A",L206="B"),"نعم","لا"))</f>
        <v/>
      </c>
    </row>
    <row r="207">
      <c r="A207" s="39">
        <f>IF(B207="","","MAR-"&amp;TEXT(ROW()-4,"0000"))</f>
        <v/>
      </c>
      <c r="B207" s="50" t="n"/>
      <c r="C207" s="49">
        <f>IF(B207="","",IFERROR(INDEX('المشروعات'!$B$5:$B$304,MATCH(B207,'المشروعات'!$A$5:$A$304,0)),""))</f>
        <v/>
      </c>
      <c r="D207" s="40" t="n"/>
      <c r="E207" s="40" t="n"/>
      <c r="F207" s="40" t="n"/>
      <c r="G207" s="40" t="n"/>
      <c r="H207" s="40" t="n"/>
      <c r="I207" s="51" t="n"/>
      <c r="J207" s="47" t="n"/>
      <c r="K207" s="47" t="n"/>
      <c r="L207" s="50" t="n"/>
      <c r="M207" s="49">
        <f>IF(B207="","",IF(L207="","قيد المراجعة",IF(L207="A","معتمد",IF(L207="B","معتمد بملاحظات",IF(L207="C","مرفوض – يعاد التقديم","مرفوض نهائياً")))))</f>
        <v/>
      </c>
      <c r="N207" s="48">
        <f>IF(J207="","",IF(K207="",TODAY(),K207)-J207)</f>
        <v/>
      </c>
      <c r="O207" s="49">
        <f>IF(B207="","",IF(AND(L207="",N(N207)&gt;S_SLA),"متأخر رد الاستشاري",""))</f>
        <v/>
      </c>
      <c r="P207" s="49">
        <f>IF(B207="","",IF(OR(L207="A",L207="B"),"نعم","لا"))</f>
        <v/>
      </c>
    </row>
    <row r="208">
      <c r="A208" s="39">
        <f>IF(B208="","","MAR-"&amp;TEXT(ROW()-4,"0000"))</f>
        <v/>
      </c>
      <c r="B208" s="50" t="n"/>
      <c r="C208" s="49">
        <f>IF(B208="","",IFERROR(INDEX('المشروعات'!$B$5:$B$304,MATCH(B208,'المشروعات'!$A$5:$A$304,0)),""))</f>
        <v/>
      </c>
      <c r="D208" s="40" t="n"/>
      <c r="E208" s="40" t="n"/>
      <c r="F208" s="40" t="n"/>
      <c r="G208" s="40" t="n"/>
      <c r="H208" s="40" t="n"/>
      <c r="I208" s="51" t="n"/>
      <c r="J208" s="47" t="n"/>
      <c r="K208" s="47" t="n"/>
      <c r="L208" s="50" t="n"/>
      <c r="M208" s="49">
        <f>IF(B208="","",IF(L208="","قيد المراجعة",IF(L208="A","معتمد",IF(L208="B","معتمد بملاحظات",IF(L208="C","مرفوض – يعاد التقديم","مرفوض نهائياً")))))</f>
        <v/>
      </c>
      <c r="N208" s="48">
        <f>IF(J208="","",IF(K208="",TODAY(),K208)-J208)</f>
        <v/>
      </c>
      <c r="O208" s="49">
        <f>IF(B208="","",IF(AND(L208="",N(N208)&gt;S_SLA),"متأخر رد الاستشاري",""))</f>
        <v/>
      </c>
      <c r="P208" s="49">
        <f>IF(B208="","",IF(OR(L208="A",L208="B"),"نعم","لا"))</f>
        <v/>
      </c>
    </row>
    <row r="209">
      <c r="A209" s="39">
        <f>IF(B209="","","MAR-"&amp;TEXT(ROW()-4,"0000"))</f>
        <v/>
      </c>
      <c r="B209" s="50" t="n"/>
      <c r="C209" s="49">
        <f>IF(B209="","",IFERROR(INDEX('المشروعات'!$B$5:$B$304,MATCH(B209,'المشروعات'!$A$5:$A$304,0)),""))</f>
        <v/>
      </c>
      <c r="D209" s="40" t="n"/>
      <c r="E209" s="40" t="n"/>
      <c r="F209" s="40" t="n"/>
      <c r="G209" s="40" t="n"/>
      <c r="H209" s="40" t="n"/>
      <c r="I209" s="51" t="n"/>
      <c r="J209" s="47" t="n"/>
      <c r="K209" s="47" t="n"/>
      <c r="L209" s="50" t="n"/>
      <c r="M209" s="49">
        <f>IF(B209="","",IF(L209="","قيد المراجعة",IF(L209="A","معتمد",IF(L209="B","معتمد بملاحظات",IF(L209="C","مرفوض – يعاد التقديم","مرفوض نهائياً")))))</f>
        <v/>
      </c>
      <c r="N209" s="48">
        <f>IF(J209="","",IF(K209="",TODAY(),K209)-J209)</f>
        <v/>
      </c>
      <c r="O209" s="49">
        <f>IF(B209="","",IF(AND(L209="",N(N209)&gt;S_SLA),"متأخر رد الاستشاري",""))</f>
        <v/>
      </c>
      <c r="P209" s="49">
        <f>IF(B209="","",IF(OR(L209="A",L209="B"),"نعم","لا"))</f>
        <v/>
      </c>
    </row>
    <row r="210">
      <c r="A210" s="39">
        <f>IF(B210="","","MAR-"&amp;TEXT(ROW()-4,"0000"))</f>
        <v/>
      </c>
      <c r="B210" s="50" t="n"/>
      <c r="C210" s="49">
        <f>IF(B210="","",IFERROR(INDEX('المشروعات'!$B$5:$B$304,MATCH(B210,'المشروعات'!$A$5:$A$304,0)),""))</f>
        <v/>
      </c>
      <c r="D210" s="40" t="n"/>
      <c r="E210" s="40" t="n"/>
      <c r="F210" s="40" t="n"/>
      <c r="G210" s="40" t="n"/>
      <c r="H210" s="40" t="n"/>
      <c r="I210" s="51" t="n"/>
      <c r="J210" s="47" t="n"/>
      <c r="K210" s="47" t="n"/>
      <c r="L210" s="50" t="n"/>
      <c r="M210" s="49">
        <f>IF(B210="","",IF(L210="","قيد المراجعة",IF(L210="A","معتمد",IF(L210="B","معتمد بملاحظات",IF(L210="C","مرفوض – يعاد التقديم","مرفوض نهائياً")))))</f>
        <v/>
      </c>
      <c r="N210" s="48">
        <f>IF(J210="","",IF(K210="",TODAY(),K210)-J210)</f>
        <v/>
      </c>
      <c r="O210" s="49">
        <f>IF(B210="","",IF(AND(L210="",N(N210)&gt;S_SLA),"متأخر رد الاستشاري",""))</f>
        <v/>
      </c>
      <c r="P210" s="49">
        <f>IF(B210="","",IF(OR(L210="A",L210="B"),"نعم","لا"))</f>
        <v/>
      </c>
    </row>
    <row r="211">
      <c r="A211" s="39">
        <f>IF(B211="","","MAR-"&amp;TEXT(ROW()-4,"0000"))</f>
        <v/>
      </c>
      <c r="B211" s="50" t="n"/>
      <c r="C211" s="49">
        <f>IF(B211="","",IFERROR(INDEX('المشروعات'!$B$5:$B$304,MATCH(B211,'المشروعات'!$A$5:$A$304,0)),""))</f>
        <v/>
      </c>
      <c r="D211" s="40" t="n"/>
      <c r="E211" s="40" t="n"/>
      <c r="F211" s="40" t="n"/>
      <c r="G211" s="40" t="n"/>
      <c r="H211" s="40" t="n"/>
      <c r="I211" s="51" t="n"/>
      <c r="J211" s="47" t="n"/>
      <c r="K211" s="47" t="n"/>
      <c r="L211" s="50" t="n"/>
      <c r="M211" s="49">
        <f>IF(B211="","",IF(L211="","قيد المراجعة",IF(L211="A","معتمد",IF(L211="B","معتمد بملاحظات",IF(L211="C","مرفوض – يعاد التقديم","مرفوض نهائياً")))))</f>
        <v/>
      </c>
      <c r="N211" s="48">
        <f>IF(J211="","",IF(K211="",TODAY(),K211)-J211)</f>
        <v/>
      </c>
      <c r="O211" s="49">
        <f>IF(B211="","",IF(AND(L211="",N(N211)&gt;S_SLA),"متأخر رد الاستشاري",""))</f>
        <v/>
      </c>
      <c r="P211" s="49">
        <f>IF(B211="","",IF(OR(L211="A",L211="B"),"نعم","لا"))</f>
        <v/>
      </c>
    </row>
    <row r="212">
      <c r="A212" s="39">
        <f>IF(B212="","","MAR-"&amp;TEXT(ROW()-4,"0000"))</f>
        <v/>
      </c>
      <c r="B212" s="50" t="n"/>
      <c r="C212" s="49">
        <f>IF(B212="","",IFERROR(INDEX('المشروعات'!$B$5:$B$304,MATCH(B212,'المشروعات'!$A$5:$A$304,0)),""))</f>
        <v/>
      </c>
      <c r="D212" s="40" t="n"/>
      <c r="E212" s="40" t="n"/>
      <c r="F212" s="40" t="n"/>
      <c r="G212" s="40" t="n"/>
      <c r="H212" s="40" t="n"/>
      <c r="I212" s="51" t="n"/>
      <c r="J212" s="47" t="n"/>
      <c r="K212" s="47" t="n"/>
      <c r="L212" s="50" t="n"/>
      <c r="M212" s="49">
        <f>IF(B212="","",IF(L212="","قيد المراجعة",IF(L212="A","معتمد",IF(L212="B","معتمد بملاحظات",IF(L212="C","مرفوض – يعاد التقديم","مرفوض نهائياً")))))</f>
        <v/>
      </c>
      <c r="N212" s="48">
        <f>IF(J212="","",IF(K212="",TODAY(),K212)-J212)</f>
        <v/>
      </c>
      <c r="O212" s="49">
        <f>IF(B212="","",IF(AND(L212="",N(N212)&gt;S_SLA),"متأخر رد الاستشاري",""))</f>
        <v/>
      </c>
      <c r="P212" s="49">
        <f>IF(B212="","",IF(OR(L212="A",L212="B"),"نعم","لا"))</f>
        <v/>
      </c>
    </row>
    <row r="213">
      <c r="A213" s="39">
        <f>IF(B213="","","MAR-"&amp;TEXT(ROW()-4,"0000"))</f>
        <v/>
      </c>
      <c r="B213" s="50" t="n"/>
      <c r="C213" s="49">
        <f>IF(B213="","",IFERROR(INDEX('المشروعات'!$B$5:$B$304,MATCH(B213,'المشروعات'!$A$5:$A$304,0)),""))</f>
        <v/>
      </c>
      <c r="D213" s="40" t="n"/>
      <c r="E213" s="40" t="n"/>
      <c r="F213" s="40" t="n"/>
      <c r="G213" s="40" t="n"/>
      <c r="H213" s="40" t="n"/>
      <c r="I213" s="51" t="n"/>
      <c r="J213" s="47" t="n"/>
      <c r="K213" s="47" t="n"/>
      <c r="L213" s="50" t="n"/>
      <c r="M213" s="49">
        <f>IF(B213="","",IF(L213="","قيد المراجعة",IF(L213="A","معتمد",IF(L213="B","معتمد بملاحظات",IF(L213="C","مرفوض – يعاد التقديم","مرفوض نهائياً")))))</f>
        <v/>
      </c>
      <c r="N213" s="48">
        <f>IF(J213="","",IF(K213="",TODAY(),K213)-J213)</f>
        <v/>
      </c>
      <c r="O213" s="49">
        <f>IF(B213="","",IF(AND(L213="",N(N213)&gt;S_SLA),"متأخر رد الاستشاري",""))</f>
        <v/>
      </c>
      <c r="P213" s="49">
        <f>IF(B213="","",IF(OR(L213="A",L213="B"),"نعم","لا"))</f>
        <v/>
      </c>
    </row>
    <row r="214">
      <c r="A214" s="39">
        <f>IF(B214="","","MAR-"&amp;TEXT(ROW()-4,"0000"))</f>
        <v/>
      </c>
      <c r="B214" s="50" t="n"/>
      <c r="C214" s="49">
        <f>IF(B214="","",IFERROR(INDEX('المشروعات'!$B$5:$B$304,MATCH(B214,'المشروعات'!$A$5:$A$304,0)),""))</f>
        <v/>
      </c>
      <c r="D214" s="40" t="n"/>
      <c r="E214" s="40" t="n"/>
      <c r="F214" s="40" t="n"/>
      <c r="G214" s="40" t="n"/>
      <c r="H214" s="40" t="n"/>
      <c r="I214" s="51" t="n"/>
      <c r="J214" s="47" t="n"/>
      <c r="K214" s="47" t="n"/>
      <c r="L214" s="50" t="n"/>
      <c r="M214" s="49">
        <f>IF(B214="","",IF(L214="","قيد المراجعة",IF(L214="A","معتمد",IF(L214="B","معتمد بملاحظات",IF(L214="C","مرفوض – يعاد التقديم","مرفوض نهائياً")))))</f>
        <v/>
      </c>
      <c r="N214" s="48">
        <f>IF(J214="","",IF(K214="",TODAY(),K214)-J214)</f>
        <v/>
      </c>
      <c r="O214" s="49">
        <f>IF(B214="","",IF(AND(L214="",N(N214)&gt;S_SLA),"متأخر رد الاستشاري",""))</f>
        <v/>
      </c>
      <c r="P214" s="49">
        <f>IF(B214="","",IF(OR(L214="A",L214="B"),"نعم","لا"))</f>
        <v/>
      </c>
    </row>
    <row r="215">
      <c r="A215" s="39">
        <f>IF(B215="","","MAR-"&amp;TEXT(ROW()-4,"0000"))</f>
        <v/>
      </c>
      <c r="B215" s="50" t="n"/>
      <c r="C215" s="49">
        <f>IF(B215="","",IFERROR(INDEX('المشروعات'!$B$5:$B$304,MATCH(B215,'المشروعات'!$A$5:$A$304,0)),""))</f>
        <v/>
      </c>
      <c r="D215" s="40" t="n"/>
      <c r="E215" s="40" t="n"/>
      <c r="F215" s="40" t="n"/>
      <c r="G215" s="40" t="n"/>
      <c r="H215" s="40" t="n"/>
      <c r="I215" s="51" t="n"/>
      <c r="J215" s="47" t="n"/>
      <c r="K215" s="47" t="n"/>
      <c r="L215" s="50" t="n"/>
      <c r="M215" s="49">
        <f>IF(B215="","",IF(L215="","قيد المراجعة",IF(L215="A","معتمد",IF(L215="B","معتمد بملاحظات",IF(L215="C","مرفوض – يعاد التقديم","مرفوض نهائياً")))))</f>
        <v/>
      </c>
      <c r="N215" s="48">
        <f>IF(J215="","",IF(K215="",TODAY(),K215)-J215)</f>
        <v/>
      </c>
      <c r="O215" s="49">
        <f>IF(B215="","",IF(AND(L215="",N(N215)&gt;S_SLA),"متأخر رد الاستشاري",""))</f>
        <v/>
      </c>
      <c r="P215" s="49">
        <f>IF(B215="","",IF(OR(L215="A",L215="B"),"نعم","لا"))</f>
        <v/>
      </c>
    </row>
    <row r="216">
      <c r="A216" s="39">
        <f>IF(B216="","","MAR-"&amp;TEXT(ROW()-4,"0000"))</f>
        <v/>
      </c>
      <c r="B216" s="50" t="n"/>
      <c r="C216" s="49">
        <f>IF(B216="","",IFERROR(INDEX('المشروعات'!$B$5:$B$304,MATCH(B216,'المشروعات'!$A$5:$A$304,0)),""))</f>
        <v/>
      </c>
      <c r="D216" s="40" t="n"/>
      <c r="E216" s="40" t="n"/>
      <c r="F216" s="40" t="n"/>
      <c r="G216" s="40" t="n"/>
      <c r="H216" s="40" t="n"/>
      <c r="I216" s="51" t="n"/>
      <c r="J216" s="47" t="n"/>
      <c r="K216" s="47" t="n"/>
      <c r="L216" s="50" t="n"/>
      <c r="M216" s="49">
        <f>IF(B216="","",IF(L216="","قيد المراجعة",IF(L216="A","معتمد",IF(L216="B","معتمد بملاحظات",IF(L216="C","مرفوض – يعاد التقديم","مرفوض نهائياً")))))</f>
        <v/>
      </c>
      <c r="N216" s="48">
        <f>IF(J216="","",IF(K216="",TODAY(),K216)-J216)</f>
        <v/>
      </c>
      <c r="O216" s="49">
        <f>IF(B216="","",IF(AND(L216="",N(N216)&gt;S_SLA),"متأخر رد الاستشاري",""))</f>
        <v/>
      </c>
      <c r="P216" s="49">
        <f>IF(B216="","",IF(OR(L216="A",L216="B"),"نعم","لا"))</f>
        <v/>
      </c>
    </row>
    <row r="217">
      <c r="A217" s="39">
        <f>IF(B217="","","MAR-"&amp;TEXT(ROW()-4,"0000"))</f>
        <v/>
      </c>
      <c r="B217" s="50" t="n"/>
      <c r="C217" s="49">
        <f>IF(B217="","",IFERROR(INDEX('المشروعات'!$B$5:$B$304,MATCH(B217,'المشروعات'!$A$5:$A$304,0)),""))</f>
        <v/>
      </c>
      <c r="D217" s="40" t="n"/>
      <c r="E217" s="40" t="n"/>
      <c r="F217" s="40" t="n"/>
      <c r="G217" s="40" t="n"/>
      <c r="H217" s="40" t="n"/>
      <c r="I217" s="51" t="n"/>
      <c r="J217" s="47" t="n"/>
      <c r="K217" s="47" t="n"/>
      <c r="L217" s="50" t="n"/>
      <c r="M217" s="49">
        <f>IF(B217="","",IF(L217="","قيد المراجعة",IF(L217="A","معتمد",IF(L217="B","معتمد بملاحظات",IF(L217="C","مرفوض – يعاد التقديم","مرفوض نهائياً")))))</f>
        <v/>
      </c>
      <c r="N217" s="48">
        <f>IF(J217="","",IF(K217="",TODAY(),K217)-J217)</f>
        <v/>
      </c>
      <c r="O217" s="49">
        <f>IF(B217="","",IF(AND(L217="",N(N217)&gt;S_SLA),"متأخر رد الاستشاري",""))</f>
        <v/>
      </c>
      <c r="P217" s="49">
        <f>IF(B217="","",IF(OR(L217="A",L217="B"),"نعم","لا"))</f>
        <v/>
      </c>
    </row>
    <row r="218">
      <c r="A218" s="39">
        <f>IF(B218="","","MAR-"&amp;TEXT(ROW()-4,"0000"))</f>
        <v/>
      </c>
      <c r="B218" s="50" t="n"/>
      <c r="C218" s="49">
        <f>IF(B218="","",IFERROR(INDEX('المشروعات'!$B$5:$B$304,MATCH(B218,'المشروعات'!$A$5:$A$304,0)),""))</f>
        <v/>
      </c>
      <c r="D218" s="40" t="n"/>
      <c r="E218" s="40" t="n"/>
      <c r="F218" s="40" t="n"/>
      <c r="G218" s="40" t="n"/>
      <c r="H218" s="40" t="n"/>
      <c r="I218" s="51" t="n"/>
      <c r="J218" s="47" t="n"/>
      <c r="K218" s="47" t="n"/>
      <c r="L218" s="50" t="n"/>
      <c r="M218" s="49">
        <f>IF(B218="","",IF(L218="","قيد المراجعة",IF(L218="A","معتمد",IF(L218="B","معتمد بملاحظات",IF(L218="C","مرفوض – يعاد التقديم","مرفوض نهائياً")))))</f>
        <v/>
      </c>
      <c r="N218" s="48">
        <f>IF(J218="","",IF(K218="",TODAY(),K218)-J218)</f>
        <v/>
      </c>
      <c r="O218" s="49">
        <f>IF(B218="","",IF(AND(L218="",N(N218)&gt;S_SLA),"متأخر رد الاستشاري",""))</f>
        <v/>
      </c>
      <c r="P218" s="49">
        <f>IF(B218="","",IF(OR(L218="A",L218="B"),"نعم","لا"))</f>
        <v/>
      </c>
    </row>
    <row r="219">
      <c r="A219" s="39">
        <f>IF(B219="","","MAR-"&amp;TEXT(ROW()-4,"0000"))</f>
        <v/>
      </c>
      <c r="B219" s="50" t="n"/>
      <c r="C219" s="49">
        <f>IF(B219="","",IFERROR(INDEX('المشروعات'!$B$5:$B$304,MATCH(B219,'المشروعات'!$A$5:$A$304,0)),""))</f>
        <v/>
      </c>
      <c r="D219" s="40" t="n"/>
      <c r="E219" s="40" t="n"/>
      <c r="F219" s="40" t="n"/>
      <c r="G219" s="40" t="n"/>
      <c r="H219" s="40" t="n"/>
      <c r="I219" s="51" t="n"/>
      <c r="J219" s="47" t="n"/>
      <c r="K219" s="47" t="n"/>
      <c r="L219" s="50" t="n"/>
      <c r="M219" s="49">
        <f>IF(B219="","",IF(L219="","قيد المراجعة",IF(L219="A","معتمد",IF(L219="B","معتمد بملاحظات",IF(L219="C","مرفوض – يعاد التقديم","مرفوض نهائياً")))))</f>
        <v/>
      </c>
      <c r="N219" s="48">
        <f>IF(J219="","",IF(K219="",TODAY(),K219)-J219)</f>
        <v/>
      </c>
      <c r="O219" s="49">
        <f>IF(B219="","",IF(AND(L219="",N(N219)&gt;S_SLA),"متأخر رد الاستشاري",""))</f>
        <v/>
      </c>
      <c r="P219" s="49">
        <f>IF(B219="","",IF(OR(L219="A",L219="B"),"نعم","لا"))</f>
        <v/>
      </c>
    </row>
    <row r="220">
      <c r="A220" s="39">
        <f>IF(B220="","","MAR-"&amp;TEXT(ROW()-4,"0000"))</f>
        <v/>
      </c>
      <c r="B220" s="50" t="n"/>
      <c r="C220" s="49">
        <f>IF(B220="","",IFERROR(INDEX('المشروعات'!$B$5:$B$304,MATCH(B220,'المشروعات'!$A$5:$A$304,0)),""))</f>
        <v/>
      </c>
      <c r="D220" s="40" t="n"/>
      <c r="E220" s="40" t="n"/>
      <c r="F220" s="40" t="n"/>
      <c r="G220" s="40" t="n"/>
      <c r="H220" s="40" t="n"/>
      <c r="I220" s="51" t="n"/>
      <c r="J220" s="47" t="n"/>
      <c r="K220" s="47" t="n"/>
      <c r="L220" s="50" t="n"/>
      <c r="M220" s="49">
        <f>IF(B220="","",IF(L220="","قيد المراجعة",IF(L220="A","معتمد",IF(L220="B","معتمد بملاحظات",IF(L220="C","مرفوض – يعاد التقديم","مرفوض نهائياً")))))</f>
        <v/>
      </c>
      <c r="N220" s="48">
        <f>IF(J220="","",IF(K220="",TODAY(),K220)-J220)</f>
        <v/>
      </c>
      <c r="O220" s="49">
        <f>IF(B220="","",IF(AND(L220="",N(N220)&gt;S_SLA),"متأخر رد الاستشاري",""))</f>
        <v/>
      </c>
      <c r="P220" s="49">
        <f>IF(B220="","",IF(OR(L220="A",L220="B"),"نعم","لا"))</f>
        <v/>
      </c>
    </row>
    <row r="221">
      <c r="A221" s="39">
        <f>IF(B221="","","MAR-"&amp;TEXT(ROW()-4,"0000"))</f>
        <v/>
      </c>
      <c r="B221" s="50" t="n"/>
      <c r="C221" s="49">
        <f>IF(B221="","",IFERROR(INDEX('المشروعات'!$B$5:$B$304,MATCH(B221,'المشروعات'!$A$5:$A$304,0)),""))</f>
        <v/>
      </c>
      <c r="D221" s="40" t="n"/>
      <c r="E221" s="40" t="n"/>
      <c r="F221" s="40" t="n"/>
      <c r="G221" s="40" t="n"/>
      <c r="H221" s="40" t="n"/>
      <c r="I221" s="51" t="n"/>
      <c r="J221" s="47" t="n"/>
      <c r="K221" s="47" t="n"/>
      <c r="L221" s="50" t="n"/>
      <c r="M221" s="49">
        <f>IF(B221="","",IF(L221="","قيد المراجعة",IF(L221="A","معتمد",IF(L221="B","معتمد بملاحظات",IF(L221="C","مرفوض – يعاد التقديم","مرفوض نهائياً")))))</f>
        <v/>
      </c>
      <c r="N221" s="48">
        <f>IF(J221="","",IF(K221="",TODAY(),K221)-J221)</f>
        <v/>
      </c>
      <c r="O221" s="49">
        <f>IF(B221="","",IF(AND(L221="",N(N221)&gt;S_SLA),"متأخر رد الاستشاري",""))</f>
        <v/>
      </c>
      <c r="P221" s="49">
        <f>IF(B221="","",IF(OR(L221="A",L221="B"),"نعم","لا"))</f>
        <v/>
      </c>
    </row>
    <row r="222">
      <c r="A222" s="39">
        <f>IF(B222="","","MAR-"&amp;TEXT(ROW()-4,"0000"))</f>
        <v/>
      </c>
      <c r="B222" s="50" t="n"/>
      <c r="C222" s="49">
        <f>IF(B222="","",IFERROR(INDEX('المشروعات'!$B$5:$B$304,MATCH(B222,'المشروعات'!$A$5:$A$304,0)),""))</f>
        <v/>
      </c>
      <c r="D222" s="40" t="n"/>
      <c r="E222" s="40" t="n"/>
      <c r="F222" s="40" t="n"/>
      <c r="G222" s="40" t="n"/>
      <c r="H222" s="40" t="n"/>
      <c r="I222" s="51" t="n"/>
      <c r="J222" s="47" t="n"/>
      <c r="K222" s="47" t="n"/>
      <c r="L222" s="50" t="n"/>
      <c r="M222" s="49">
        <f>IF(B222="","",IF(L222="","قيد المراجعة",IF(L222="A","معتمد",IF(L222="B","معتمد بملاحظات",IF(L222="C","مرفوض – يعاد التقديم","مرفوض نهائياً")))))</f>
        <v/>
      </c>
      <c r="N222" s="48">
        <f>IF(J222="","",IF(K222="",TODAY(),K222)-J222)</f>
        <v/>
      </c>
      <c r="O222" s="49">
        <f>IF(B222="","",IF(AND(L222="",N(N222)&gt;S_SLA),"متأخر رد الاستشاري",""))</f>
        <v/>
      </c>
      <c r="P222" s="49">
        <f>IF(B222="","",IF(OR(L222="A",L222="B"),"نعم","لا"))</f>
        <v/>
      </c>
    </row>
    <row r="223">
      <c r="A223" s="39">
        <f>IF(B223="","","MAR-"&amp;TEXT(ROW()-4,"0000"))</f>
        <v/>
      </c>
      <c r="B223" s="50" t="n"/>
      <c r="C223" s="49">
        <f>IF(B223="","",IFERROR(INDEX('المشروعات'!$B$5:$B$304,MATCH(B223,'المشروعات'!$A$5:$A$304,0)),""))</f>
        <v/>
      </c>
      <c r="D223" s="40" t="n"/>
      <c r="E223" s="40" t="n"/>
      <c r="F223" s="40" t="n"/>
      <c r="G223" s="40" t="n"/>
      <c r="H223" s="40" t="n"/>
      <c r="I223" s="51" t="n"/>
      <c r="J223" s="47" t="n"/>
      <c r="K223" s="47" t="n"/>
      <c r="L223" s="50" t="n"/>
      <c r="M223" s="49">
        <f>IF(B223="","",IF(L223="","قيد المراجعة",IF(L223="A","معتمد",IF(L223="B","معتمد بملاحظات",IF(L223="C","مرفوض – يعاد التقديم","مرفوض نهائياً")))))</f>
        <v/>
      </c>
      <c r="N223" s="48">
        <f>IF(J223="","",IF(K223="",TODAY(),K223)-J223)</f>
        <v/>
      </c>
      <c r="O223" s="49">
        <f>IF(B223="","",IF(AND(L223="",N(N223)&gt;S_SLA),"متأخر رد الاستشاري",""))</f>
        <v/>
      </c>
      <c r="P223" s="49">
        <f>IF(B223="","",IF(OR(L223="A",L223="B"),"نعم","لا"))</f>
        <v/>
      </c>
    </row>
    <row r="224">
      <c r="A224" s="39">
        <f>IF(B224="","","MAR-"&amp;TEXT(ROW()-4,"0000"))</f>
        <v/>
      </c>
      <c r="B224" s="50" t="n"/>
      <c r="C224" s="49">
        <f>IF(B224="","",IFERROR(INDEX('المشروعات'!$B$5:$B$304,MATCH(B224,'المشروعات'!$A$5:$A$304,0)),""))</f>
        <v/>
      </c>
      <c r="D224" s="40" t="n"/>
      <c r="E224" s="40" t="n"/>
      <c r="F224" s="40" t="n"/>
      <c r="G224" s="40" t="n"/>
      <c r="H224" s="40" t="n"/>
      <c r="I224" s="51" t="n"/>
      <c r="J224" s="47" t="n"/>
      <c r="K224" s="47" t="n"/>
      <c r="L224" s="50" t="n"/>
      <c r="M224" s="49">
        <f>IF(B224="","",IF(L224="","قيد المراجعة",IF(L224="A","معتمد",IF(L224="B","معتمد بملاحظات",IF(L224="C","مرفوض – يعاد التقديم","مرفوض نهائياً")))))</f>
        <v/>
      </c>
      <c r="N224" s="48">
        <f>IF(J224="","",IF(K224="",TODAY(),K224)-J224)</f>
        <v/>
      </c>
      <c r="O224" s="49">
        <f>IF(B224="","",IF(AND(L224="",N(N224)&gt;S_SLA),"متأخر رد الاستشاري",""))</f>
        <v/>
      </c>
      <c r="P224" s="49">
        <f>IF(B224="","",IF(OR(L224="A",L224="B"),"نعم","لا"))</f>
        <v/>
      </c>
    </row>
    <row r="225">
      <c r="A225" s="39">
        <f>IF(B225="","","MAR-"&amp;TEXT(ROW()-4,"0000"))</f>
        <v/>
      </c>
      <c r="B225" s="50" t="n"/>
      <c r="C225" s="49">
        <f>IF(B225="","",IFERROR(INDEX('المشروعات'!$B$5:$B$304,MATCH(B225,'المشروعات'!$A$5:$A$304,0)),""))</f>
        <v/>
      </c>
      <c r="D225" s="40" t="n"/>
      <c r="E225" s="40" t="n"/>
      <c r="F225" s="40" t="n"/>
      <c r="G225" s="40" t="n"/>
      <c r="H225" s="40" t="n"/>
      <c r="I225" s="51" t="n"/>
      <c r="J225" s="47" t="n"/>
      <c r="K225" s="47" t="n"/>
      <c r="L225" s="50" t="n"/>
      <c r="M225" s="49">
        <f>IF(B225="","",IF(L225="","قيد المراجعة",IF(L225="A","معتمد",IF(L225="B","معتمد بملاحظات",IF(L225="C","مرفوض – يعاد التقديم","مرفوض نهائياً")))))</f>
        <v/>
      </c>
      <c r="N225" s="48">
        <f>IF(J225="","",IF(K225="",TODAY(),K225)-J225)</f>
        <v/>
      </c>
      <c r="O225" s="49">
        <f>IF(B225="","",IF(AND(L225="",N(N225)&gt;S_SLA),"متأخر رد الاستشاري",""))</f>
        <v/>
      </c>
      <c r="P225" s="49">
        <f>IF(B225="","",IF(OR(L225="A",L225="B"),"نعم","لا"))</f>
        <v/>
      </c>
    </row>
    <row r="226">
      <c r="A226" s="39">
        <f>IF(B226="","","MAR-"&amp;TEXT(ROW()-4,"0000"))</f>
        <v/>
      </c>
      <c r="B226" s="50" t="n"/>
      <c r="C226" s="49">
        <f>IF(B226="","",IFERROR(INDEX('المشروعات'!$B$5:$B$304,MATCH(B226,'المشروعات'!$A$5:$A$304,0)),""))</f>
        <v/>
      </c>
      <c r="D226" s="40" t="n"/>
      <c r="E226" s="40" t="n"/>
      <c r="F226" s="40" t="n"/>
      <c r="G226" s="40" t="n"/>
      <c r="H226" s="40" t="n"/>
      <c r="I226" s="51" t="n"/>
      <c r="J226" s="47" t="n"/>
      <c r="K226" s="47" t="n"/>
      <c r="L226" s="50" t="n"/>
      <c r="M226" s="49">
        <f>IF(B226="","",IF(L226="","قيد المراجعة",IF(L226="A","معتمد",IF(L226="B","معتمد بملاحظات",IF(L226="C","مرفوض – يعاد التقديم","مرفوض نهائياً")))))</f>
        <v/>
      </c>
      <c r="N226" s="48">
        <f>IF(J226="","",IF(K226="",TODAY(),K226)-J226)</f>
        <v/>
      </c>
      <c r="O226" s="49">
        <f>IF(B226="","",IF(AND(L226="",N(N226)&gt;S_SLA),"متأخر رد الاستشاري",""))</f>
        <v/>
      </c>
      <c r="P226" s="49">
        <f>IF(B226="","",IF(OR(L226="A",L226="B"),"نعم","لا"))</f>
        <v/>
      </c>
    </row>
    <row r="227">
      <c r="A227" s="39">
        <f>IF(B227="","","MAR-"&amp;TEXT(ROW()-4,"0000"))</f>
        <v/>
      </c>
      <c r="B227" s="50" t="n"/>
      <c r="C227" s="49">
        <f>IF(B227="","",IFERROR(INDEX('المشروعات'!$B$5:$B$304,MATCH(B227,'المشروعات'!$A$5:$A$304,0)),""))</f>
        <v/>
      </c>
      <c r="D227" s="40" t="n"/>
      <c r="E227" s="40" t="n"/>
      <c r="F227" s="40" t="n"/>
      <c r="G227" s="40" t="n"/>
      <c r="H227" s="40" t="n"/>
      <c r="I227" s="51" t="n"/>
      <c r="J227" s="47" t="n"/>
      <c r="K227" s="47" t="n"/>
      <c r="L227" s="50" t="n"/>
      <c r="M227" s="49">
        <f>IF(B227="","",IF(L227="","قيد المراجعة",IF(L227="A","معتمد",IF(L227="B","معتمد بملاحظات",IF(L227="C","مرفوض – يعاد التقديم","مرفوض نهائياً")))))</f>
        <v/>
      </c>
      <c r="N227" s="48">
        <f>IF(J227="","",IF(K227="",TODAY(),K227)-J227)</f>
        <v/>
      </c>
      <c r="O227" s="49">
        <f>IF(B227="","",IF(AND(L227="",N(N227)&gt;S_SLA),"متأخر رد الاستشاري",""))</f>
        <v/>
      </c>
      <c r="P227" s="49">
        <f>IF(B227="","",IF(OR(L227="A",L227="B"),"نعم","لا"))</f>
        <v/>
      </c>
    </row>
    <row r="228">
      <c r="A228" s="39">
        <f>IF(B228="","","MAR-"&amp;TEXT(ROW()-4,"0000"))</f>
        <v/>
      </c>
      <c r="B228" s="50" t="n"/>
      <c r="C228" s="49">
        <f>IF(B228="","",IFERROR(INDEX('المشروعات'!$B$5:$B$304,MATCH(B228,'المشروعات'!$A$5:$A$304,0)),""))</f>
        <v/>
      </c>
      <c r="D228" s="40" t="n"/>
      <c r="E228" s="40" t="n"/>
      <c r="F228" s="40" t="n"/>
      <c r="G228" s="40" t="n"/>
      <c r="H228" s="40" t="n"/>
      <c r="I228" s="51" t="n"/>
      <c r="J228" s="47" t="n"/>
      <c r="K228" s="47" t="n"/>
      <c r="L228" s="50" t="n"/>
      <c r="M228" s="49">
        <f>IF(B228="","",IF(L228="","قيد المراجعة",IF(L228="A","معتمد",IF(L228="B","معتمد بملاحظات",IF(L228="C","مرفوض – يعاد التقديم","مرفوض نهائياً")))))</f>
        <v/>
      </c>
      <c r="N228" s="48">
        <f>IF(J228="","",IF(K228="",TODAY(),K228)-J228)</f>
        <v/>
      </c>
      <c r="O228" s="49">
        <f>IF(B228="","",IF(AND(L228="",N(N228)&gt;S_SLA),"متأخر رد الاستشاري",""))</f>
        <v/>
      </c>
      <c r="P228" s="49">
        <f>IF(B228="","",IF(OR(L228="A",L228="B"),"نعم","لا"))</f>
        <v/>
      </c>
    </row>
    <row r="229">
      <c r="A229" s="39">
        <f>IF(B229="","","MAR-"&amp;TEXT(ROW()-4,"0000"))</f>
        <v/>
      </c>
      <c r="B229" s="50" t="n"/>
      <c r="C229" s="49">
        <f>IF(B229="","",IFERROR(INDEX('المشروعات'!$B$5:$B$304,MATCH(B229,'المشروعات'!$A$5:$A$304,0)),""))</f>
        <v/>
      </c>
      <c r="D229" s="40" t="n"/>
      <c r="E229" s="40" t="n"/>
      <c r="F229" s="40" t="n"/>
      <c r="G229" s="40" t="n"/>
      <c r="H229" s="40" t="n"/>
      <c r="I229" s="51" t="n"/>
      <c r="J229" s="47" t="n"/>
      <c r="K229" s="47" t="n"/>
      <c r="L229" s="50" t="n"/>
      <c r="M229" s="49">
        <f>IF(B229="","",IF(L229="","قيد المراجعة",IF(L229="A","معتمد",IF(L229="B","معتمد بملاحظات",IF(L229="C","مرفوض – يعاد التقديم","مرفوض نهائياً")))))</f>
        <v/>
      </c>
      <c r="N229" s="48">
        <f>IF(J229="","",IF(K229="",TODAY(),K229)-J229)</f>
        <v/>
      </c>
      <c r="O229" s="49">
        <f>IF(B229="","",IF(AND(L229="",N(N229)&gt;S_SLA),"متأخر رد الاستشاري",""))</f>
        <v/>
      </c>
      <c r="P229" s="49">
        <f>IF(B229="","",IF(OR(L229="A",L229="B"),"نعم","لا"))</f>
        <v/>
      </c>
    </row>
    <row r="230">
      <c r="A230" s="39">
        <f>IF(B230="","","MAR-"&amp;TEXT(ROW()-4,"0000"))</f>
        <v/>
      </c>
      <c r="B230" s="50" t="n"/>
      <c r="C230" s="49">
        <f>IF(B230="","",IFERROR(INDEX('المشروعات'!$B$5:$B$304,MATCH(B230,'المشروعات'!$A$5:$A$304,0)),""))</f>
        <v/>
      </c>
      <c r="D230" s="40" t="n"/>
      <c r="E230" s="40" t="n"/>
      <c r="F230" s="40" t="n"/>
      <c r="G230" s="40" t="n"/>
      <c r="H230" s="40" t="n"/>
      <c r="I230" s="51" t="n"/>
      <c r="J230" s="47" t="n"/>
      <c r="K230" s="47" t="n"/>
      <c r="L230" s="50" t="n"/>
      <c r="M230" s="49">
        <f>IF(B230="","",IF(L230="","قيد المراجعة",IF(L230="A","معتمد",IF(L230="B","معتمد بملاحظات",IF(L230="C","مرفوض – يعاد التقديم","مرفوض نهائياً")))))</f>
        <v/>
      </c>
      <c r="N230" s="48">
        <f>IF(J230="","",IF(K230="",TODAY(),K230)-J230)</f>
        <v/>
      </c>
      <c r="O230" s="49">
        <f>IF(B230="","",IF(AND(L230="",N(N230)&gt;S_SLA),"متأخر رد الاستشاري",""))</f>
        <v/>
      </c>
      <c r="P230" s="49">
        <f>IF(B230="","",IF(OR(L230="A",L230="B"),"نعم","لا"))</f>
        <v/>
      </c>
    </row>
    <row r="231">
      <c r="A231" s="39">
        <f>IF(B231="","","MAR-"&amp;TEXT(ROW()-4,"0000"))</f>
        <v/>
      </c>
      <c r="B231" s="50" t="n"/>
      <c r="C231" s="49">
        <f>IF(B231="","",IFERROR(INDEX('المشروعات'!$B$5:$B$304,MATCH(B231,'المشروعات'!$A$5:$A$304,0)),""))</f>
        <v/>
      </c>
      <c r="D231" s="40" t="n"/>
      <c r="E231" s="40" t="n"/>
      <c r="F231" s="40" t="n"/>
      <c r="G231" s="40" t="n"/>
      <c r="H231" s="40" t="n"/>
      <c r="I231" s="51" t="n"/>
      <c r="J231" s="47" t="n"/>
      <c r="K231" s="47" t="n"/>
      <c r="L231" s="50" t="n"/>
      <c r="M231" s="49">
        <f>IF(B231="","",IF(L231="","قيد المراجعة",IF(L231="A","معتمد",IF(L231="B","معتمد بملاحظات",IF(L231="C","مرفوض – يعاد التقديم","مرفوض نهائياً")))))</f>
        <v/>
      </c>
      <c r="N231" s="48">
        <f>IF(J231="","",IF(K231="",TODAY(),K231)-J231)</f>
        <v/>
      </c>
      <c r="O231" s="49">
        <f>IF(B231="","",IF(AND(L231="",N(N231)&gt;S_SLA),"متأخر رد الاستشاري",""))</f>
        <v/>
      </c>
      <c r="P231" s="49">
        <f>IF(B231="","",IF(OR(L231="A",L231="B"),"نعم","لا"))</f>
        <v/>
      </c>
    </row>
    <row r="232">
      <c r="A232" s="39">
        <f>IF(B232="","","MAR-"&amp;TEXT(ROW()-4,"0000"))</f>
        <v/>
      </c>
      <c r="B232" s="50" t="n"/>
      <c r="C232" s="49">
        <f>IF(B232="","",IFERROR(INDEX('المشروعات'!$B$5:$B$304,MATCH(B232,'المشروعات'!$A$5:$A$304,0)),""))</f>
        <v/>
      </c>
      <c r="D232" s="40" t="n"/>
      <c r="E232" s="40" t="n"/>
      <c r="F232" s="40" t="n"/>
      <c r="G232" s="40" t="n"/>
      <c r="H232" s="40" t="n"/>
      <c r="I232" s="51" t="n"/>
      <c r="J232" s="47" t="n"/>
      <c r="K232" s="47" t="n"/>
      <c r="L232" s="50" t="n"/>
      <c r="M232" s="49">
        <f>IF(B232="","",IF(L232="","قيد المراجعة",IF(L232="A","معتمد",IF(L232="B","معتمد بملاحظات",IF(L232="C","مرفوض – يعاد التقديم","مرفوض نهائياً")))))</f>
        <v/>
      </c>
      <c r="N232" s="48">
        <f>IF(J232="","",IF(K232="",TODAY(),K232)-J232)</f>
        <v/>
      </c>
      <c r="O232" s="49">
        <f>IF(B232="","",IF(AND(L232="",N(N232)&gt;S_SLA),"متأخر رد الاستشاري",""))</f>
        <v/>
      </c>
      <c r="P232" s="49">
        <f>IF(B232="","",IF(OR(L232="A",L232="B"),"نعم","لا"))</f>
        <v/>
      </c>
    </row>
    <row r="233">
      <c r="A233" s="39">
        <f>IF(B233="","","MAR-"&amp;TEXT(ROW()-4,"0000"))</f>
        <v/>
      </c>
      <c r="B233" s="50" t="n"/>
      <c r="C233" s="49">
        <f>IF(B233="","",IFERROR(INDEX('المشروعات'!$B$5:$B$304,MATCH(B233,'المشروعات'!$A$5:$A$304,0)),""))</f>
        <v/>
      </c>
      <c r="D233" s="40" t="n"/>
      <c r="E233" s="40" t="n"/>
      <c r="F233" s="40" t="n"/>
      <c r="G233" s="40" t="n"/>
      <c r="H233" s="40" t="n"/>
      <c r="I233" s="51" t="n"/>
      <c r="J233" s="47" t="n"/>
      <c r="K233" s="47" t="n"/>
      <c r="L233" s="50" t="n"/>
      <c r="M233" s="49">
        <f>IF(B233="","",IF(L233="","قيد المراجعة",IF(L233="A","معتمد",IF(L233="B","معتمد بملاحظات",IF(L233="C","مرفوض – يعاد التقديم","مرفوض نهائياً")))))</f>
        <v/>
      </c>
      <c r="N233" s="48">
        <f>IF(J233="","",IF(K233="",TODAY(),K233)-J233)</f>
        <v/>
      </c>
      <c r="O233" s="49">
        <f>IF(B233="","",IF(AND(L233="",N(N233)&gt;S_SLA),"متأخر رد الاستشاري",""))</f>
        <v/>
      </c>
      <c r="P233" s="49">
        <f>IF(B233="","",IF(OR(L233="A",L233="B"),"نعم","لا"))</f>
        <v/>
      </c>
    </row>
    <row r="234">
      <c r="A234" s="39">
        <f>IF(B234="","","MAR-"&amp;TEXT(ROW()-4,"0000"))</f>
        <v/>
      </c>
      <c r="B234" s="50" t="n"/>
      <c r="C234" s="49">
        <f>IF(B234="","",IFERROR(INDEX('المشروعات'!$B$5:$B$304,MATCH(B234,'المشروعات'!$A$5:$A$304,0)),""))</f>
        <v/>
      </c>
      <c r="D234" s="40" t="n"/>
      <c r="E234" s="40" t="n"/>
      <c r="F234" s="40" t="n"/>
      <c r="G234" s="40" t="n"/>
      <c r="H234" s="40" t="n"/>
      <c r="I234" s="51" t="n"/>
      <c r="J234" s="47" t="n"/>
      <c r="K234" s="47" t="n"/>
      <c r="L234" s="50" t="n"/>
      <c r="M234" s="49">
        <f>IF(B234="","",IF(L234="","قيد المراجعة",IF(L234="A","معتمد",IF(L234="B","معتمد بملاحظات",IF(L234="C","مرفوض – يعاد التقديم","مرفوض نهائياً")))))</f>
        <v/>
      </c>
      <c r="N234" s="48">
        <f>IF(J234="","",IF(K234="",TODAY(),K234)-J234)</f>
        <v/>
      </c>
      <c r="O234" s="49">
        <f>IF(B234="","",IF(AND(L234="",N(N234)&gt;S_SLA),"متأخر رد الاستشاري",""))</f>
        <v/>
      </c>
      <c r="P234" s="49">
        <f>IF(B234="","",IF(OR(L234="A",L234="B"),"نعم","لا"))</f>
        <v/>
      </c>
    </row>
    <row r="235">
      <c r="A235" s="39">
        <f>IF(B235="","","MAR-"&amp;TEXT(ROW()-4,"0000"))</f>
        <v/>
      </c>
      <c r="B235" s="50" t="n"/>
      <c r="C235" s="49">
        <f>IF(B235="","",IFERROR(INDEX('المشروعات'!$B$5:$B$304,MATCH(B235,'المشروعات'!$A$5:$A$304,0)),""))</f>
        <v/>
      </c>
      <c r="D235" s="40" t="n"/>
      <c r="E235" s="40" t="n"/>
      <c r="F235" s="40" t="n"/>
      <c r="G235" s="40" t="n"/>
      <c r="H235" s="40" t="n"/>
      <c r="I235" s="51" t="n"/>
      <c r="J235" s="47" t="n"/>
      <c r="K235" s="47" t="n"/>
      <c r="L235" s="50" t="n"/>
      <c r="M235" s="49">
        <f>IF(B235="","",IF(L235="","قيد المراجعة",IF(L235="A","معتمد",IF(L235="B","معتمد بملاحظات",IF(L235="C","مرفوض – يعاد التقديم","مرفوض نهائياً")))))</f>
        <v/>
      </c>
      <c r="N235" s="48">
        <f>IF(J235="","",IF(K235="",TODAY(),K235)-J235)</f>
        <v/>
      </c>
      <c r="O235" s="49">
        <f>IF(B235="","",IF(AND(L235="",N(N235)&gt;S_SLA),"متأخر رد الاستشاري",""))</f>
        <v/>
      </c>
      <c r="P235" s="49">
        <f>IF(B235="","",IF(OR(L235="A",L235="B"),"نعم","لا"))</f>
        <v/>
      </c>
    </row>
    <row r="236">
      <c r="A236" s="39">
        <f>IF(B236="","","MAR-"&amp;TEXT(ROW()-4,"0000"))</f>
        <v/>
      </c>
      <c r="B236" s="50" t="n"/>
      <c r="C236" s="49">
        <f>IF(B236="","",IFERROR(INDEX('المشروعات'!$B$5:$B$304,MATCH(B236,'المشروعات'!$A$5:$A$304,0)),""))</f>
        <v/>
      </c>
      <c r="D236" s="40" t="n"/>
      <c r="E236" s="40" t="n"/>
      <c r="F236" s="40" t="n"/>
      <c r="G236" s="40" t="n"/>
      <c r="H236" s="40" t="n"/>
      <c r="I236" s="51" t="n"/>
      <c r="J236" s="47" t="n"/>
      <c r="K236" s="47" t="n"/>
      <c r="L236" s="50" t="n"/>
      <c r="M236" s="49">
        <f>IF(B236="","",IF(L236="","قيد المراجعة",IF(L236="A","معتمد",IF(L236="B","معتمد بملاحظات",IF(L236="C","مرفوض – يعاد التقديم","مرفوض نهائياً")))))</f>
        <v/>
      </c>
      <c r="N236" s="48">
        <f>IF(J236="","",IF(K236="",TODAY(),K236)-J236)</f>
        <v/>
      </c>
      <c r="O236" s="49">
        <f>IF(B236="","",IF(AND(L236="",N(N236)&gt;S_SLA),"متأخر رد الاستشاري",""))</f>
        <v/>
      </c>
      <c r="P236" s="49">
        <f>IF(B236="","",IF(OR(L236="A",L236="B"),"نعم","لا"))</f>
        <v/>
      </c>
    </row>
    <row r="237">
      <c r="A237" s="39">
        <f>IF(B237="","","MAR-"&amp;TEXT(ROW()-4,"0000"))</f>
        <v/>
      </c>
      <c r="B237" s="50" t="n"/>
      <c r="C237" s="49">
        <f>IF(B237="","",IFERROR(INDEX('المشروعات'!$B$5:$B$304,MATCH(B237,'المشروعات'!$A$5:$A$304,0)),""))</f>
        <v/>
      </c>
      <c r="D237" s="40" t="n"/>
      <c r="E237" s="40" t="n"/>
      <c r="F237" s="40" t="n"/>
      <c r="G237" s="40" t="n"/>
      <c r="H237" s="40" t="n"/>
      <c r="I237" s="51" t="n"/>
      <c r="J237" s="47" t="n"/>
      <c r="K237" s="47" t="n"/>
      <c r="L237" s="50" t="n"/>
      <c r="M237" s="49">
        <f>IF(B237="","",IF(L237="","قيد المراجعة",IF(L237="A","معتمد",IF(L237="B","معتمد بملاحظات",IF(L237="C","مرفوض – يعاد التقديم","مرفوض نهائياً")))))</f>
        <v/>
      </c>
      <c r="N237" s="48">
        <f>IF(J237="","",IF(K237="",TODAY(),K237)-J237)</f>
        <v/>
      </c>
      <c r="O237" s="49">
        <f>IF(B237="","",IF(AND(L237="",N(N237)&gt;S_SLA),"متأخر رد الاستشاري",""))</f>
        <v/>
      </c>
      <c r="P237" s="49">
        <f>IF(B237="","",IF(OR(L237="A",L237="B"),"نعم","لا"))</f>
        <v/>
      </c>
    </row>
    <row r="238">
      <c r="A238" s="39">
        <f>IF(B238="","","MAR-"&amp;TEXT(ROW()-4,"0000"))</f>
        <v/>
      </c>
      <c r="B238" s="50" t="n"/>
      <c r="C238" s="49">
        <f>IF(B238="","",IFERROR(INDEX('المشروعات'!$B$5:$B$304,MATCH(B238,'المشروعات'!$A$5:$A$304,0)),""))</f>
        <v/>
      </c>
      <c r="D238" s="40" t="n"/>
      <c r="E238" s="40" t="n"/>
      <c r="F238" s="40" t="n"/>
      <c r="G238" s="40" t="n"/>
      <c r="H238" s="40" t="n"/>
      <c r="I238" s="51" t="n"/>
      <c r="J238" s="47" t="n"/>
      <c r="K238" s="47" t="n"/>
      <c r="L238" s="50" t="n"/>
      <c r="M238" s="49">
        <f>IF(B238="","",IF(L238="","قيد المراجعة",IF(L238="A","معتمد",IF(L238="B","معتمد بملاحظات",IF(L238="C","مرفوض – يعاد التقديم","مرفوض نهائياً")))))</f>
        <v/>
      </c>
      <c r="N238" s="48">
        <f>IF(J238="","",IF(K238="",TODAY(),K238)-J238)</f>
        <v/>
      </c>
      <c r="O238" s="49">
        <f>IF(B238="","",IF(AND(L238="",N(N238)&gt;S_SLA),"متأخر رد الاستشاري",""))</f>
        <v/>
      </c>
      <c r="P238" s="49">
        <f>IF(B238="","",IF(OR(L238="A",L238="B"),"نعم","لا"))</f>
        <v/>
      </c>
    </row>
    <row r="239">
      <c r="A239" s="39">
        <f>IF(B239="","","MAR-"&amp;TEXT(ROW()-4,"0000"))</f>
        <v/>
      </c>
      <c r="B239" s="50" t="n"/>
      <c r="C239" s="49">
        <f>IF(B239="","",IFERROR(INDEX('المشروعات'!$B$5:$B$304,MATCH(B239,'المشروعات'!$A$5:$A$304,0)),""))</f>
        <v/>
      </c>
      <c r="D239" s="40" t="n"/>
      <c r="E239" s="40" t="n"/>
      <c r="F239" s="40" t="n"/>
      <c r="G239" s="40" t="n"/>
      <c r="H239" s="40" t="n"/>
      <c r="I239" s="51" t="n"/>
      <c r="J239" s="47" t="n"/>
      <c r="K239" s="47" t="n"/>
      <c r="L239" s="50" t="n"/>
      <c r="M239" s="49">
        <f>IF(B239="","",IF(L239="","قيد المراجعة",IF(L239="A","معتمد",IF(L239="B","معتمد بملاحظات",IF(L239="C","مرفوض – يعاد التقديم","مرفوض نهائياً")))))</f>
        <v/>
      </c>
      <c r="N239" s="48">
        <f>IF(J239="","",IF(K239="",TODAY(),K239)-J239)</f>
        <v/>
      </c>
      <c r="O239" s="49">
        <f>IF(B239="","",IF(AND(L239="",N(N239)&gt;S_SLA),"متأخر رد الاستشاري",""))</f>
        <v/>
      </c>
      <c r="P239" s="49">
        <f>IF(B239="","",IF(OR(L239="A",L239="B"),"نعم","لا"))</f>
        <v/>
      </c>
    </row>
    <row r="240">
      <c r="A240" s="39">
        <f>IF(B240="","","MAR-"&amp;TEXT(ROW()-4,"0000"))</f>
        <v/>
      </c>
      <c r="B240" s="50" t="n"/>
      <c r="C240" s="49">
        <f>IF(B240="","",IFERROR(INDEX('المشروعات'!$B$5:$B$304,MATCH(B240,'المشروعات'!$A$5:$A$304,0)),""))</f>
        <v/>
      </c>
      <c r="D240" s="40" t="n"/>
      <c r="E240" s="40" t="n"/>
      <c r="F240" s="40" t="n"/>
      <c r="G240" s="40" t="n"/>
      <c r="H240" s="40" t="n"/>
      <c r="I240" s="51" t="n"/>
      <c r="J240" s="47" t="n"/>
      <c r="K240" s="47" t="n"/>
      <c r="L240" s="50" t="n"/>
      <c r="M240" s="49">
        <f>IF(B240="","",IF(L240="","قيد المراجعة",IF(L240="A","معتمد",IF(L240="B","معتمد بملاحظات",IF(L240="C","مرفوض – يعاد التقديم","مرفوض نهائياً")))))</f>
        <v/>
      </c>
      <c r="N240" s="48">
        <f>IF(J240="","",IF(K240="",TODAY(),K240)-J240)</f>
        <v/>
      </c>
      <c r="O240" s="49">
        <f>IF(B240="","",IF(AND(L240="",N(N240)&gt;S_SLA),"متأخر رد الاستشاري",""))</f>
        <v/>
      </c>
      <c r="P240" s="49">
        <f>IF(B240="","",IF(OR(L240="A",L240="B"),"نعم","لا"))</f>
        <v/>
      </c>
    </row>
    <row r="241">
      <c r="A241" s="39">
        <f>IF(B241="","","MAR-"&amp;TEXT(ROW()-4,"0000"))</f>
        <v/>
      </c>
      <c r="B241" s="50" t="n"/>
      <c r="C241" s="49">
        <f>IF(B241="","",IFERROR(INDEX('المشروعات'!$B$5:$B$304,MATCH(B241,'المشروعات'!$A$5:$A$304,0)),""))</f>
        <v/>
      </c>
      <c r="D241" s="40" t="n"/>
      <c r="E241" s="40" t="n"/>
      <c r="F241" s="40" t="n"/>
      <c r="G241" s="40" t="n"/>
      <c r="H241" s="40" t="n"/>
      <c r="I241" s="51" t="n"/>
      <c r="J241" s="47" t="n"/>
      <c r="K241" s="47" t="n"/>
      <c r="L241" s="50" t="n"/>
      <c r="M241" s="49">
        <f>IF(B241="","",IF(L241="","قيد المراجعة",IF(L241="A","معتمد",IF(L241="B","معتمد بملاحظات",IF(L241="C","مرفوض – يعاد التقديم","مرفوض نهائياً")))))</f>
        <v/>
      </c>
      <c r="N241" s="48">
        <f>IF(J241="","",IF(K241="",TODAY(),K241)-J241)</f>
        <v/>
      </c>
      <c r="O241" s="49">
        <f>IF(B241="","",IF(AND(L241="",N(N241)&gt;S_SLA),"متأخر رد الاستشاري",""))</f>
        <v/>
      </c>
      <c r="P241" s="49">
        <f>IF(B241="","",IF(OR(L241="A",L241="B"),"نعم","لا"))</f>
        <v/>
      </c>
    </row>
    <row r="242">
      <c r="A242" s="39">
        <f>IF(B242="","","MAR-"&amp;TEXT(ROW()-4,"0000"))</f>
        <v/>
      </c>
      <c r="B242" s="50" t="n"/>
      <c r="C242" s="49">
        <f>IF(B242="","",IFERROR(INDEX('المشروعات'!$B$5:$B$304,MATCH(B242,'المشروعات'!$A$5:$A$304,0)),""))</f>
        <v/>
      </c>
      <c r="D242" s="40" t="n"/>
      <c r="E242" s="40" t="n"/>
      <c r="F242" s="40" t="n"/>
      <c r="G242" s="40" t="n"/>
      <c r="H242" s="40" t="n"/>
      <c r="I242" s="51" t="n"/>
      <c r="J242" s="47" t="n"/>
      <c r="K242" s="47" t="n"/>
      <c r="L242" s="50" t="n"/>
      <c r="M242" s="49">
        <f>IF(B242="","",IF(L242="","قيد المراجعة",IF(L242="A","معتمد",IF(L242="B","معتمد بملاحظات",IF(L242="C","مرفوض – يعاد التقديم","مرفوض نهائياً")))))</f>
        <v/>
      </c>
      <c r="N242" s="48">
        <f>IF(J242="","",IF(K242="",TODAY(),K242)-J242)</f>
        <v/>
      </c>
      <c r="O242" s="49">
        <f>IF(B242="","",IF(AND(L242="",N(N242)&gt;S_SLA),"متأخر رد الاستشاري",""))</f>
        <v/>
      </c>
      <c r="P242" s="49">
        <f>IF(B242="","",IF(OR(L242="A",L242="B"),"نعم","لا"))</f>
        <v/>
      </c>
    </row>
    <row r="243">
      <c r="A243" s="39">
        <f>IF(B243="","","MAR-"&amp;TEXT(ROW()-4,"0000"))</f>
        <v/>
      </c>
      <c r="B243" s="50" t="n"/>
      <c r="C243" s="49">
        <f>IF(B243="","",IFERROR(INDEX('المشروعات'!$B$5:$B$304,MATCH(B243,'المشروعات'!$A$5:$A$304,0)),""))</f>
        <v/>
      </c>
      <c r="D243" s="40" t="n"/>
      <c r="E243" s="40" t="n"/>
      <c r="F243" s="40" t="n"/>
      <c r="G243" s="40" t="n"/>
      <c r="H243" s="40" t="n"/>
      <c r="I243" s="51" t="n"/>
      <c r="J243" s="47" t="n"/>
      <c r="K243" s="47" t="n"/>
      <c r="L243" s="50" t="n"/>
      <c r="M243" s="49">
        <f>IF(B243="","",IF(L243="","قيد المراجعة",IF(L243="A","معتمد",IF(L243="B","معتمد بملاحظات",IF(L243="C","مرفوض – يعاد التقديم","مرفوض نهائياً")))))</f>
        <v/>
      </c>
      <c r="N243" s="48">
        <f>IF(J243="","",IF(K243="",TODAY(),K243)-J243)</f>
        <v/>
      </c>
      <c r="O243" s="49">
        <f>IF(B243="","",IF(AND(L243="",N(N243)&gt;S_SLA),"متأخر رد الاستشاري",""))</f>
        <v/>
      </c>
      <c r="P243" s="49">
        <f>IF(B243="","",IF(OR(L243="A",L243="B"),"نعم","لا"))</f>
        <v/>
      </c>
    </row>
    <row r="244">
      <c r="A244" s="39">
        <f>IF(B244="","","MAR-"&amp;TEXT(ROW()-4,"0000"))</f>
        <v/>
      </c>
      <c r="B244" s="50" t="n"/>
      <c r="C244" s="49">
        <f>IF(B244="","",IFERROR(INDEX('المشروعات'!$B$5:$B$304,MATCH(B244,'المشروعات'!$A$5:$A$304,0)),""))</f>
        <v/>
      </c>
      <c r="D244" s="40" t="n"/>
      <c r="E244" s="40" t="n"/>
      <c r="F244" s="40" t="n"/>
      <c r="G244" s="40" t="n"/>
      <c r="H244" s="40" t="n"/>
      <c r="I244" s="51" t="n"/>
      <c r="J244" s="47" t="n"/>
      <c r="K244" s="47" t="n"/>
      <c r="L244" s="50" t="n"/>
      <c r="M244" s="49">
        <f>IF(B244="","",IF(L244="","قيد المراجعة",IF(L244="A","معتمد",IF(L244="B","معتمد بملاحظات",IF(L244="C","مرفوض – يعاد التقديم","مرفوض نهائياً")))))</f>
        <v/>
      </c>
      <c r="N244" s="48">
        <f>IF(J244="","",IF(K244="",TODAY(),K244)-J244)</f>
        <v/>
      </c>
      <c r="O244" s="49">
        <f>IF(B244="","",IF(AND(L244="",N(N244)&gt;S_SLA),"متأخر رد الاستشاري",""))</f>
        <v/>
      </c>
      <c r="P244" s="49">
        <f>IF(B244="","",IF(OR(L244="A",L244="B"),"نعم","لا"))</f>
        <v/>
      </c>
    </row>
    <row r="245">
      <c r="A245" s="39">
        <f>IF(B245="","","MAR-"&amp;TEXT(ROW()-4,"0000"))</f>
        <v/>
      </c>
      <c r="B245" s="50" t="n"/>
      <c r="C245" s="49">
        <f>IF(B245="","",IFERROR(INDEX('المشروعات'!$B$5:$B$304,MATCH(B245,'المشروعات'!$A$5:$A$304,0)),""))</f>
        <v/>
      </c>
      <c r="D245" s="40" t="n"/>
      <c r="E245" s="40" t="n"/>
      <c r="F245" s="40" t="n"/>
      <c r="G245" s="40" t="n"/>
      <c r="H245" s="40" t="n"/>
      <c r="I245" s="51" t="n"/>
      <c r="J245" s="47" t="n"/>
      <c r="K245" s="47" t="n"/>
      <c r="L245" s="50" t="n"/>
      <c r="M245" s="49">
        <f>IF(B245="","",IF(L245="","قيد المراجعة",IF(L245="A","معتمد",IF(L245="B","معتمد بملاحظات",IF(L245="C","مرفوض – يعاد التقديم","مرفوض نهائياً")))))</f>
        <v/>
      </c>
      <c r="N245" s="48">
        <f>IF(J245="","",IF(K245="",TODAY(),K245)-J245)</f>
        <v/>
      </c>
      <c r="O245" s="49">
        <f>IF(B245="","",IF(AND(L245="",N(N245)&gt;S_SLA),"متأخر رد الاستشاري",""))</f>
        <v/>
      </c>
      <c r="P245" s="49">
        <f>IF(B245="","",IF(OR(L245="A",L245="B"),"نعم","لا"))</f>
        <v/>
      </c>
    </row>
    <row r="246">
      <c r="A246" s="39">
        <f>IF(B246="","","MAR-"&amp;TEXT(ROW()-4,"0000"))</f>
        <v/>
      </c>
      <c r="B246" s="50" t="n"/>
      <c r="C246" s="49">
        <f>IF(B246="","",IFERROR(INDEX('المشروعات'!$B$5:$B$304,MATCH(B246,'المشروعات'!$A$5:$A$304,0)),""))</f>
        <v/>
      </c>
      <c r="D246" s="40" t="n"/>
      <c r="E246" s="40" t="n"/>
      <c r="F246" s="40" t="n"/>
      <c r="G246" s="40" t="n"/>
      <c r="H246" s="40" t="n"/>
      <c r="I246" s="51" t="n"/>
      <c r="J246" s="47" t="n"/>
      <c r="K246" s="47" t="n"/>
      <c r="L246" s="50" t="n"/>
      <c r="M246" s="49">
        <f>IF(B246="","",IF(L246="","قيد المراجعة",IF(L246="A","معتمد",IF(L246="B","معتمد بملاحظات",IF(L246="C","مرفوض – يعاد التقديم","مرفوض نهائياً")))))</f>
        <v/>
      </c>
      <c r="N246" s="48">
        <f>IF(J246="","",IF(K246="",TODAY(),K246)-J246)</f>
        <v/>
      </c>
      <c r="O246" s="49">
        <f>IF(B246="","",IF(AND(L246="",N(N246)&gt;S_SLA),"متأخر رد الاستشاري",""))</f>
        <v/>
      </c>
      <c r="P246" s="49">
        <f>IF(B246="","",IF(OR(L246="A",L246="B"),"نعم","لا"))</f>
        <v/>
      </c>
    </row>
    <row r="247">
      <c r="A247" s="39">
        <f>IF(B247="","","MAR-"&amp;TEXT(ROW()-4,"0000"))</f>
        <v/>
      </c>
      <c r="B247" s="50" t="n"/>
      <c r="C247" s="49">
        <f>IF(B247="","",IFERROR(INDEX('المشروعات'!$B$5:$B$304,MATCH(B247,'المشروعات'!$A$5:$A$304,0)),""))</f>
        <v/>
      </c>
      <c r="D247" s="40" t="n"/>
      <c r="E247" s="40" t="n"/>
      <c r="F247" s="40" t="n"/>
      <c r="G247" s="40" t="n"/>
      <c r="H247" s="40" t="n"/>
      <c r="I247" s="51" t="n"/>
      <c r="J247" s="47" t="n"/>
      <c r="K247" s="47" t="n"/>
      <c r="L247" s="50" t="n"/>
      <c r="M247" s="49">
        <f>IF(B247="","",IF(L247="","قيد المراجعة",IF(L247="A","معتمد",IF(L247="B","معتمد بملاحظات",IF(L247="C","مرفوض – يعاد التقديم","مرفوض نهائياً")))))</f>
        <v/>
      </c>
      <c r="N247" s="48">
        <f>IF(J247="","",IF(K247="",TODAY(),K247)-J247)</f>
        <v/>
      </c>
      <c r="O247" s="49">
        <f>IF(B247="","",IF(AND(L247="",N(N247)&gt;S_SLA),"متأخر رد الاستشاري",""))</f>
        <v/>
      </c>
      <c r="P247" s="49">
        <f>IF(B247="","",IF(OR(L247="A",L247="B"),"نعم","لا"))</f>
        <v/>
      </c>
    </row>
    <row r="248">
      <c r="A248" s="39">
        <f>IF(B248="","","MAR-"&amp;TEXT(ROW()-4,"0000"))</f>
        <v/>
      </c>
      <c r="B248" s="50" t="n"/>
      <c r="C248" s="49">
        <f>IF(B248="","",IFERROR(INDEX('المشروعات'!$B$5:$B$304,MATCH(B248,'المشروعات'!$A$5:$A$304,0)),""))</f>
        <v/>
      </c>
      <c r="D248" s="40" t="n"/>
      <c r="E248" s="40" t="n"/>
      <c r="F248" s="40" t="n"/>
      <c r="G248" s="40" t="n"/>
      <c r="H248" s="40" t="n"/>
      <c r="I248" s="51" t="n"/>
      <c r="J248" s="47" t="n"/>
      <c r="K248" s="47" t="n"/>
      <c r="L248" s="50" t="n"/>
      <c r="M248" s="49">
        <f>IF(B248="","",IF(L248="","قيد المراجعة",IF(L248="A","معتمد",IF(L248="B","معتمد بملاحظات",IF(L248="C","مرفوض – يعاد التقديم","مرفوض نهائياً")))))</f>
        <v/>
      </c>
      <c r="N248" s="48">
        <f>IF(J248="","",IF(K248="",TODAY(),K248)-J248)</f>
        <v/>
      </c>
      <c r="O248" s="49">
        <f>IF(B248="","",IF(AND(L248="",N(N248)&gt;S_SLA),"متأخر رد الاستشاري",""))</f>
        <v/>
      </c>
      <c r="P248" s="49">
        <f>IF(B248="","",IF(OR(L248="A",L248="B"),"نعم","لا"))</f>
        <v/>
      </c>
    </row>
    <row r="249">
      <c r="A249" s="39">
        <f>IF(B249="","","MAR-"&amp;TEXT(ROW()-4,"0000"))</f>
        <v/>
      </c>
      <c r="B249" s="50" t="n"/>
      <c r="C249" s="49">
        <f>IF(B249="","",IFERROR(INDEX('المشروعات'!$B$5:$B$304,MATCH(B249,'المشروعات'!$A$5:$A$304,0)),""))</f>
        <v/>
      </c>
      <c r="D249" s="40" t="n"/>
      <c r="E249" s="40" t="n"/>
      <c r="F249" s="40" t="n"/>
      <c r="G249" s="40" t="n"/>
      <c r="H249" s="40" t="n"/>
      <c r="I249" s="51" t="n"/>
      <c r="J249" s="47" t="n"/>
      <c r="K249" s="47" t="n"/>
      <c r="L249" s="50" t="n"/>
      <c r="M249" s="49">
        <f>IF(B249="","",IF(L249="","قيد المراجعة",IF(L249="A","معتمد",IF(L249="B","معتمد بملاحظات",IF(L249="C","مرفوض – يعاد التقديم","مرفوض نهائياً")))))</f>
        <v/>
      </c>
      <c r="N249" s="48">
        <f>IF(J249="","",IF(K249="",TODAY(),K249)-J249)</f>
        <v/>
      </c>
      <c r="O249" s="49">
        <f>IF(B249="","",IF(AND(L249="",N(N249)&gt;S_SLA),"متأخر رد الاستشاري",""))</f>
        <v/>
      </c>
      <c r="P249" s="49">
        <f>IF(B249="","",IF(OR(L249="A",L249="B"),"نعم","لا"))</f>
        <v/>
      </c>
    </row>
    <row r="250">
      <c r="A250" s="39">
        <f>IF(B250="","","MAR-"&amp;TEXT(ROW()-4,"0000"))</f>
        <v/>
      </c>
      <c r="B250" s="50" t="n"/>
      <c r="C250" s="49">
        <f>IF(B250="","",IFERROR(INDEX('المشروعات'!$B$5:$B$304,MATCH(B250,'المشروعات'!$A$5:$A$304,0)),""))</f>
        <v/>
      </c>
      <c r="D250" s="40" t="n"/>
      <c r="E250" s="40" t="n"/>
      <c r="F250" s="40" t="n"/>
      <c r="G250" s="40" t="n"/>
      <c r="H250" s="40" t="n"/>
      <c r="I250" s="51" t="n"/>
      <c r="J250" s="47" t="n"/>
      <c r="K250" s="47" t="n"/>
      <c r="L250" s="50" t="n"/>
      <c r="M250" s="49">
        <f>IF(B250="","",IF(L250="","قيد المراجعة",IF(L250="A","معتمد",IF(L250="B","معتمد بملاحظات",IF(L250="C","مرفوض – يعاد التقديم","مرفوض نهائياً")))))</f>
        <v/>
      </c>
      <c r="N250" s="48">
        <f>IF(J250="","",IF(K250="",TODAY(),K250)-J250)</f>
        <v/>
      </c>
      <c r="O250" s="49">
        <f>IF(B250="","",IF(AND(L250="",N(N250)&gt;S_SLA),"متأخر رد الاستشاري",""))</f>
        <v/>
      </c>
      <c r="P250" s="49">
        <f>IF(B250="","",IF(OR(L250="A",L250="B"),"نعم","لا"))</f>
        <v/>
      </c>
    </row>
    <row r="251">
      <c r="A251" s="39">
        <f>IF(B251="","","MAR-"&amp;TEXT(ROW()-4,"0000"))</f>
        <v/>
      </c>
      <c r="B251" s="50" t="n"/>
      <c r="C251" s="49">
        <f>IF(B251="","",IFERROR(INDEX('المشروعات'!$B$5:$B$304,MATCH(B251,'المشروعات'!$A$5:$A$304,0)),""))</f>
        <v/>
      </c>
      <c r="D251" s="40" t="n"/>
      <c r="E251" s="40" t="n"/>
      <c r="F251" s="40" t="n"/>
      <c r="G251" s="40" t="n"/>
      <c r="H251" s="40" t="n"/>
      <c r="I251" s="51" t="n"/>
      <c r="J251" s="47" t="n"/>
      <c r="K251" s="47" t="n"/>
      <c r="L251" s="50" t="n"/>
      <c r="M251" s="49">
        <f>IF(B251="","",IF(L251="","قيد المراجعة",IF(L251="A","معتمد",IF(L251="B","معتمد بملاحظات",IF(L251="C","مرفوض – يعاد التقديم","مرفوض نهائياً")))))</f>
        <v/>
      </c>
      <c r="N251" s="48">
        <f>IF(J251="","",IF(K251="",TODAY(),K251)-J251)</f>
        <v/>
      </c>
      <c r="O251" s="49">
        <f>IF(B251="","",IF(AND(L251="",N(N251)&gt;S_SLA),"متأخر رد الاستشاري",""))</f>
        <v/>
      </c>
      <c r="P251" s="49">
        <f>IF(B251="","",IF(OR(L251="A",L251="B"),"نعم","لا"))</f>
        <v/>
      </c>
    </row>
    <row r="252">
      <c r="A252" s="39">
        <f>IF(B252="","","MAR-"&amp;TEXT(ROW()-4,"0000"))</f>
        <v/>
      </c>
      <c r="B252" s="50" t="n"/>
      <c r="C252" s="49">
        <f>IF(B252="","",IFERROR(INDEX('المشروعات'!$B$5:$B$304,MATCH(B252,'المشروعات'!$A$5:$A$304,0)),""))</f>
        <v/>
      </c>
      <c r="D252" s="40" t="n"/>
      <c r="E252" s="40" t="n"/>
      <c r="F252" s="40" t="n"/>
      <c r="G252" s="40" t="n"/>
      <c r="H252" s="40" t="n"/>
      <c r="I252" s="51" t="n"/>
      <c r="J252" s="47" t="n"/>
      <c r="K252" s="47" t="n"/>
      <c r="L252" s="50" t="n"/>
      <c r="M252" s="49">
        <f>IF(B252="","",IF(L252="","قيد المراجعة",IF(L252="A","معتمد",IF(L252="B","معتمد بملاحظات",IF(L252="C","مرفوض – يعاد التقديم","مرفوض نهائياً")))))</f>
        <v/>
      </c>
      <c r="N252" s="48">
        <f>IF(J252="","",IF(K252="",TODAY(),K252)-J252)</f>
        <v/>
      </c>
      <c r="O252" s="49">
        <f>IF(B252="","",IF(AND(L252="",N(N252)&gt;S_SLA),"متأخر رد الاستشاري",""))</f>
        <v/>
      </c>
      <c r="P252" s="49">
        <f>IF(B252="","",IF(OR(L252="A",L252="B"),"نعم","لا"))</f>
        <v/>
      </c>
    </row>
    <row r="253">
      <c r="A253" s="39">
        <f>IF(B253="","","MAR-"&amp;TEXT(ROW()-4,"0000"))</f>
        <v/>
      </c>
      <c r="B253" s="50" t="n"/>
      <c r="C253" s="49">
        <f>IF(B253="","",IFERROR(INDEX('المشروعات'!$B$5:$B$304,MATCH(B253,'المشروعات'!$A$5:$A$304,0)),""))</f>
        <v/>
      </c>
      <c r="D253" s="40" t="n"/>
      <c r="E253" s="40" t="n"/>
      <c r="F253" s="40" t="n"/>
      <c r="G253" s="40" t="n"/>
      <c r="H253" s="40" t="n"/>
      <c r="I253" s="51" t="n"/>
      <c r="J253" s="47" t="n"/>
      <c r="K253" s="47" t="n"/>
      <c r="L253" s="50" t="n"/>
      <c r="M253" s="49">
        <f>IF(B253="","",IF(L253="","قيد المراجعة",IF(L253="A","معتمد",IF(L253="B","معتمد بملاحظات",IF(L253="C","مرفوض – يعاد التقديم","مرفوض نهائياً")))))</f>
        <v/>
      </c>
      <c r="N253" s="48">
        <f>IF(J253="","",IF(K253="",TODAY(),K253)-J253)</f>
        <v/>
      </c>
      <c r="O253" s="49">
        <f>IF(B253="","",IF(AND(L253="",N(N253)&gt;S_SLA),"متأخر رد الاستشاري",""))</f>
        <v/>
      </c>
      <c r="P253" s="49">
        <f>IF(B253="","",IF(OR(L253="A",L253="B"),"نعم","لا"))</f>
        <v/>
      </c>
    </row>
    <row r="254">
      <c r="A254" s="39">
        <f>IF(B254="","","MAR-"&amp;TEXT(ROW()-4,"0000"))</f>
        <v/>
      </c>
      <c r="B254" s="50" t="n"/>
      <c r="C254" s="49">
        <f>IF(B254="","",IFERROR(INDEX('المشروعات'!$B$5:$B$304,MATCH(B254,'المشروعات'!$A$5:$A$304,0)),""))</f>
        <v/>
      </c>
      <c r="D254" s="40" t="n"/>
      <c r="E254" s="40" t="n"/>
      <c r="F254" s="40" t="n"/>
      <c r="G254" s="40" t="n"/>
      <c r="H254" s="40" t="n"/>
      <c r="I254" s="51" t="n"/>
      <c r="J254" s="47" t="n"/>
      <c r="K254" s="47" t="n"/>
      <c r="L254" s="50" t="n"/>
      <c r="M254" s="49">
        <f>IF(B254="","",IF(L254="","قيد المراجعة",IF(L254="A","معتمد",IF(L254="B","معتمد بملاحظات",IF(L254="C","مرفوض – يعاد التقديم","مرفوض نهائياً")))))</f>
        <v/>
      </c>
      <c r="N254" s="48">
        <f>IF(J254="","",IF(K254="",TODAY(),K254)-J254)</f>
        <v/>
      </c>
      <c r="O254" s="49">
        <f>IF(B254="","",IF(AND(L254="",N(N254)&gt;S_SLA),"متأخر رد الاستشاري",""))</f>
        <v/>
      </c>
      <c r="P254" s="49">
        <f>IF(B254="","",IF(OR(L254="A",L254="B"),"نعم","لا"))</f>
        <v/>
      </c>
    </row>
    <row r="255">
      <c r="A255" s="39">
        <f>IF(B255="","","MAR-"&amp;TEXT(ROW()-4,"0000"))</f>
        <v/>
      </c>
      <c r="B255" s="50" t="n"/>
      <c r="C255" s="49">
        <f>IF(B255="","",IFERROR(INDEX('المشروعات'!$B$5:$B$304,MATCH(B255,'المشروعات'!$A$5:$A$304,0)),""))</f>
        <v/>
      </c>
      <c r="D255" s="40" t="n"/>
      <c r="E255" s="40" t="n"/>
      <c r="F255" s="40" t="n"/>
      <c r="G255" s="40" t="n"/>
      <c r="H255" s="40" t="n"/>
      <c r="I255" s="51" t="n"/>
      <c r="J255" s="47" t="n"/>
      <c r="K255" s="47" t="n"/>
      <c r="L255" s="50" t="n"/>
      <c r="M255" s="49">
        <f>IF(B255="","",IF(L255="","قيد المراجعة",IF(L255="A","معتمد",IF(L255="B","معتمد بملاحظات",IF(L255="C","مرفوض – يعاد التقديم","مرفوض نهائياً")))))</f>
        <v/>
      </c>
      <c r="N255" s="48">
        <f>IF(J255="","",IF(K255="",TODAY(),K255)-J255)</f>
        <v/>
      </c>
      <c r="O255" s="49">
        <f>IF(B255="","",IF(AND(L255="",N(N255)&gt;S_SLA),"متأخر رد الاستشاري",""))</f>
        <v/>
      </c>
      <c r="P255" s="49">
        <f>IF(B255="","",IF(OR(L255="A",L255="B"),"نعم","لا"))</f>
        <v/>
      </c>
    </row>
    <row r="256">
      <c r="A256" s="39">
        <f>IF(B256="","","MAR-"&amp;TEXT(ROW()-4,"0000"))</f>
        <v/>
      </c>
      <c r="B256" s="50" t="n"/>
      <c r="C256" s="49">
        <f>IF(B256="","",IFERROR(INDEX('المشروعات'!$B$5:$B$304,MATCH(B256,'المشروعات'!$A$5:$A$304,0)),""))</f>
        <v/>
      </c>
      <c r="D256" s="40" t="n"/>
      <c r="E256" s="40" t="n"/>
      <c r="F256" s="40" t="n"/>
      <c r="G256" s="40" t="n"/>
      <c r="H256" s="40" t="n"/>
      <c r="I256" s="51" t="n"/>
      <c r="J256" s="47" t="n"/>
      <c r="K256" s="47" t="n"/>
      <c r="L256" s="50" t="n"/>
      <c r="M256" s="49">
        <f>IF(B256="","",IF(L256="","قيد المراجعة",IF(L256="A","معتمد",IF(L256="B","معتمد بملاحظات",IF(L256="C","مرفوض – يعاد التقديم","مرفوض نهائياً")))))</f>
        <v/>
      </c>
      <c r="N256" s="48">
        <f>IF(J256="","",IF(K256="",TODAY(),K256)-J256)</f>
        <v/>
      </c>
      <c r="O256" s="49">
        <f>IF(B256="","",IF(AND(L256="",N(N256)&gt;S_SLA),"متأخر رد الاستشاري",""))</f>
        <v/>
      </c>
      <c r="P256" s="49">
        <f>IF(B256="","",IF(OR(L256="A",L256="B"),"نعم","لا"))</f>
        <v/>
      </c>
    </row>
    <row r="257">
      <c r="A257" s="39">
        <f>IF(B257="","","MAR-"&amp;TEXT(ROW()-4,"0000"))</f>
        <v/>
      </c>
      <c r="B257" s="50" t="n"/>
      <c r="C257" s="49">
        <f>IF(B257="","",IFERROR(INDEX('المشروعات'!$B$5:$B$304,MATCH(B257,'المشروعات'!$A$5:$A$304,0)),""))</f>
        <v/>
      </c>
      <c r="D257" s="40" t="n"/>
      <c r="E257" s="40" t="n"/>
      <c r="F257" s="40" t="n"/>
      <c r="G257" s="40" t="n"/>
      <c r="H257" s="40" t="n"/>
      <c r="I257" s="51" t="n"/>
      <c r="J257" s="47" t="n"/>
      <c r="K257" s="47" t="n"/>
      <c r="L257" s="50" t="n"/>
      <c r="M257" s="49">
        <f>IF(B257="","",IF(L257="","قيد المراجعة",IF(L257="A","معتمد",IF(L257="B","معتمد بملاحظات",IF(L257="C","مرفوض – يعاد التقديم","مرفوض نهائياً")))))</f>
        <v/>
      </c>
      <c r="N257" s="48">
        <f>IF(J257="","",IF(K257="",TODAY(),K257)-J257)</f>
        <v/>
      </c>
      <c r="O257" s="49">
        <f>IF(B257="","",IF(AND(L257="",N(N257)&gt;S_SLA),"متأخر رد الاستشاري",""))</f>
        <v/>
      </c>
      <c r="P257" s="49">
        <f>IF(B257="","",IF(OR(L257="A",L257="B"),"نعم","لا"))</f>
        <v/>
      </c>
    </row>
    <row r="258">
      <c r="A258" s="39">
        <f>IF(B258="","","MAR-"&amp;TEXT(ROW()-4,"0000"))</f>
        <v/>
      </c>
      <c r="B258" s="50" t="n"/>
      <c r="C258" s="49">
        <f>IF(B258="","",IFERROR(INDEX('المشروعات'!$B$5:$B$304,MATCH(B258,'المشروعات'!$A$5:$A$304,0)),""))</f>
        <v/>
      </c>
      <c r="D258" s="40" t="n"/>
      <c r="E258" s="40" t="n"/>
      <c r="F258" s="40" t="n"/>
      <c r="G258" s="40" t="n"/>
      <c r="H258" s="40" t="n"/>
      <c r="I258" s="51" t="n"/>
      <c r="J258" s="47" t="n"/>
      <c r="K258" s="47" t="n"/>
      <c r="L258" s="50" t="n"/>
      <c r="M258" s="49">
        <f>IF(B258="","",IF(L258="","قيد المراجعة",IF(L258="A","معتمد",IF(L258="B","معتمد بملاحظات",IF(L258="C","مرفوض – يعاد التقديم","مرفوض نهائياً")))))</f>
        <v/>
      </c>
      <c r="N258" s="48">
        <f>IF(J258="","",IF(K258="",TODAY(),K258)-J258)</f>
        <v/>
      </c>
      <c r="O258" s="49">
        <f>IF(B258="","",IF(AND(L258="",N(N258)&gt;S_SLA),"متأخر رد الاستشاري",""))</f>
        <v/>
      </c>
      <c r="P258" s="49">
        <f>IF(B258="","",IF(OR(L258="A",L258="B"),"نعم","لا"))</f>
        <v/>
      </c>
    </row>
    <row r="259">
      <c r="A259" s="39">
        <f>IF(B259="","","MAR-"&amp;TEXT(ROW()-4,"0000"))</f>
        <v/>
      </c>
      <c r="B259" s="50" t="n"/>
      <c r="C259" s="49">
        <f>IF(B259="","",IFERROR(INDEX('المشروعات'!$B$5:$B$304,MATCH(B259,'المشروعات'!$A$5:$A$304,0)),""))</f>
        <v/>
      </c>
      <c r="D259" s="40" t="n"/>
      <c r="E259" s="40" t="n"/>
      <c r="F259" s="40" t="n"/>
      <c r="G259" s="40" t="n"/>
      <c r="H259" s="40" t="n"/>
      <c r="I259" s="51" t="n"/>
      <c r="J259" s="47" t="n"/>
      <c r="K259" s="47" t="n"/>
      <c r="L259" s="50" t="n"/>
      <c r="M259" s="49">
        <f>IF(B259="","",IF(L259="","قيد المراجعة",IF(L259="A","معتمد",IF(L259="B","معتمد بملاحظات",IF(L259="C","مرفوض – يعاد التقديم","مرفوض نهائياً")))))</f>
        <v/>
      </c>
      <c r="N259" s="48">
        <f>IF(J259="","",IF(K259="",TODAY(),K259)-J259)</f>
        <v/>
      </c>
      <c r="O259" s="49">
        <f>IF(B259="","",IF(AND(L259="",N(N259)&gt;S_SLA),"متأخر رد الاستشاري",""))</f>
        <v/>
      </c>
      <c r="P259" s="49">
        <f>IF(B259="","",IF(OR(L259="A",L259="B"),"نعم","لا"))</f>
        <v/>
      </c>
    </row>
    <row r="260">
      <c r="A260" s="39">
        <f>IF(B260="","","MAR-"&amp;TEXT(ROW()-4,"0000"))</f>
        <v/>
      </c>
      <c r="B260" s="50" t="n"/>
      <c r="C260" s="49">
        <f>IF(B260="","",IFERROR(INDEX('المشروعات'!$B$5:$B$304,MATCH(B260,'المشروعات'!$A$5:$A$304,0)),""))</f>
        <v/>
      </c>
      <c r="D260" s="40" t="n"/>
      <c r="E260" s="40" t="n"/>
      <c r="F260" s="40" t="n"/>
      <c r="G260" s="40" t="n"/>
      <c r="H260" s="40" t="n"/>
      <c r="I260" s="51" t="n"/>
      <c r="J260" s="47" t="n"/>
      <c r="K260" s="47" t="n"/>
      <c r="L260" s="50" t="n"/>
      <c r="M260" s="49">
        <f>IF(B260="","",IF(L260="","قيد المراجعة",IF(L260="A","معتمد",IF(L260="B","معتمد بملاحظات",IF(L260="C","مرفوض – يعاد التقديم","مرفوض نهائياً")))))</f>
        <v/>
      </c>
      <c r="N260" s="48">
        <f>IF(J260="","",IF(K260="",TODAY(),K260)-J260)</f>
        <v/>
      </c>
      <c r="O260" s="49">
        <f>IF(B260="","",IF(AND(L260="",N(N260)&gt;S_SLA),"متأخر رد الاستشاري",""))</f>
        <v/>
      </c>
      <c r="P260" s="49">
        <f>IF(B260="","",IF(OR(L260="A",L260="B"),"نعم","لا"))</f>
        <v/>
      </c>
    </row>
    <row r="261">
      <c r="A261" s="39">
        <f>IF(B261="","","MAR-"&amp;TEXT(ROW()-4,"0000"))</f>
        <v/>
      </c>
      <c r="B261" s="50" t="n"/>
      <c r="C261" s="49">
        <f>IF(B261="","",IFERROR(INDEX('المشروعات'!$B$5:$B$304,MATCH(B261,'المشروعات'!$A$5:$A$304,0)),""))</f>
        <v/>
      </c>
      <c r="D261" s="40" t="n"/>
      <c r="E261" s="40" t="n"/>
      <c r="F261" s="40" t="n"/>
      <c r="G261" s="40" t="n"/>
      <c r="H261" s="40" t="n"/>
      <c r="I261" s="51" t="n"/>
      <c r="J261" s="47" t="n"/>
      <c r="K261" s="47" t="n"/>
      <c r="L261" s="50" t="n"/>
      <c r="M261" s="49">
        <f>IF(B261="","",IF(L261="","قيد المراجعة",IF(L261="A","معتمد",IF(L261="B","معتمد بملاحظات",IF(L261="C","مرفوض – يعاد التقديم","مرفوض نهائياً")))))</f>
        <v/>
      </c>
      <c r="N261" s="48">
        <f>IF(J261="","",IF(K261="",TODAY(),K261)-J261)</f>
        <v/>
      </c>
      <c r="O261" s="49">
        <f>IF(B261="","",IF(AND(L261="",N(N261)&gt;S_SLA),"متأخر رد الاستشاري",""))</f>
        <v/>
      </c>
      <c r="P261" s="49">
        <f>IF(B261="","",IF(OR(L261="A",L261="B"),"نعم","لا"))</f>
        <v/>
      </c>
    </row>
    <row r="262">
      <c r="A262" s="39">
        <f>IF(B262="","","MAR-"&amp;TEXT(ROW()-4,"0000"))</f>
        <v/>
      </c>
      <c r="B262" s="50" t="n"/>
      <c r="C262" s="49">
        <f>IF(B262="","",IFERROR(INDEX('المشروعات'!$B$5:$B$304,MATCH(B262,'المشروعات'!$A$5:$A$304,0)),""))</f>
        <v/>
      </c>
      <c r="D262" s="40" t="n"/>
      <c r="E262" s="40" t="n"/>
      <c r="F262" s="40" t="n"/>
      <c r="G262" s="40" t="n"/>
      <c r="H262" s="40" t="n"/>
      <c r="I262" s="51" t="n"/>
      <c r="J262" s="47" t="n"/>
      <c r="K262" s="47" t="n"/>
      <c r="L262" s="50" t="n"/>
      <c r="M262" s="49">
        <f>IF(B262="","",IF(L262="","قيد المراجعة",IF(L262="A","معتمد",IF(L262="B","معتمد بملاحظات",IF(L262="C","مرفوض – يعاد التقديم","مرفوض نهائياً")))))</f>
        <v/>
      </c>
      <c r="N262" s="48">
        <f>IF(J262="","",IF(K262="",TODAY(),K262)-J262)</f>
        <v/>
      </c>
      <c r="O262" s="49">
        <f>IF(B262="","",IF(AND(L262="",N(N262)&gt;S_SLA),"متأخر رد الاستشاري",""))</f>
        <v/>
      </c>
      <c r="P262" s="49">
        <f>IF(B262="","",IF(OR(L262="A",L262="B"),"نعم","لا"))</f>
        <v/>
      </c>
    </row>
    <row r="263">
      <c r="A263" s="39">
        <f>IF(B263="","","MAR-"&amp;TEXT(ROW()-4,"0000"))</f>
        <v/>
      </c>
      <c r="B263" s="50" t="n"/>
      <c r="C263" s="49">
        <f>IF(B263="","",IFERROR(INDEX('المشروعات'!$B$5:$B$304,MATCH(B263,'المشروعات'!$A$5:$A$304,0)),""))</f>
        <v/>
      </c>
      <c r="D263" s="40" t="n"/>
      <c r="E263" s="40" t="n"/>
      <c r="F263" s="40" t="n"/>
      <c r="G263" s="40" t="n"/>
      <c r="H263" s="40" t="n"/>
      <c r="I263" s="51" t="n"/>
      <c r="J263" s="47" t="n"/>
      <c r="K263" s="47" t="n"/>
      <c r="L263" s="50" t="n"/>
      <c r="M263" s="49">
        <f>IF(B263="","",IF(L263="","قيد المراجعة",IF(L263="A","معتمد",IF(L263="B","معتمد بملاحظات",IF(L263="C","مرفوض – يعاد التقديم","مرفوض نهائياً")))))</f>
        <v/>
      </c>
      <c r="N263" s="48">
        <f>IF(J263="","",IF(K263="",TODAY(),K263)-J263)</f>
        <v/>
      </c>
      <c r="O263" s="49">
        <f>IF(B263="","",IF(AND(L263="",N(N263)&gt;S_SLA),"متأخر رد الاستشاري",""))</f>
        <v/>
      </c>
      <c r="P263" s="49">
        <f>IF(B263="","",IF(OR(L263="A",L263="B"),"نعم","لا"))</f>
        <v/>
      </c>
    </row>
    <row r="264">
      <c r="A264" s="39">
        <f>IF(B264="","","MAR-"&amp;TEXT(ROW()-4,"0000"))</f>
        <v/>
      </c>
      <c r="B264" s="50" t="n"/>
      <c r="C264" s="49">
        <f>IF(B264="","",IFERROR(INDEX('المشروعات'!$B$5:$B$304,MATCH(B264,'المشروعات'!$A$5:$A$304,0)),""))</f>
        <v/>
      </c>
      <c r="D264" s="40" t="n"/>
      <c r="E264" s="40" t="n"/>
      <c r="F264" s="40" t="n"/>
      <c r="G264" s="40" t="n"/>
      <c r="H264" s="40" t="n"/>
      <c r="I264" s="51" t="n"/>
      <c r="J264" s="47" t="n"/>
      <c r="K264" s="47" t="n"/>
      <c r="L264" s="50" t="n"/>
      <c r="M264" s="49">
        <f>IF(B264="","",IF(L264="","قيد المراجعة",IF(L264="A","معتمد",IF(L264="B","معتمد بملاحظات",IF(L264="C","مرفوض – يعاد التقديم","مرفوض نهائياً")))))</f>
        <v/>
      </c>
      <c r="N264" s="48">
        <f>IF(J264="","",IF(K264="",TODAY(),K264)-J264)</f>
        <v/>
      </c>
      <c r="O264" s="49">
        <f>IF(B264="","",IF(AND(L264="",N(N264)&gt;S_SLA),"متأخر رد الاستشاري",""))</f>
        <v/>
      </c>
      <c r="P264" s="49">
        <f>IF(B264="","",IF(OR(L264="A",L264="B"),"نعم","لا"))</f>
        <v/>
      </c>
    </row>
    <row r="265">
      <c r="A265" s="39">
        <f>IF(B265="","","MAR-"&amp;TEXT(ROW()-4,"0000"))</f>
        <v/>
      </c>
      <c r="B265" s="50" t="n"/>
      <c r="C265" s="49">
        <f>IF(B265="","",IFERROR(INDEX('المشروعات'!$B$5:$B$304,MATCH(B265,'المشروعات'!$A$5:$A$304,0)),""))</f>
        <v/>
      </c>
      <c r="D265" s="40" t="n"/>
      <c r="E265" s="40" t="n"/>
      <c r="F265" s="40" t="n"/>
      <c r="G265" s="40" t="n"/>
      <c r="H265" s="40" t="n"/>
      <c r="I265" s="51" t="n"/>
      <c r="J265" s="47" t="n"/>
      <c r="K265" s="47" t="n"/>
      <c r="L265" s="50" t="n"/>
      <c r="M265" s="49">
        <f>IF(B265="","",IF(L265="","قيد المراجعة",IF(L265="A","معتمد",IF(L265="B","معتمد بملاحظات",IF(L265="C","مرفوض – يعاد التقديم","مرفوض نهائياً")))))</f>
        <v/>
      </c>
      <c r="N265" s="48">
        <f>IF(J265="","",IF(K265="",TODAY(),K265)-J265)</f>
        <v/>
      </c>
      <c r="O265" s="49">
        <f>IF(B265="","",IF(AND(L265="",N(N265)&gt;S_SLA),"متأخر رد الاستشاري",""))</f>
        <v/>
      </c>
      <c r="P265" s="49">
        <f>IF(B265="","",IF(OR(L265="A",L265="B"),"نعم","لا"))</f>
        <v/>
      </c>
    </row>
    <row r="266">
      <c r="A266" s="39">
        <f>IF(B266="","","MAR-"&amp;TEXT(ROW()-4,"0000"))</f>
        <v/>
      </c>
      <c r="B266" s="50" t="n"/>
      <c r="C266" s="49">
        <f>IF(B266="","",IFERROR(INDEX('المشروعات'!$B$5:$B$304,MATCH(B266,'المشروعات'!$A$5:$A$304,0)),""))</f>
        <v/>
      </c>
      <c r="D266" s="40" t="n"/>
      <c r="E266" s="40" t="n"/>
      <c r="F266" s="40" t="n"/>
      <c r="G266" s="40" t="n"/>
      <c r="H266" s="40" t="n"/>
      <c r="I266" s="51" t="n"/>
      <c r="J266" s="47" t="n"/>
      <c r="K266" s="47" t="n"/>
      <c r="L266" s="50" t="n"/>
      <c r="M266" s="49">
        <f>IF(B266="","",IF(L266="","قيد المراجعة",IF(L266="A","معتمد",IF(L266="B","معتمد بملاحظات",IF(L266="C","مرفوض – يعاد التقديم","مرفوض نهائياً")))))</f>
        <v/>
      </c>
      <c r="N266" s="48">
        <f>IF(J266="","",IF(K266="",TODAY(),K266)-J266)</f>
        <v/>
      </c>
      <c r="O266" s="49">
        <f>IF(B266="","",IF(AND(L266="",N(N266)&gt;S_SLA),"متأخر رد الاستشاري",""))</f>
        <v/>
      </c>
      <c r="P266" s="49">
        <f>IF(B266="","",IF(OR(L266="A",L266="B"),"نعم","لا"))</f>
        <v/>
      </c>
    </row>
    <row r="267">
      <c r="A267" s="39">
        <f>IF(B267="","","MAR-"&amp;TEXT(ROW()-4,"0000"))</f>
        <v/>
      </c>
      <c r="B267" s="50" t="n"/>
      <c r="C267" s="49">
        <f>IF(B267="","",IFERROR(INDEX('المشروعات'!$B$5:$B$304,MATCH(B267,'المشروعات'!$A$5:$A$304,0)),""))</f>
        <v/>
      </c>
      <c r="D267" s="40" t="n"/>
      <c r="E267" s="40" t="n"/>
      <c r="F267" s="40" t="n"/>
      <c r="G267" s="40" t="n"/>
      <c r="H267" s="40" t="n"/>
      <c r="I267" s="51" t="n"/>
      <c r="J267" s="47" t="n"/>
      <c r="K267" s="47" t="n"/>
      <c r="L267" s="50" t="n"/>
      <c r="M267" s="49">
        <f>IF(B267="","",IF(L267="","قيد المراجعة",IF(L267="A","معتمد",IF(L267="B","معتمد بملاحظات",IF(L267="C","مرفوض – يعاد التقديم","مرفوض نهائياً")))))</f>
        <v/>
      </c>
      <c r="N267" s="48">
        <f>IF(J267="","",IF(K267="",TODAY(),K267)-J267)</f>
        <v/>
      </c>
      <c r="O267" s="49">
        <f>IF(B267="","",IF(AND(L267="",N(N267)&gt;S_SLA),"متأخر رد الاستشاري",""))</f>
        <v/>
      </c>
      <c r="P267" s="49">
        <f>IF(B267="","",IF(OR(L267="A",L267="B"),"نعم","لا"))</f>
        <v/>
      </c>
    </row>
    <row r="268">
      <c r="A268" s="39">
        <f>IF(B268="","","MAR-"&amp;TEXT(ROW()-4,"0000"))</f>
        <v/>
      </c>
      <c r="B268" s="50" t="n"/>
      <c r="C268" s="49">
        <f>IF(B268="","",IFERROR(INDEX('المشروعات'!$B$5:$B$304,MATCH(B268,'المشروعات'!$A$5:$A$304,0)),""))</f>
        <v/>
      </c>
      <c r="D268" s="40" t="n"/>
      <c r="E268" s="40" t="n"/>
      <c r="F268" s="40" t="n"/>
      <c r="G268" s="40" t="n"/>
      <c r="H268" s="40" t="n"/>
      <c r="I268" s="51" t="n"/>
      <c r="J268" s="47" t="n"/>
      <c r="K268" s="47" t="n"/>
      <c r="L268" s="50" t="n"/>
      <c r="M268" s="49">
        <f>IF(B268="","",IF(L268="","قيد المراجعة",IF(L268="A","معتمد",IF(L268="B","معتمد بملاحظات",IF(L268="C","مرفوض – يعاد التقديم","مرفوض نهائياً")))))</f>
        <v/>
      </c>
      <c r="N268" s="48">
        <f>IF(J268="","",IF(K268="",TODAY(),K268)-J268)</f>
        <v/>
      </c>
      <c r="O268" s="49">
        <f>IF(B268="","",IF(AND(L268="",N(N268)&gt;S_SLA),"متأخر رد الاستشاري",""))</f>
        <v/>
      </c>
      <c r="P268" s="49">
        <f>IF(B268="","",IF(OR(L268="A",L268="B"),"نعم","لا"))</f>
        <v/>
      </c>
    </row>
    <row r="269">
      <c r="A269" s="39">
        <f>IF(B269="","","MAR-"&amp;TEXT(ROW()-4,"0000"))</f>
        <v/>
      </c>
      <c r="B269" s="50" t="n"/>
      <c r="C269" s="49">
        <f>IF(B269="","",IFERROR(INDEX('المشروعات'!$B$5:$B$304,MATCH(B269,'المشروعات'!$A$5:$A$304,0)),""))</f>
        <v/>
      </c>
      <c r="D269" s="40" t="n"/>
      <c r="E269" s="40" t="n"/>
      <c r="F269" s="40" t="n"/>
      <c r="G269" s="40" t="n"/>
      <c r="H269" s="40" t="n"/>
      <c r="I269" s="51" t="n"/>
      <c r="J269" s="47" t="n"/>
      <c r="K269" s="47" t="n"/>
      <c r="L269" s="50" t="n"/>
      <c r="M269" s="49">
        <f>IF(B269="","",IF(L269="","قيد المراجعة",IF(L269="A","معتمد",IF(L269="B","معتمد بملاحظات",IF(L269="C","مرفوض – يعاد التقديم","مرفوض نهائياً")))))</f>
        <v/>
      </c>
      <c r="N269" s="48">
        <f>IF(J269="","",IF(K269="",TODAY(),K269)-J269)</f>
        <v/>
      </c>
      <c r="O269" s="49">
        <f>IF(B269="","",IF(AND(L269="",N(N269)&gt;S_SLA),"متأخر رد الاستشاري",""))</f>
        <v/>
      </c>
      <c r="P269" s="49">
        <f>IF(B269="","",IF(OR(L269="A",L269="B"),"نعم","لا"))</f>
        <v/>
      </c>
    </row>
    <row r="270">
      <c r="A270" s="39">
        <f>IF(B270="","","MAR-"&amp;TEXT(ROW()-4,"0000"))</f>
        <v/>
      </c>
      <c r="B270" s="50" t="n"/>
      <c r="C270" s="49">
        <f>IF(B270="","",IFERROR(INDEX('المشروعات'!$B$5:$B$304,MATCH(B270,'المشروعات'!$A$5:$A$304,0)),""))</f>
        <v/>
      </c>
      <c r="D270" s="40" t="n"/>
      <c r="E270" s="40" t="n"/>
      <c r="F270" s="40" t="n"/>
      <c r="G270" s="40" t="n"/>
      <c r="H270" s="40" t="n"/>
      <c r="I270" s="51" t="n"/>
      <c r="J270" s="47" t="n"/>
      <c r="K270" s="47" t="n"/>
      <c r="L270" s="50" t="n"/>
      <c r="M270" s="49">
        <f>IF(B270="","",IF(L270="","قيد المراجعة",IF(L270="A","معتمد",IF(L270="B","معتمد بملاحظات",IF(L270="C","مرفوض – يعاد التقديم","مرفوض نهائياً")))))</f>
        <v/>
      </c>
      <c r="N270" s="48">
        <f>IF(J270="","",IF(K270="",TODAY(),K270)-J270)</f>
        <v/>
      </c>
      <c r="O270" s="49">
        <f>IF(B270="","",IF(AND(L270="",N(N270)&gt;S_SLA),"متأخر رد الاستشاري",""))</f>
        <v/>
      </c>
      <c r="P270" s="49">
        <f>IF(B270="","",IF(OR(L270="A",L270="B"),"نعم","لا"))</f>
        <v/>
      </c>
    </row>
    <row r="271">
      <c r="A271" s="39">
        <f>IF(B271="","","MAR-"&amp;TEXT(ROW()-4,"0000"))</f>
        <v/>
      </c>
      <c r="B271" s="50" t="n"/>
      <c r="C271" s="49">
        <f>IF(B271="","",IFERROR(INDEX('المشروعات'!$B$5:$B$304,MATCH(B271,'المشروعات'!$A$5:$A$304,0)),""))</f>
        <v/>
      </c>
      <c r="D271" s="40" t="n"/>
      <c r="E271" s="40" t="n"/>
      <c r="F271" s="40" t="n"/>
      <c r="G271" s="40" t="n"/>
      <c r="H271" s="40" t="n"/>
      <c r="I271" s="51" t="n"/>
      <c r="J271" s="47" t="n"/>
      <c r="K271" s="47" t="n"/>
      <c r="L271" s="50" t="n"/>
      <c r="M271" s="49">
        <f>IF(B271="","",IF(L271="","قيد المراجعة",IF(L271="A","معتمد",IF(L271="B","معتمد بملاحظات",IF(L271="C","مرفوض – يعاد التقديم","مرفوض نهائياً")))))</f>
        <v/>
      </c>
      <c r="N271" s="48">
        <f>IF(J271="","",IF(K271="",TODAY(),K271)-J271)</f>
        <v/>
      </c>
      <c r="O271" s="49">
        <f>IF(B271="","",IF(AND(L271="",N(N271)&gt;S_SLA),"متأخر رد الاستشاري",""))</f>
        <v/>
      </c>
      <c r="P271" s="49">
        <f>IF(B271="","",IF(OR(L271="A",L271="B"),"نعم","لا"))</f>
        <v/>
      </c>
    </row>
    <row r="272">
      <c r="A272" s="39">
        <f>IF(B272="","","MAR-"&amp;TEXT(ROW()-4,"0000"))</f>
        <v/>
      </c>
      <c r="B272" s="50" t="n"/>
      <c r="C272" s="49">
        <f>IF(B272="","",IFERROR(INDEX('المشروعات'!$B$5:$B$304,MATCH(B272,'المشروعات'!$A$5:$A$304,0)),""))</f>
        <v/>
      </c>
      <c r="D272" s="40" t="n"/>
      <c r="E272" s="40" t="n"/>
      <c r="F272" s="40" t="n"/>
      <c r="G272" s="40" t="n"/>
      <c r="H272" s="40" t="n"/>
      <c r="I272" s="51" t="n"/>
      <c r="J272" s="47" t="n"/>
      <c r="K272" s="47" t="n"/>
      <c r="L272" s="50" t="n"/>
      <c r="M272" s="49">
        <f>IF(B272="","",IF(L272="","قيد المراجعة",IF(L272="A","معتمد",IF(L272="B","معتمد بملاحظات",IF(L272="C","مرفوض – يعاد التقديم","مرفوض نهائياً")))))</f>
        <v/>
      </c>
      <c r="N272" s="48">
        <f>IF(J272="","",IF(K272="",TODAY(),K272)-J272)</f>
        <v/>
      </c>
      <c r="O272" s="49">
        <f>IF(B272="","",IF(AND(L272="",N(N272)&gt;S_SLA),"متأخر رد الاستشاري",""))</f>
        <v/>
      </c>
      <c r="P272" s="49">
        <f>IF(B272="","",IF(OR(L272="A",L272="B"),"نعم","لا"))</f>
        <v/>
      </c>
    </row>
    <row r="273">
      <c r="A273" s="39">
        <f>IF(B273="","","MAR-"&amp;TEXT(ROW()-4,"0000"))</f>
        <v/>
      </c>
      <c r="B273" s="50" t="n"/>
      <c r="C273" s="49">
        <f>IF(B273="","",IFERROR(INDEX('المشروعات'!$B$5:$B$304,MATCH(B273,'المشروعات'!$A$5:$A$304,0)),""))</f>
        <v/>
      </c>
      <c r="D273" s="40" t="n"/>
      <c r="E273" s="40" t="n"/>
      <c r="F273" s="40" t="n"/>
      <c r="G273" s="40" t="n"/>
      <c r="H273" s="40" t="n"/>
      <c r="I273" s="51" t="n"/>
      <c r="J273" s="47" t="n"/>
      <c r="K273" s="47" t="n"/>
      <c r="L273" s="50" t="n"/>
      <c r="M273" s="49">
        <f>IF(B273="","",IF(L273="","قيد المراجعة",IF(L273="A","معتمد",IF(L273="B","معتمد بملاحظات",IF(L273="C","مرفوض – يعاد التقديم","مرفوض نهائياً")))))</f>
        <v/>
      </c>
      <c r="N273" s="48">
        <f>IF(J273="","",IF(K273="",TODAY(),K273)-J273)</f>
        <v/>
      </c>
      <c r="O273" s="49">
        <f>IF(B273="","",IF(AND(L273="",N(N273)&gt;S_SLA),"متأخر رد الاستشاري",""))</f>
        <v/>
      </c>
      <c r="P273" s="49">
        <f>IF(B273="","",IF(OR(L273="A",L273="B"),"نعم","لا"))</f>
        <v/>
      </c>
    </row>
    <row r="274">
      <c r="A274" s="39">
        <f>IF(B274="","","MAR-"&amp;TEXT(ROW()-4,"0000"))</f>
        <v/>
      </c>
      <c r="B274" s="50" t="n"/>
      <c r="C274" s="49">
        <f>IF(B274="","",IFERROR(INDEX('المشروعات'!$B$5:$B$304,MATCH(B274,'المشروعات'!$A$5:$A$304,0)),""))</f>
        <v/>
      </c>
      <c r="D274" s="40" t="n"/>
      <c r="E274" s="40" t="n"/>
      <c r="F274" s="40" t="n"/>
      <c r="G274" s="40" t="n"/>
      <c r="H274" s="40" t="n"/>
      <c r="I274" s="51" t="n"/>
      <c r="J274" s="47" t="n"/>
      <c r="K274" s="47" t="n"/>
      <c r="L274" s="50" t="n"/>
      <c r="M274" s="49">
        <f>IF(B274="","",IF(L274="","قيد المراجعة",IF(L274="A","معتمد",IF(L274="B","معتمد بملاحظات",IF(L274="C","مرفوض – يعاد التقديم","مرفوض نهائياً")))))</f>
        <v/>
      </c>
      <c r="N274" s="48">
        <f>IF(J274="","",IF(K274="",TODAY(),K274)-J274)</f>
        <v/>
      </c>
      <c r="O274" s="49">
        <f>IF(B274="","",IF(AND(L274="",N(N274)&gt;S_SLA),"متأخر رد الاستشاري",""))</f>
        <v/>
      </c>
      <c r="P274" s="49">
        <f>IF(B274="","",IF(OR(L274="A",L274="B"),"نعم","لا"))</f>
        <v/>
      </c>
    </row>
    <row r="275">
      <c r="A275" s="39">
        <f>IF(B275="","","MAR-"&amp;TEXT(ROW()-4,"0000"))</f>
        <v/>
      </c>
      <c r="B275" s="50" t="n"/>
      <c r="C275" s="49">
        <f>IF(B275="","",IFERROR(INDEX('المشروعات'!$B$5:$B$304,MATCH(B275,'المشروعات'!$A$5:$A$304,0)),""))</f>
        <v/>
      </c>
      <c r="D275" s="40" t="n"/>
      <c r="E275" s="40" t="n"/>
      <c r="F275" s="40" t="n"/>
      <c r="G275" s="40" t="n"/>
      <c r="H275" s="40" t="n"/>
      <c r="I275" s="51" t="n"/>
      <c r="J275" s="47" t="n"/>
      <c r="K275" s="47" t="n"/>
      <c r="L275" s="50" t="n"/>
      <c r="M275" s="49">
        <f>IF(B275="","",IF(L275="","قيد المراجعة",IF(L275="A","معتمد",IF(L275="B","معتمد بملاحظات",IF(L275="C","مرفوض – يعاد التقديم","مرفوض نهائياً")))))</f>
        <v/>
      </c>
      <c r="N275" s="48">
        <f>IF(J275="","",IF(K275="",TODAY(),K275)-J275)</f>
        <v/>
      </c>
      <c r="O275" s="49">
        <f>IF(B275="","",IF(AND(L275="",N(N275)&gt;S_SLA),"متأخر رد الاستشاري",""))</f>
        <v/>
      </c>
      <c r="P275" s="49">
        <f>IF(B275="","",IF(OR(L275="A",L275="B"),"نعم","لا"))</f>
        <v/>
      </c>
    </row>
    <row r="276">
      <c r="A276" s="39">
        <f>IF(B276="","","MAR-"&amp;TEXT(ROW()-4,"0000"))</f>
        <v/>
      </c>
      <c r="B276" s="50" t="n"/>
      <c r="C276" s="49">
        <f>IF(B276="","",IFERROR(INDEX('المشروعات'!$B$5:$B$304,MATCH(B276,'المشروعات'!$A$5:$A$304,0)),""))</f>
        <v/>
      </c>
      <c r="D276" s="40" t="n"/>
      <c r="E276" s="40" t="n"/>
      <c r="F276" s="40" t="n"/>
      <c r="G276" s="40" t="n"/>
      <c r="H276" s="40" t="n"/>
      <c r="I276" s="51" t="n"/>
      <c r="J276" s="47" t="n"/>
      <c r="K276" s="47" t="n"/>
      <c r="L276" s="50" t="n"/>
      <c r="M276" s="49">
        <f>IF(B276="","",IF(L276="","قيد المراجعة",IF(L276="A","معتمد",IF(L276="B","معتمد بملاحظات",IF(L276="C","مرفوض – يعاد التقديم","مرفوض نهائياً")))))</f>
        <v/>
      </c>
      <c r="N276" s="48">
        <f>IF(J276="","",IF(K276="",TODAY(),K276)-J276)</f>
        <v/>
      </c>
      <c r="O276" s="49">
        <f>IF(B276="","",IF(AND(L276="",N(N276)&gt;S_SLA),"متأخر رد الاستشاري",""))</f>
        <v/>
      </c>
      <c r="P276" s="49">
        <f>IF(B276="","",IF(OR(L276="A",L276="B"),"نعم","لا"))</f>
        <v/>
      </c>
    </row>
    <row r="277">
      <c r="A277" s="39">
        <f>IF(B277="","","MAR-"&amp;TEXT(ROW()-4,"0000"))</f>
        <v/>
      </c>
      <c r="B277" s="50" t="n"/>
      <c r="C277" s="49">
        <f>IF(B277="","",IFERROR(INDEX('المشروعات'!$B$5:$B$304,MATCH(B277,'المشروعات'!$A$5:$A$304,0)),""))</f>
        <v/>
      </c>
      <c r="D277" s="40" t="n"/>
      <c r="E277" s="40" t="n"/>
      <c r="F277" s="40" t="n"/>
      <c r="G277" s="40" t="n"/>
      <c r="H277" s="40" t="n"/>
      <c r="I277" s="51" t="n"/>
      <c r="J277" s="47" t="n"/>
      <c r="K277" s="47" t="n"/>
      <c r="L277" s="50" t="n"/>
      <c r="M277" s="49">
        <f>IF(B277="","",IF(L277="","قيد المراجعة",IF(L277="A","معتمد",IF(L277="B","معتمد بملاحظات",IF(L277="C","مرفوض – يعاد التقديم","مرفوض نهائياً")))))</f>
        <v/>
      </c>
      <c r="N277" s="48">
        <f>IF(J277="","",IF(K277="",TODAY(),K277)-J277)</f>
        <v/>
      </c>
      <c r="O277" s="49">
        <f>IF(B277="","",IF(AND(L277="",N(N277)&gt;S_SLA),"متأخر رد الاستشاري",""))</f>
        <v/>
      </c>
      <c r="P277" s="49">
        <f>IF(B277="","",IF(OR(L277="A",L277="B"),"نعم","لا"))</f>
        <v/>
      </c>
    </row>
    <row r="278">
      <c r="A278" s="39">
        <f>IF(B278="","","MAR-"&amp;TEXT(ROW()-4,"0000"))</f>
        <v/>
      </c>
      <c r="B278" s="50" t="n"/>
      <c r="C278" s="49">
        <f>IF(B278="","",IFERROR(INDEX('المشروعات'!$B$5:$B$304,MATCH(B278,'المشروعات'!$A$5:$A$304,0)),""))</f>
        <v/>
      </c>
      <c r="D278" s="40" t="n"/>
      <c r="E278" s="40" t="n"/>
      <c r="F278" s="40" t="n"/>
      <c r="G278" s="40" t="n"/>
      <c r="H278" s="40" t="n"/>
      <c r="I278" s="51" t="n"/>
      <c r="J278" s="47" t="n"/>
      <c r="K278" s="47" t="n"/>
      <c r="L278" s="50" t="n"/>
      <c r="M278" s="49">
        <f>IF(B278="","",IF(L278="","قيد المراجعة",IF(L278="A","معتمد",IF(L278="B","معتمد بملاحظات",IF(L278="C","مرفوض – يعاد التقديم","مرفوض نهائياً")))))</f>
        <v/>
      </c>
      <c r="N278" s="48">
        <f>IF(J278="","",IF(K278="",TODAY(),K278)-J278)</f>
        <v/>
      </c>
      <c r="O278" s="49">
        <f>IF(B278="","",IF(AND(L278="",N(N278)&gt;S_SLA),"متأخر رد الاستشاري",""))</f>
        <v/>
      </c>
      <c r="P278" s="49">
        <f>IF(B278="","",IF(OR(L278="A",L278="B"),"نعم","لا"))</f>
        <v/>
      </c>
    </row>
    <row r="279">
      <c r="A279" s="39">
        <f>IF(B279="","","MAR-"&amp;TEXT(ROW()-4,"0000"))</f>
        <v/>
      </c>
      <c r="B279" s="50" t="n"/>
      <c r="C279" s="49">
        <f>IF(B279="","",IFERROR(INDEX('المشروعات'!$B$5:$B$304,MATCH(B279,'المشروعات'!$A$5:$A$304,0)),""))</f>
        <v/>
      </c>
      <c r="D279" s="40" t="n"/>
      <c r="E279" s="40" t="n"/>
      <c r="F279" s="40" t="n"/>
      <c r="G279" s="40" t="n"/>
      <c r="H279" s="40" t="n"/>
      <c r="I279" s="51" t="n"/>
      <c r="J279" s="47" t="n"/>
      <c r="K279" s="47" t="n"/>
      <c r="L279" s="50" t="n"/>
      <c r="M279" s="49">
        <f>IF(B279="","",IF(L279="","قيد المراجعة",IF(L279="A","معتمد",IF(L279="B","معتمد بملاحظات",IF(L279="C","مرفوض – يعاد التقديم","مرفوض نهائياً")))))</f>
        <v/>
      </c>
      <c r="N279" s="48">
        <f>IF(J279="","",IF(K279="",TODAY(),K279)-J279)</f>
        <v/>
      </c>
      <c r="O279" s="49">
        <f>IF(B279="","",IF(AND(L279="",N(N279)&gt;S_SLA),"متأخر رد الاستشاري",""))</f>
        <v/>
      </c>
      <c r="P279" s="49">
        <f>IF(B279="","",IF(OR(L279="A",L279="B"),"نعم","لا"))</f>
        <v/>
      </c>
    </row>
    <row r="280">
      <c r="A280" s="39">
        <f>IF(B280="","","MAR-"&amp;TEXT(ROW()-4,"0000"))</f>
        <v/>
      </c>
      <c r="B280" s="50" t="n"/>
      <c r="C280" s="49">
        <f>IF(B280="","",IFERROR(INDEX('المشروعات'!$B$5:$B$304,MATCH(B280,'المشروعات'!$A$5:$A$304,0)),""))</f>
        <v/>
      </c>
      <c r="D280" s="40" t="n"/>
      <c r="E280" s="40" t="n"/>
      <c r="F280" s="40" t="n"/>
      <c r="G280" s="40" t="n"/>
      <c r="H280" s="40" t="n"/>
      <c r="I280" s="51" t="n"/>
      <c r="J280" s="47" t="n"/>
      <c r="K280" s="47" t="n"/>
      <c r="L280" s="50" t="n"/>
      <c r="M280" s="49">
        <f>IF(B280="","",IF(L280="","قيد المراجعة",IF(L280="A","معتمد",IF(L280="B","معتمد بملاحظات",IF(L280="C","مرفوض – يعاد التقديم","مرفوض نهائياً")))))</f>
        <v/>
      </c>
      <c r="N280" s="48">
        <f>IF(J280="","",IF(K280="",TODAY(),K280)-J280)</f>
        <v/>
      </c>
      <c r="O280" s="49">
        <f>IF(B280="","",IF(AND(L280="",N(N280)&gt;S_SLA),"متأخر رد الاستشاري",""))</f>
        <v/>
      </c>
      <c r="P280" s="49">
        <f>IF(B280="","",IF(OR(L280="A",L280="B"),"نعم","لا"))</f>
        <v/>
      </c>
    </row>
    <row r="281">
      <c r="A281" s="39">
        <f>IF(B281="","","MAR-"&amp;TEXT(ROW()-4,"0000"))</f>
        <v/>
      </c>
      <c r="B281" s="50" t="n"/>
      <c r="C281" s="49">
        <f>IF(B281="","",IFERROR(INDEX('المشروعات'!$B$5:$B$304,MATCH(B281,'المشروعات'!$A$5:$A$304,0)),""))</f>
        <v/>
      </c>
      <c r="D281" s="40" t="n"/>
      <c r="E281" s="40" t="n"/>
      <c r="F281" s="40" t="n"/>
      <c r="G281" s="40" t="n"/>
      <c r="H281" s="40" t="n"/>
      <c r="I281" s="51" t="n"/>
      <c r="J281" s="47" t="n"/>
      <c r="K281" s="47" t="n"/>
      <c r="L281" s="50" t="n"/>
      <c r="M281" s="49">
        <f>IF(B281="","",IF(L281="","قيد المراجعة",IF(L281="A","معتمد",IF(L281="B","معتمد بملاحظات",IF(L281="C","مرفوض – يعاد التقديم","مرفوض نهائياً")))))</f>
        <v/>
      </c>
      <c r="N281" s="48">
        <f>IF(J281="","",IF(K281="",TODAY(),K281)-J281)</f>
        <v/>
      </c>
      <c r="O281" s="49">
        <f>IF(B281="","",IF(AND(L281="",N(N281)&gt;S_SLA),"متأخر رد الاستشاري",""))</f>
        <v/>
      </c>
      <c r="P281" s="49">
        <f>IF(B281="","",IF(OR(L281="A",L281="B"),"نعم","لا"))</f>
        <v/>
      </c>
    </row>
    <row r="282">
      <c r="A282" s="39">
        <f>IF(B282="","","MAR-"&amp;TEXT(ROW()-4,"0000"))</f>
        <v/>
      </c>
      <c r="B282" s="50" t="n"/>
      <c r="C282" s="49">
        <f>IF(B282="","",IFERROR(INDEX('المشروعات'!$B$5:$B$304,MATCH(B282,'المشروعات'!$A$5:$A$304,0)),""))</f>
        <v/>
      </c>
      <c r="D282" s="40" t="n"/>
      <c r="E282" s="40" t="n"/>
      <c r="F282" s="40" t="n"/>
      <c r="G282" s="40" t="n"/>
      <c r="H282" s="40" t="n"/>
      <c r="I282" s="51" t="n"/>
      <c r="J282" s="47" t="n"/>
      <c r="K282" s="47" t="n"/>
      <c r="L282" s="50" t="n"/>
      <c r="M282" s="49">
        <f>IF(B282="","",IF(L282="","قيد المراجعة",IF(L282="A","معتمد",IF(L282="B","معتمد بملاحظات",IF(L282="C","مرفوض – يعاد التقديم","مرفوض نهائياً")))))</f>
        <v/>
      </c>
      <c r="N282" s="48">
        <f>IF(J282="","",IF(K282="",TODAY(),K282)-J282)</f>
        <v/>
      </c>
      <c r="O282" s="49">
        <f>IF(B282="","",IF(AND(L282="",N(N282)&gt;S_SLA),"متأخر رد الاستشاري",""))</f>
        <v/>
      </c>
      <c r="P282" s="49">
        <f>IF(B282="","",IF(OR(L282="A",L282="B"),"نعم","لا"))</f>
        <v/>
      </c>
    </row>
    <row r="283">
      <c r="A283" s="39">
        <f>IF(B283="","","MAR-"&amp;TEXT(ROW()-4,"0000"))</f>
        <v/>
      </c>
      <c r="B283" s="50" t="n"/>
      <c r="C283" s="49">
        <f>IF(B283="","",IFERROR(INDEX('المشروعات'!$B$5:$B$304,MATCH(B283,'المشروعات'!$A$5:$A$304,0)),""))</f>
        <v/>
      </c>
      <c r="D283" s="40" t="n"/>
      <c r="E283" s="40" t="n"/>
      <c r="F283" s="40" t="n"/>
      <c r="G283" s="40" t="n"/>
      <c r="H283" s="40" t="n"/>
      <c r="I283" s="51" t="n"/>
      <c r="J283" s="47" t="n"/>
      <c r="K283" s="47" t="n"/>
      <c r="L283" s="50" t="n"/>
      <c r="M283" s="49">
        <f>IF(B283="","",IF(L283="","قيد المراجعة",IF(L283="A","معتمد",IF(L283="B","معتمد بملاحظات",IF(L283="C","مرفوض – يعاد التقديم","مرفوض نهائياً")))))</f>
        <v/>
      </c>
      <c r="N283" s="48">
        <f>IF(J283="","",IF(K283="",TODAY(),K283)-J283)</f>
        <v/>
      </c>
      <c r="O283" s="49">
        <f>IF(B283="","",IF(AND(L283="",N(N283)&gt;S_SLA),"متأخر رد الاستشاري",""))</f>
        <v/>
      </c>
      <c r="P283" s="49">
        <f>IF(B283="","",IF(OR(L283="A",L283="B"),"نعم","لا"))</f>
        <v/>
      </c>
    </row>
    <row r="284">
      <c r="A284" s="39">
        <f>IF(B284="","","MAR-"&amp;TEXT(ROW()-4,"0000"))</f>
        <v/>
      </c>
      <c r="B284" s="50" t="n"/>
      <c r="C284" s="49">
        <f>IF(B284="","",IFERROR(INDEX('المشروعات'!$B$5:$B$304,MATCH(B284,'المشروعات'!$A$5:$A$304,0)),""))</f>
        <v/>
      </c>
      <c r="D284" s="40" t="n"/>
      <c r="E284" s="40" t="n"/>
      <c r="F284" s="40" t="n"/>
      <c r="G284" s="40" t="n"/>
      <c r="H284" s="40" t="n"/>
      <c r="I284" s="51" t="n"/>
      <c r="J284" s="47" t="n"/>
      <c r="K284" s="47" t="n"/>
      <c r="L284" s="50" t="n"/>
      <c r="M284" s="49">
        <f>IF(B284="","",IF(L284="","قيد المراجعة",IF(L284="A","معتمد",IF(L284="B","معتمد بملاحظات",IF(L284="C","مرفوض – يعاد التقديم","مرفوض نهائياً")))))</f>
        <v/>
      </c>
      <c r="N284" s="48">
        <f>IF(J284="","",IF(K284="",TODAY(),K284)-J284)</f>
        <v/>
      </c>
      <c r="O284" s="49">
        <f>IF(B284="","",IF(AND(L284="",N(N284)&gt;S_SLA),"متأخر رد الاستشاري",""))</f>
        <v/>
      </c>
      <c r="P284" s="49">
        <f>IF(B284="","",IF(OR(L284="A",L284="B"),"نعم","لا"))</f>
        <v/>
      </c>
    </row>
    <row r="285">
      <c r="A285" s="39">
        <f>IF(B285="","","MAR-"&amp;TEXT(ROW()-4,"0000"))</f>
        <v/>
      </c>
      <c r="B285" s="50" t="n"/>
      <c r="C285" s="49">
        <f>IF(B285="","",IFERROR(INDEX('المشروعات'!$B$5:$B$304,MATCH(B285,'المشروعات'!$A$5:$A$304,0)),""))</f>
        <v/>
      </c>
      <c r="D285" s="40" t="n"/>
      <c r="E285" s="40" t="n"/>
      <c r="F285" s="40" t="n"/>
      <c r="G285" s="40" t="n"/>
      <c r="H285" s="40" t="n"/>
      <c r="I285" s="51" t="n"/>
      <c r="J285" s="47" t="n"/>
      <c r="K285" s="47" t="n"/>
      <c r="L285" s="50" t="n"/>
      <c r="M285" s="49">
        <f>IF(B285="","",IF(L285="","قيد المراجعة",IF(L285="A","معتمد",IF(L285="B","معتمد بملاحظات",IF(L285="C","مرفوض – يعاد التقديم","مرفوض نهائياً")))))</f>
        <v/>
      </c>
      <c r="N285" s="48">
        <f>IF(J285="","",IF(K285="",TODAY(),K285)-J285)</f>
        <v/>
      </c>
      <c r="O285" s="49">
        <f>IF(B285="","",IF(AND(L285="",N(N285)&gt;S_SLA),"متأخر رد الاستشاري",""))</f>
        <v/>
      </c>
      <c r="P285" s="49">
        <f>IF(B285="","",IF(OR(L285="A",L285="B"),"نعم","لا"))</f>
        <v/>
      </c>
    </row>
    <row r="286">
      <c r="A286" s="39">
        <f>IF(B286="","","MAR-"&amp;TEXT(ROW()-4,"0000"))</f>
        <v/>
      </c>
      <c r="B286" s="50" t="n"/>
      <c r="C286" s="49">
        <f>IF(B286="","",IFERROR(INDEX('المشروعات'!$B$5:$B$304,MATCH(B286,'المشروعات'!$A$5:$A$304,0)),""))</f>
        <v/>
      </c>
      <c r="D286" s="40" t="n"/>
      <c r="E286" s="40" t="n"/>
      <c r="F286" s="40" t="n"/>
      <c r="G286" s="40" t="n"/>
      <c r="H286" s="40" t="n"/>
      <c r="I286" s="51" t="n"/>
      <c r="J286" s="47" t="n"/>
      <c r="K286" s="47" t="n"/>
      <c r="L286" s="50" t="n"/>
      <c r="M286" s="49">
        <f>IF(B286="","",IF(L286="","قيد المراجعة",IF(L286="A","معتمد",IF(L286="B","معتمد بملاحظات",IF(L286="C","مرفوض – يعاد التقديم","مرفوض نهائياً")))))</f>
        <v/>
      </c>
      <c r="N286" s="48">
        <f>IF(J286="","",IF(K286="",TODAY(),K286)-J286)</f>
        <v/>
      </c>
      <c r="O286" s="49">
        <f>IF(B286="","",IF(AND(L286="",N(N286)&gt;S_SLA),"متأخر رد الاستشاري",""))</f>
        <v/>
      </c>
      <c r="P286" s="49">
        <f>IF(B286="","",IF(OR(L286="A",L286="B"),"نعم","لا"))</f>
        <v/>
      </c>
    </row>
    <row r="287">
      <c r="A287" s="39">
        <f>IF(B287="","","MAR-"&amp;TEXT(ROW()-4,"0000"))</f>
        <v/>
      </c>
      <c r="B287" s="50" t="n"/>
      <c r="C287" s="49">
        <f>IF(B287="","",IFERROR(INDEX('المشروعات'!$B$5:$B$304,MATCH(B287,'المشروعات'!$A$5:$A$304,0)),""))</f>
        <v/>
      </c>
      <c r="D287" s="40" t="n"/>
      <c r="E287" s="40" t="n"/>
      <c r="F287" s="40" t="n"/>
      <c r="G287" s="40" t="n"/>
      <c r="H287" s="40" t="n"/>
      <c r="I287" s="51" t="n"/>
      <c r="J287" s="47" t="n"/>
      <c r="K287" s="47" t="n"/>
      <c r="L287" s="50" t="n"/>
      <c r="M287" s="49">
        <f>IF(B287="","",IF(L287="","قيد المراجعة",IF(L287="A","معتمد",IF(L287="B","معتمد بملاحظات",IF(L287="C","مرفوض – يعاد التقديم","مرفوض نهائياً")))))</f>
        <v/>
      </c>
      <c r="N287" s="48">
        <f>IF(J287="","",IF(K287="",TODAY(),K287)-J287)</f>
        <v/>
      </c>
      <c r="O287" s="49">
        <f>IF(B287="","",IF(AND(L287="",N(N287)&gt;S_SLA),"متأخر رد الاستشاري",""))</f>
        <v/>
      </c>
      <c r="P287" s="49">
        <f>IF(B287="","",IF(OR(L287="A",L287="B"),"نعم","لا"))</f>
        <v/>
      </c>
    </row>
    <row r="288">
      <c r="A288" s="39">
        <f>IF(B288="","","MAR-"&amp;TEXT(ROW()-4,"0000"))</f>
        <v/>
      </c>
      <c r="B288" s="50" t="n"/>
      <c r="C288" s="49">
        <f>IF(B288="","",IFERROR(INDEX('المشروعات'!$B$5:$B$304,MATCH(B288,'المشروعات'!$A$5:$A$304,0)),""))</f>
        <v/>
      </c>
      <c r="D288" s="40" t="n"/>
      <c r="E288" s="40" t="n"/>
      <c r="F288" s="40" t="n"/>
      <c r="G288" s="40" t="n"/>
      <c r="H288" s="40" t="n"/>
      <c r="I288" s="51" t="n"/>
      <c r="J288" s="47" t="n"/>
      <c r="K288" s="47" t="n"/>
      <c r="L288" s="50" t="n"/>
      <c r="M288" s="49">
        <f>IF(B288="","",IF(L288="","قيد المراجعة",IF(L288="A","معتمد",IF(L288="B","معتمد بملاحظات",IF(L288="C","مرفوض – يعاد التقديم","مرفوض نهائياً")))))</f>
        <v/>
      </c>
      <c r="N288" s="48">
        <f>IF(J288="","",IF(K288="",TODAY(),K288)-J288)</f>
        <v/>
      </c>
      <c r="O288" s="49">
        <f>IF(B288="","",IF(AND(L288="",N(N288)&gt;S_SLA),"متأخر رد الاستشاري",""))</f>
        <v/>
      </c>
      <c r="P288" s="49">
        <f>IF(B288="","",IF(OR(L288="A",L288="B"),"نعم","لا"))</f>
        <v/>
      </c>
    </row>
    <row r="289">
      <c r="A289" s="39">
        <f>IF(B289="","","MAR-"&amp;TEXT(ROW()-4,"0000"))</f>
        <v/>
      </c>
      <c r="B289" s="50" t="n"/>
      <c r="C289" s="49">
        <f>IF(B289="","",IFERROR(INDEX('المشروعات'!$B$5:$B$304,MATCH(B289,'المشروعات'!$A$5:$A$304,0)),""))</f>
        <v/>
      </c>
      <c r="D289" s="40" t="n"/>
      <c r="E289" s="40" t="n"/>
      <c r="F289" s="40" t="n"/>
      <c r="G289" s="40" t="n"/>
      <c r="H289" s="40" t="n"/>
      <c r="I289" s="51" t="n"/>
      <c r="J289" s="47" t="n"/>
      <c r="K289" s="47" t="n"/>
      <c r="L289" s="50" t="n"/>
      <c r="M289" s="49">
        <f>IF(B289="","",IF(L289="","قيد المراجعة",IF(L289="A","معتمد",IF(L289="B","معتمد بملاحظات",IF(L289="C","مرفوض – يعاد التقديم","مرفوض نهائياً")))))</f>
        <v/>
      </c>
      <c r="N289" s="48">
        <f>IF(J289="","",IF(K289="",TODAY(),K289)-J289)</f>
        <v/>
      </c>
      <c r="O289" s="49">
        <f>IF(B289="","",IF(AND(L289="",N(N289)&gt;S_SLA),"متأخر رد الاستشاري",""))</f>
        <v/>
      </c>
      <c r="P289" s="49">
        <f>IF(B289="","",IF(OR(L289="A",L289="B"),"نعم","لا"))</f>
        <v/>
      </c>
    </row>
    <row r="290">
      <c r="A290" s="39">
        <f>IF(B290="","","MAR-"&amp;TEXT(ROW()-4,"0000"))</f>
        <v/>
      </c>
      <c r="B290" s="50" t="n"/>
      <c r="C290" s="49">
        <f>IF(B290="","",IFERROR(INDEX('المشروعات'!$B$5:$B$304,MATCH(B290,'المشروعات'!$A$5:$A$304,0)),""))</f>
        <v/>
      </c>
      <c r="D290" s="40" t="n"/>
      <c r="E290" s="40" t="n"/>
      <c r="F290" s="40" t="n"/>
      <c r="G290" s="40" t="n"/>
      <c r="H290" s="40" t="n"/>
      <c r="I290" s="51" t="n"/>
      <c r="J290" s="47" t="n"/>
      <c r="K290" s="47" t="n"/>
      <c r="L290" s="50" t="n"/>
      <c r="M290" s="49">
        <f>IF(B290="","",IF(L290="","قيد المراجعة",IF(L290="A","معتمد",IF(L290="B","معتمد بملاحظات",IF(L290="C","مرفوض – يعاد التقديم","مرفوض نهائياً")))))</f>
        <v/>
      </c>
      <c r="N290" s="48">
        <f>IF(J290="","",IF(K290="",TODAY(),K290)-J290)</f>
        <v/>
      </c>
      <c r="O290" s="49">
        <f>IF(B290="","",IF(AND(L290="",N(N290)&gt;S_SLA),"متأخر رد الاستشاري",""))</f>
        <v/>
      </c>
      <c r="P290" s="49">
        <f>IF(B290="","",IF(OR(L290="A",L290="B"),"نعم","لا"))</f>
        <v/>
      </c>
    </row>
    <row r="291">
      <c r="A291" s="39">
        <f>IF(B291="","","MAR-"&amp;TEXT(ROW()-4,"0000"))</f>
        <v/>
      </c>
      <c r="B291" s="50" t="n"/>
      <c r="C291" s="49">
        <f>IF(B291="","",IFERROR(INDEX('المشروعات'!$B$5:$B$304,MATCH(B291,'المشروعات'!$A$5:$A$304,0)),""))</f>
        <v/>
      </c>
      <c r="D291" s="40" t="n"/>
      <c r="E291" s="40" t="n"/>
      <c r="F291" s="40" t="n"/>
      <c r="G291" s="40" t="n"/>
      <c r="H291" s="40" t="n"/>
      <c r="I291" s="51" t="n"/>
      <c r="J291" s="47" t="n"/>
      <c r="K291" s="47" t="n"/>
      <c r="L291" s="50" t="n"/>
      <c r="M291" s="49">
        <f>IF(B291="","",IF(L291="","قيد المراجعة",IF(L291="A","معتمد",IF(L291="B","معتمد بملاحظات",IF(L291="C","مرفوض – يعاد التقديم","مرفوض نهائياً")))))</f>
        <v/>
      </c>
      <c r="N291" s="48">
        <f>IF(J291="","",IF(K291="",TODAY(),K291)-J291)</f>
        <v/>
      </c>
      <c r="O291" s="49">
        <f>IF(B291="","",IF(AND(L291="",N(N291)&gt;S_SLA),"متأخر رد الاستشاري",""))</f>
        <v/>
      </c>
      <c r="P291" s="49">
        <f>IF(B291="","",IF(OR(L291="A",L291="B"),"نعم","لا"))</f>
        <v/>
      </c>
    </row>
    <row r="292">
      <c r="A292" s="39">
        <f>IF(B292="","","MAR-"&amp;TEXT(ROW()-4,"0000"))</f>
        <v/>
      </c>
      <c r="B292" s="50" t="n"/>
      <c r="C292" s="49">
        <f>IF(B292="","",IFERROR(INDEX('المشروعات'!$B$5:$B$304,MATCH(B292,'المشروعات'!$A$5:$A$304,0)),""))</f>
        <v/>
      </c>
      <c r="D292" s="40" t="n"/>
      <c r="E292" s="40" t="n"/>
      <c r="F292" s="40" t="n"/>
      <c r="G292" s="40" t="n"/>
      <c r="H292" s="40" t="n"/>
      <c r="I292" s="51" t="n"/>
      <c r="J292" s="47" t="n"/>
      <c r="K292" s="47" t="n"/>
      <c r="L292" s="50" t="n"/>
      <c r="M292" s="49">
        <f>IF(B292="","",IF(L292="","قيد المراجعة",IF(L292="A","معتمد",IF(L292="B","معتمد بملاحظات",IF(L292="C","مرفوض – يعاد التقديم","مرفوض نهائياً")))))</f>
        <v/>
      </c>
      <c r="N292" s="48">
        <f>IF(J292="","",IF(K292="",TODAY(),K292)-J292)</f>
        <v/>
      </c>
      <c r="O292" s="49">
        <f>IF(B292="","",IF(AND(L292="",N(N292)&gt;S_SLA),"متأخر رد الاستشاري",""))</f>
        <v/>
      </c>
      <c r="P292" s="49">
        <f>IF(B292="","",IF(OR(L292="A",L292="B"),"نعم","لا"))</f>
        <v/>
      </c>
    </row>
    <row r="293">
      <c r="A293" s="39">
        <f>IF(B293="","","MAR-"&amp;TEXT(ROW()-4,"0000"))</f>
        <v/>
      </c>
      <c r="B293" s="50" t="n"/>
      <c r="C293" s="49">
        <f>IF(B293="","",IFERROR(INDEX('المشروعات'!$B$5:$B$304,MATCH(B293,'المشروعات'!$A$5:$A$304,0)),""))</f>
        <v/>
      </c>
      <c r="D293" s="40" t="n"/>
      <c r="E293" s="40" t="n"/>
      <c r="F293" s="40" t="n"/>
      <c r="G293" s="40" t="n"/>
      <c r="H293" s="40" t="n"/>
      <c r="I293" s="51" t="n"/>
      <c r="J293" s="47" t="n"/>
      <c r="K293" s="47" t="n"/>
      <c r="L293" s="50" t="n"/>
      <c r="M293" s="49">
        <f>IF(B293="","",IF(L293="","قيد المراجعة",IF(L293="A","معتمد",IF(L293="B","معتمد بملاحظات",IF(L293="C","مرفوض – يعاد التقديم","مرفوض نهائياً")))))</f>
        <v/>
      </c>
      <c r="N293" s="48">
        <f>IF(J293="","",IF(K293="",TODAY(),K293)-J293)</f>
        <v/>
      </c>
      <c r="O293" s="49">
        <f>IF(B293="","",IF(AND(L293="",N(N293)&gt;S_SLA),"متأخر رد الاستشاري",""))</f>
        <v/>
      </c>
      <c r="P293" s="49">
        <f>IF(B293="","",IF(OR(L293="A",L293="B"),"نعم","لا"))</f>
        <v/>
      </c>
    </row>
    <row r="294">
      <c r="A294" s="39">
        <f>IF(B294="","","MAR-"&amp;TEXT(ROW()-4,"0000"))</f>
        <v/>
      </c>
      <c r="B294" s="50" t="n"/>
      <c r="C294" s="49">
        <f>IF(B294="","",IFERROR(INDEX('المشروعات'!$B$5:$B$304,MATCH(B294,'المشروعات'!$A$5:$A$304,0)),""))</f>
        <v/>
      </c>
      <c r="D294" s="40" t="n"/>
      <c r="E294" s="40" t="n"/>
      <c r="F294" s="40" t="n"/>
      <c r="G294" s="40" t="n"/>
      <c r="H294" s="40" t="n"/>
      <c r="I294" s="51" t="n"/>
      <c r="J294" s="47" t="n"/>
      <c r="K294" s="47" t="n"/>
      <c r="L294" s="50" t="n"/>
      <c r="M294" s="49">
        <f>IF(B294="","",IF(L294="","قيد المراجعة",IF(L294="A","معتمد",IF(L294="B","معتمد بملاحظات",IF(L294="C","مرفوض – يعاد التقديم","مرفوض نهائياً")))))</f>
        <v/>
      </c>
      <c r="N294" s="48">
        <f>IF(J294="","",IF(K294="",TODAY(),K294)-J294)</f>
        <v/>
      </c>
      <c r="O294" s="49">
        <f>IF(B294="","",IF(AND(L294="",N(N294)&gt;S_SLA),"متأخر رد الاستشاري",""))</f>
        <v/>
      </c>
      <c r="P294" s="49">
        <f>IF(B294="","",IF(OR(L294="A",L294="B"),"نعم","لا"))</f>
        <v/>
      </c>
    </row>
    <row r="295">
      <c r="A295" s="39">
        <f>IF(B295="","","MAR-"&amp;TEXT(ROW()-4,"0000"))</f>
        <v/>
      </c>
      <c r="B295" s="50" t="n"/>
      <c r="C295" s="49">
        <f>IF(B295="","",IFERROR(INDEX('المشروعات'!$B$5:$B$304,MATCH(B295,'المشروعات'!$A$5:$A$304,0)),""))</f>
        <v/>
      </c>
      <c r="D295" s="40" t="n"/>
      <c r="E295" s="40" t="n"/>
      <c r="F295" s="40" t="n"/>
      <c r="G295" s="40" t="n"/>
      <c r="H295" s="40" t="n"/>
      <c r="I295" s="51" t="n"/>
      <c r="J295" s="47" t="n"/>
      <c r="K295" s="47" t="n"/>
      <c r="L295" s="50" t="n"/>
      <c r="M295" s="49">
        <f>IF(B295="","",IF(L295="","قيد المراجعة",IF(L295="A","معتمد",IF(L295="B","معتمد بملاحظات",IF(L295="C","مرفوض – يعاد التقديم","مرفوض نهائياً")))))</f>
        <v/>
      </c>
      <c r="N295" s="48">
        <f>IF(J295="","",IF(K295="",TODAY(),K295)-J295)</f>
        <v/>
      </c>
      <c r="O295" s="49">
        <f>IF(B295="","",IF(AND(L295="",N(N295)&gt;S_SLA),"متأخر رد الاستشاري",""))</f>
        <v/>
      </c>
      <c r="P295" s="49">
        <f>IF(B295="","",IF(OR(L295="A",L295="B"),"نعم","لا"))</f>
        <v/>
      </c>
    </row>
    <row r="296">
      <c r="A296" s="39">
        <f>IF(B296="","","MAR-"&amp;TEXT(ROW()-4,"0000"))</f>
        <v/>
      </c>
      <c r="B296" s="50" t="n"/>
      <c r="C296" s="49">
        <f>IF(B296="","",IFERROR(INDEX('المشروعات'!$B$5:$B$304,MATCH(B296,'المشروعات'!$A$5:$A$304,0)),""))</f>
        <v/>
      </c>
      <c r="D296" s="40" t="n"/>
      <c r="E296" s="40" t="n"/>
      <c r="F296" s="40" t="n"/>
      <c r="G296" s="40" t="n"/>
      <c r="H296" s="40" t="n"/>
      <c r="I296" s="51" t="n"/>
      <c r="J296" s="47" t="n"/>
      <c r="K296" s="47" t="n"/>
      <c r="L296" s="50" t="n"/>
      <c r="M296" s="49">
        <f>IF(B296="","",IF(L296="","قيد المراجعة",IF(L296="A","معتمد",IF(L296="B","معتمد بملاحظات",IF(L296="C","مرفوض – يعاد التقديم","مرفوض نهائياً")))))</f>
        <v/>
      </c>
      <c r="N296" s="48">
        <f>IF(J296="","",IF(K296="",TODAY(),K296)-J296)</f>
        <v/>
      </c>
      <c r="O296" s="49">
        <f>IF(B296="","",IF(AND(L296="",N(N296)&gt;S_SLA),"متأخر رد الاستشاري",""))</f>
        <v/>
      </c>
      <c r="P296" s="49">
        <f>IF(B296="","",IF(OR(L296="A",L296="B"),"نعم","لا"))</f>
        <v/>
      </c>
    </row>
    <row r="297">
      <c r="A297" s="39">
        <f>IF(B297="","","MAR-"&amp;TEXT(ROW()-4,"0000"))</f>
        <v/>
      </c>
      <c r="B297" s="50" t="n"/>
      <c r="C297" s="49">
        <f>IF(B297="","",IFERROR(INDEX('المشروعات'!$B$5:$B$304,MATCH(B297,'المشروعات'!$A$5:$A$304,0)),""))</f>
        <v/>
      </c>
      <c r="D297" s="40" t="n"/>
      <c r="E297" s="40" t="n"/>
      <c r="F297" s="40" t="n"/>
      <c r="G297" s="40" t="n"/>
      <c r="H297" s="40" t="n"/>
      <c r="I297" s="51" t="n"/>
      <c r="J297" s="47" t="n"/>
      <c r="K297" s="47" t="n"/>
      <c r="L297" s="50" t="n"/>
      <c r="M297" s="49">
        <f>IF(B297="","",IF(L297="","قيد المراجعة",IF(L297="A","معتمد",IF(L297="B","معتمد بملاحظات",IF(L297="C","مرفوض – يعاد التقديم","مرفوض نهائياً")))))</f>
        <v/>
      </c>
      <c r="N297" s="48">
        <f>IF(J297="","",IF(K297="",TODAY(),K297)-J297)</f>
        <v/>
      </c>
      <c r="O297" s="49">
        <f>IF(B297="","",IF(AND(L297="",N(N297)&gt;S_SLA),"متأخر رد الاستشاري",""))</f>
        <v/>
      </c>
      <c r="P297" s="49">
        <f>IF(B297="","",IF(OR(L297="A",L297="B"),"نعم","لا"))</f>
        <v/>
      </c>
    </row>
    <row r="298">
      <c r="A298" s="39">
        <f>IF(B298="","","MAR-"&amp;TEXT(ROW()-4,"0000"))</f>
        <v/>
      </c>
      <c r="B298" s="50" t="n"/>
      <c r="C298" s="49">
        <f>IF(B298="","",IFERROR(INDEX('المشروعات'!$B$5:$B$304,MATCH(B298,'المشروعات'!$A$5:$A$304,0)),""))</f>
        <v/>
      </c>
      <c r="D298" s="40" t="n"/>
      <c r="E298" s="40" t="n"/>
      <c r="F298" s="40" t="n"/>
      <c r="G298" s="40" t="n"/>
      <c r="H298" s="40" t="n"/>
      <c r="I298" s="51" t="n"/>
      <c r="J298" s="47" t="n"/>
      <c r="K298" s="47" t="n"/>
      <c r="L298" s="50" t="n"/>
      <c r="M298" s="49">
        <f>IF(B298="","",IF(L298="","قيد المراجعة",IF(L298="A","معتمد",IF(L298="B","معتمد بملاحظات",IF(L298="C","مرفوض – يعاد التقديم","مرفوض نهائياً")))))</f>
        <v/>
      </c>
      <c r="N298" s="48">
        <f>IF(J298="","",IF(K298="",TODAY(),K298)-J298)</f>
        <v/>
      </c>
      <c r="O298" s="49">
        <f>IF(B298="","",IF(AND(L298="",N(N298)&gt;S_SLA),"متأخر رد الاستشاري",""))</f>
        <v/>
      </c>
      <c r="P298" s="49">
        <f>IF(B298="","",IF(OR(L298="A",L298="B"),"نعم","لا"))</f>
        <v/>
      </c>
    </row>
    <row r="299">
      <c r="A299" s="39">
        <f>IF(B299="","","MAR-"&amp;TEXT(ROW()-4,"0000"))</f>
        <v/>
      </c>
      <c r="B299" s="50" t="n"/>
      <c r="C299" s="49">
        <f>IF(B299="","",IFERROR(INDEX('المشروعات'!$B$5:$B$304,MATCH(B299,'المشروعات'!$A$5:$A$304,0)),""))</f>
        <v/>
      </c>
      <c r="D299" s="40" t="n"/>
      <c r="E299" s="40" t="n"/>
      <c r="F299" s="40" t="n"/>
      <c r="G299" s="40" t="n"/>
      <c r="H299" s="40" t="n"/>
      <c r="I299" s="51" t="n"/>
      <c r="J299" s="47" t="n"/>
      <c r="K299" s="47" t="n"/>
      <c r="L299" s="50" t="n"/>
      <c r="M299" s="49">
        <f>IF(B299="","",IF(L299="","قيد المراجعة",IF(L299="A","معتمد",IF(L299="B","معتمد بملاحظات",IF(L299="C","مرفوض – يعاد التقديم","مرفوض نهائياً")))))</f>
        <v/>
      </c>
      <c r="N299" s="48">
        <f>IF(J299="","",IF(K299="",TODAY(),K299)-J299)</f>
        <v/>
      </c>
      <c r="O299" s="49">
        <f>IF(B299="","",IF(AND(L299="",N(N299)&gt;S_SLA),"متأخر رد الاستشاري",""))</f>
        <v/>
      </c>
      <c r="P299" s="49">
        <f>IF(B299="","",IF(OR(L299="A",L299="B"),"نعم","لا"))</f>
        <v/>
      </c>
    </row>
    <row r="300">
      <c r="A300" s="39">
        <f>IF(B300="","","MAR-"&amp;TEXT(ROW()-4,"0000"))</f>
        <v/>
      </c>
      <c r="B300" s="50" t="n"/>
      <c r="C300" s="49">
        <f>IF(B300="","",IFERROR(INDEX('المشروعات'!$B$5:$B$304,MATCH(B300,'المشروعات'!$A$5:$A$304,0)),""))</f>
        <v/>
      </c>
      <c r="D300" s="40" t="n"/>
      <c r="E300" s="40" t="n"/>
      <c r="F300" s="40" t="n"/>
      <c r="G300" s="40" t="n"/>
      <c r="H300" s="40" t="n"/>
      <c r="I300" s="51" t="n"/>
      <c r="J300" s="47" t="n"/>
      <c r="K300" s="47" t="n"/>
      <c r="L300" s="50" t="n"/>
      <c r="M300" s="49">
        <f>IF(B300="","",IF(L300="","قيد المراجعة",IF(L300="A","معتمد",IF(L300="B","معتمد بملاحظات",IF(L300="C","مرفوض – يعاد التقديم","مرفوض نهائياً")))))</f>
        <v/>
      </c>
      <c r="N300" s="48">
        <f>IF(J300="","",IF(K300="",TODAY(),K300)-J300)</f>
        <v/>
      </c>
      <c r="O300" s="49">
        <f>IF(B300="","",IF(AND(L300="",N(N300)&gt;S_SLA),"متأخر رد الاستشاري",""))</f>
        <v/>
      </c>
      <c r="P300" s="49">
        <f>IF(B300="","",IF(OR(L300="A",L300="B"),"نعم","لا"))</f>
        <v/>
      </c>
    </row>
    <row r="301">
      <c r="A301" s="39">
        <f>IF(B301="","","MAR-"&amp;TEXT(ROW()-4,"0000"))</f>
        <v/>
      </c>
      <c r="B301" s="50" t="n"/>
      <c r="C301" s="49">
        <f>IF(B301="","",IFERROR(INDEX('المشروعات'!$B$5:$B$304,MATCH(B301,'المشروعات'!$A$5:$A$304,0)),""))</f>
        <v/>
      </c>
      <c r="D301" s="40" t="n"/>
      <c r="E301" s="40" t="n"/>
      <c r="F301" s="40" t="n"/>
      <c r="G301" s="40" t="n"/>
      <c r="H301" s="40" t="n"/>
      <c r="I301" s="51" t="n"/>
      <c r="J301" s="47" t="n"/>
      <c r="K301" s="47" t="n"/>
      <c r="L301" s="50" t="n"/>
      <c r="M301" s="49">
        <f>IF(B301="","",IF(L301="","قيد المراجعة",IF(L301="A","معتمد",IF(L301="B","معتمد بملاحظات",IF(L301="C","مرفوض – يعاد التقديم","مرفوض نهائياً")))))</f>
        <v/>
      </c>
      <c r="N301" s="48">
        <f>IF(J301="","",IF(K301="",TODAY(),K301)-J301)</f>
        <v/>
      </c>
      <c r="O301" s="49">
        <f>IF(B301="","",IF(AND(L301="",N(N301)&gt;S_SLA),"متأخر رد الاستشاري",""))</f>
        <v/>
      </c>
      <c r="P301" s="49">
        <f>IF(B301="","",IF(OR(L301="A",L301="B"),"نعم","لا"))</f>
        <v/>
      </c>
    </row>
    <row r="302">
      <c r="A302" s="39">
        <f>IF(B302="","","MAR-"&amp;TEXT(ROW()-4,"0000"))</f>
        <v/>
      </c>
      <c r="B302" s="50" t="n"/>
      <c r="C302" s="49">
        <f>IF(B302="","",IFERROR(INDEX('المشروعات'!$B$5:$B$304,MATCH(B302,'المشروعات'!$A$5:$A$304,0)),""))</f>
        <v/>
      </c>
      <c r="D302" s="40" t="n"/>
      <c r="E302" s="40" t="n"/>
      <c r="F302" s="40" t="n"/>
      <c r="G302" s="40" t="n"/>
      <c r="H302" s="40" t="n"/>
      <c r="I302" s="51" t="n"/>
      <c r="J302" s="47" t="n"/>
      <c r="K302" s="47" t="n"/>
      <c r="L302" s="50" t="n"/>
      <c r="M302" s="49">
        <f>IF(B302="","",IF(L302="","قيد المراجعة",IF(L302="A","معتمد",IF(L302="B","معتمد بملاحظات",IF(L302="C","مرفوض – يعاد التقديم","مرفوض نهائياً")))))</f>
        <v/>
      </c>
      <c r="N302" s="48">
        <f>IF(J302="","",IF(K302="",TODAY(),K302)-J302)</f>
        <v/>
      </c>
      <c r="O302" s="49">
        <f>IF(B302="","",IF(AND(L302="",N(N302)&gt;S_SLA),"متأخر رد الاستشاري",""))</f>
        <v/>
      </c>
      <c r="P302" s="49">
        <f>IF(B302="","",IF(OR(L302="A",L302="B"),"نعم","لا"))</f>
        <v/>
      </c>
    </row>
    <row r="303">
      <c r="A303" s="39">
        <f>IF(B303="","","MAR-"&amp;TEXT(ROW()-4,"0000"))</f>
        <v/>
      </c>
      <c r="B303" s="50" t="n"/>
      <c r="C303" s="49">
        <f>IF(B303="","",IFERROR(INDEX('المشروعات'!$B$5:$B$304,MATCH(B303,'المشروعات'!$A$5:$A$304,0)),""))</f>
        <v/>
      </c>
      <c r="D303" s="40" t="n"/>
      <c r="E303" s="40" t="n"/>
      <c r="F303" s="40" t="n"/>
      <c r="G303" s="40" t="n"/>
      <c r="H303" s="40" t="n"/>
      <c r="I303" s="51" t="n"/>
      <c r="J303" s="47" t="n"/>
      <c r="K303" s="47" t="n"/>
      <c r="L303" s="50" t="n"/>
      <c r="M303" s="49">
        <f>IF(B303="","",IF(L303="","قيد المراجعة",IF(L303="A","معتمد",IF(L303="B","معتمد بملاحظات",IF(L303="C","مرفوض – يعاد التقديم","مرفوض نهائياً")))))</f>
        <v/>
      </c>
      <c r="N303" s="48">
        <f>IF(J303="","",IF(K303="",TODAY(),K303)-J303)</f>
        <v/>
      </c>
      <c r="O303" s="49">
        <f>IF(B303="","",IF(AND(L303="",N(N303)&gt;S_SLA),"متأخر رد الاستشاري",""))</f>
        <v/>
      </c>
      <c r="P303" s="49">
        <f>IF(B303="","",IF(OR(L303="A",L303="B"),"نعم","لا"))</f>
        <v/>
      </c>
    </row>
    <row r="304">
      <c r="A304" s="39">
        <f>IF(B304="","","MAR-"&amp;TEXT(ROW()-4,"0000"))</f>
        <v/>
      </c>
      <c r="B304" s="50" t="n"/>
      <c r="C304" s="49">
        <f>IF(B304="","",IFERROR(INDEX('المشروعات'!$B$5:$B$304,MATCH(B304,'المشروعات'!$A$5:$A$304,0)),""))</f>
        <v/>
      </c>
      <c r="D304" s="40" t="n"/>
      <c r="E304" s="40" t="n"/>
      <c r="F304" s="40" t="n"/>
      <c r="G304" s="40" t="n"/>
      <c r="H304" s="40" t="n"/>
      <c r="I304" s="51" t="n"/>
      <c r="J304" s="47" t="n"/>
      <c r="K304" s="47" t="n"/>
      <c r="L304" s="50" t="n"/>
      <c r="M304" s="49">
        <f>IF(B304="","",IF(L304="","قيد المراجعة",IF(L304="A","معتمد",IF(L304="B","معتمد بملاحظات",IF(L304="C","مرفوض – يعاد التقديم","مرفوض نهائياً")))))</f>
        <v/>
      </c>
      <c r="N304" s="48">
        <f>IF(J304="","",IF(K304="",TODAY(),K304)-J304)</f>
        <v/>
      </c>
      <c r="O304" s="49">
        <f>IF(B304="","",IF(AND(L304="",N(N304)&gt;S_SLA),"متأخر رد الاستشاري",""))</f>
        <v/>
      </c>
      <c r="P304" s="49">
        <f>IF(B304="","",IF(OR(L304="A",L304="B"),"نعم","لا"))</f>
        <v/>
      </c>
    </row>
  </sheetData>
  <autoFilter ref="A4:P304"/>
  <mergeCells count="2">
    <mergeCell ref="A1:P1"/>
    <mergeCell ref="A2:P2"/>
  </mergeCells>
  <conditionalFormatting sqref="M5:M304">
    <cfRule type="expression" priority="1" dxfId="0" stopIfTrue="1">
      <formula>OR(ISNUMBER(SEARCH("متأخر",M5)),ISNUMBER(SEARCH("مرفوض",M5)),ISNUMBER(SEARCH("غير معتمدة",M5)),ISNUMBER(SEARCH("غير محصّل",M5)),ISNUMBER(SEARCH("سالب",M5)),ISNUMBER(SEARCH("أكثر من الرصيد",M5)),ISNUMBER(SEARCH("بتحفظات",M5)))</formula>
    </cfRule>
    <cfRule type="expression" priority="2" dxfId="1" stopIfTrue="1">
      <formula>OR(ISNUMBER(SEARCH("قيد",M5)),ISNUMBER(SEARCH("جزئي",M5)),ISNUMBER(SEARCH("بانتظار",M5)),ISNUMBER(SEARCH("مفتوح",M5)),ISNUMBER(SEARCH("أعد الطلب",M5)),ISNUMBER(SEARCH("لم يُورد",M5)),ISNUMBER(SEARCH("فترة الضمان",M5)),ISNUMBER(SEARCH("مُقدم",M5)))</formula>
    </cfRule>
    <cfRule type="expression" priority="3" dxfId="2" stopIfTrue="1">
      <formula>OR(ISNUMBER(SEARCH("معتمد",M5)),ISNUMBER(SEARCH("مقبول",M5)),ISNUMBER(SEARCH("مكتمل",M5)),ISNUMBER(SEARCH("مغلق",M5)),ISNUMBER(SEARCH("بالكامل",M5)),ISNUMBER(SEARCH("مسلّم",M5)),ISNUMBER(SEARCH("كامل",M5)),ISNUMBER(SEARCH("متاح",M5)),ISNUMBER(SEARCH("جاري",M5)))</formula>
    </cfRule>
  </conditionalFormatting>
  <conditionalFormatting sqref="O5:O304">
    <cfRule type="expression" priority="4" dxfId="0" stopIfTrue="1">
      <formula>OR(ISNUMBER(SEARCH("متأخر",O5)),ISNUMBER(SEARCH("مرفوض",O5)),ISNUMBER(SEARCH("غير معتمدة",O5)),ISNUMBER(SEARCH("غير محصّل",O5)),ISNUMBER(SEARCH("سالب",O5)),ISNUMBER(SEARCH("أكثر من الرصيد",O5)),ISNUMBER(SEARCH("بتحفظات",O5)))</formula>
    </cfRule>
    <cfRule type="expression" priority="5" dxfId="1" stopIfTrue="1">
      <formula>OR(ISNUMBER(SEARCH("قيد",O5)),ISNUMBER(SEARCH("جزئي",O5)),ISNUMBER(SEARCH("بانتظار",O5)),ISNUMBER(SEARCH("مفتوح",O5)),ISNUMBER(SEARCH("أعد الطلب",O5)),ISNUMBER(SEARCH("لم يُورد",O5)),ISNUMBER(SEARCH("فترة الضمان",O5)),ISNUMBER(SEARCH("مُقدم",O5)))</formula>
    </cfRule>
    <cfRule type="expression" priority="6" dxfId="2" stopIfTrue="1">
      <formula>OR(ISNUMBER(SEARCH("معتمد",O5)),ISNUMBER(SEARCH("مقبول",O5)),ISNUMBER(SEARCH("مكتمل",O5)),ISNUMBER(SEARCH("مغلق",O5)),ISNUMBER(SEARCH("بالكامل",O5)),ISNUMBER(SEARCH("مسلّم",O5)),ISNUMBER(SEARCH("كامل",O5)),ISNUMBER(SEARCH("متاح",O5)),ISNUMBER(SEARCH("جاري",O5)))</formula>
    </cfRule>
  </conditionalFormatting>
  <conditionalFormatting sqref="P5:P304">
    <cfRule type="expression" priority="7" dxfId="0" stopIfTrue="1">
      <formula>P5="لا"</formula>
    </cfRule>
    <cfRule type="expression" priority="8" dxfId="1" stopIfTrue="1">
      <formula>FALSE</formula>
    </cfRule>
    <cfRule type="expression" priority="9" dxfId="2" stopIfTrue="1">
      <formula>P5="نعم"</formula>
    </cfRule>
  </conditionalFormatting>
  <dataValidations count="4">
    <dataValidation sqref="B5:B304" showDropDown="0" showInputMessage="0" showErrorMessage="1" allowBlank="1" errorTitle="قيمة غير صحيحة" error="اختر من القائمة المنسدلة فقط" type="list">
      <formula1>=L_Proj</formula1>
    </dataValidation>
    <dataValidation sqref="J5:J304" showDropDown="0" showInputMessage="0" showErrorMessage="1" allowBlank="1" errorTitle="تاريخ" error="أدخل تاريخاً صحيحاً" type="date" operator="between">
      <formula1>DATE(2000,1,1)</formula1>
      <formula2>DATE(2100,12,31)</formula2>
    </dataValidation>
    <dataValidation sqref="K5:K304" showDropDown="0" showInputMessage="0" showErrorMessage="1" allowBlank="1" errorTitle="تاريخ" error="أدخل تاريخاً صحيحاً" type="date" operator="between">
      <formula1>DATE(2000,1,1)</formula1>
      <formula2>DATE(2100,12,31)</formula2>
    </dataValidation>
    <dataValidation sqref="L5:L304" showDropDown="0" showInputMessage="0" showErrorMessage="1" allowBlank="1" errorTitle="قيمة غير صحيحة" error="اختر من القائمة المنسدلة فقط" type="list">
      <formula1>=L_MARCode</formula1>
    </dataValidation>
  </dataValidations>
  <hyperlinks>
    <hyperlink xmlns:r="http://schemas.openxmlformats.org/officeDocument/2006/relationships" ref="A3" r:id="rId1"/>
  </hyperlinks>
  <printOptions horizontalCentered="1"/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tabColor rgb="002E7D7A"/>
    <outlinePr summaryBelow="1" summaryRight="1"/>
    <pageSetUpPr fitToPage="1"/>
  </sheetPr>
  <dimension ref="A1:R304"/>
  <sheetViews>
    <sheetView showGridLines="0" rightToLeft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8" customWidth="1" min="4" max="4"/>
    <col width="12" customWidth="1" min="5" max="5"/>
    <col width="10" customWidth="1" min="6" max="6"/>
    <col width="11" customWidth="1" min="7" max="7"/>
    <col width="24" customWidth="1" min="8" max="8"/>
    <col width="8" customWidth="1" min="9" max="9"/>
    <col width="10" customWidth="1" min="10" max="10"/>
    <col width="11" customWidth="1" min="11" max="11"/>
    <col width="14" customWidth="1" min="12" max="12"/>
    <col width="12" customWidth="1" min="13" max="13"/>
    <col width="14" customWidth="1" min="14" max="14"/>
    <col width="12" customWidth="1" min="15" max="15"/>
    <col width="12" customWidth="1" min="16" max="16"/>
    <col width="10" customWidth="1" min="17" max="17"/>
    <col width="15" customWidth="1" min="18" max="18"/>
  </cols>
  <sheetData>
    <row r="1" ht="32" customHeight="1">
      <c r="A1" s="34">
        <f>S_Company&amp;"  |  أوامر التوريد"</f>
        <v/>
      </c>
    </row>
    <row r="2">
      <c r="A2" s="35" t="inlineStr">
        <is>
          <t>سجل أوامر التوريد – مربوط بالاعتمادات والاستلام (QF-PO-04)</t>
        </is>
      </c>
    </row>
    <row r="3">
      <c r="A3" s="33" t="inlineStr">
        <is>
          <t>↩ الرئيسية</t>
        </is>
      </c>
      <c r="B3" s="36" t="inlineStr">
        <is>
          <t xml:space="preserve">   ■ أصفر = إدخال يدوي    ■ رمادي = معادلة تلقائية (لا تكتب فيها)    — الصفوف الأولى أمثلة توضيحية؛ احذف قيم الإدخال واستبدلها ببياناتك</t>
        </is>
      </c>
    </row>
    <row r="4" ht="42" customHeight="1">
      <c r="A4" s="37" t="inlineStr">
        <is>
          <t>رقم أمر التوريد</t>
        </is>
      </c>
      <c r="B4" s="38" t="inlineStr">
        <is>
          <t>التاريخ</t>
        </is>
      </c>
      <c r="C4" s="38" t="inlineStr">
        <is>
          <t>كود المشروع</t>
        </is>
      </c>
      <c r="D4" s="38" t="inlineStr">
        <is>
          <t>المورّد</t>
        </is>
      </c>
      <c r="E4" s="38" t="inlineStr">
        <is>
          <t>رقم الاعتماد MAR</t>
        </is>
      </c>
      <c r="F4" s="37" t="inlineStr">
        <is>
          <t>المادة معتمدة؟</t>
        </is>
      </c>
      <c r="G4" s="38" t="inlineStr">
        <is>
          <t>كود الصنف</t>
        </is>
      </c>
      <c r="H4" s="38" t="inlineStr">
        <is>
          <t>الصنف</t>
        </is>
      </c>
      <c r="I4" s="38" t="inlineStr">
        <is>
          <t>الوحدة</t>
        </is>
      </c>
      <c r="J4" s="38" t="inlineStr">
        <is>
          <t>الكمية</t>
        </is>
      </c>
      <c r="K4" s="38" t="inlineStr">
        <is>
          <t>سعر الوحدة</t>
        </is>
      </c>
      <c r="L4" s="37" t="inlineStr">
        <is>
          <t>الإجمالي</t>
        </is>
      </c>
      <c r="M4" s="37" t="inlineStr">
        <is>
          <t>الضريبة</t>
        </is>
      </c>
      <c r="N4" s="37" t="inlineStr">
        <is>
          <t>الإجمالي شامل الضريبة</t>
        </is>
      </c>
      <c r="O4" s="38" t="inlineStr">
        <is>
          <t>تاريخ التسليم المطلوب</t>
        </is>
      </c>
      <c r="P4" s="37" t="inlineStr">
        <is>
          <t>الكمية المستلمة المقبولة</t>
        </is>
      </c>
      <c r="Q4" s="37" t="inlineStr">
        <is>
          <t>المتبقي</t>
        </is>
      </c>
      <c r="R4" s="37" t="inlineStr">
        <is>
          <t>حالة التوريد</t>
        </is>
      </c>
    </row>
    <row r="5">
      <c r="A5" s="39">
        <f>IF(C5="","","PO-"&amp;TEXT(ROW()-4,"0000"))</f>
        <v/>
      </c>
      <c r="B5" s="47" t="n">
        <v>45981</v>
      </c>
      <c r="C5" s="50" t="inlineStr">
        <is>
          <t>PRJ-001</t>
        </is>
      </c>
      <c r="D5" s="40" t="inlineStr">
        <is>
          <t>الموزع المعتمد للحديد</t>
        </is>
      </c>
      <c r="E5" s="40" t="inlineStr">
        <is>
          <t>MAR-0001</t>
        </is>
      </c>
      <c r="F5" s="49">
        <f>IF(E5="","",IFERROR(INDEX('اعتماد المواد'!$P$5:$P$304,MATCH(E5,'اعتماد المواد'!$A$5:$A$304,0)),""))</f>
        <v/>
      </c>
      <c r="G5" s="50" t="inlineStr">
        <is>
          <t>STL-16</t>
        </is>
      </c>
      <c r="H5" s="40" t="inlineStr">
        <is>
          <t>حديد تسليح قطر 16 مم</t>
        </is>
      </c>
      <c r="I5" s="50" t="inlineStr">
        <is>
          <t>طن</t>
        </is>
      </c>
      <c r="J5" s="41" t="n">
        <v>120</v>
      </c>
      <c r="K5" s="41" t="n">
        <v>38500</v>
      </c>
      <c r="L5" s="46">
        <f>IF(J5="","",J5*K5)</f>
        <v/>
      </c>
      <c r="M5" s="46">
        <f>IF(L5="","",L5*S_VAT)</f>
        <v/>
      </c>
      <c r="N5" s="46">
        <f>IF(L5="","",L5+M5)</f>
        <v/>
      </c>
      <c r="O5" s="47" t="n">
        <v>45996</v>
      </c>
      <c r="P5" s="46">
        <f>IF(A5="","",SUMIFS('استلام المواد'!$K$5:$K$304,'استلام المواد'!$C$5:$C$304,A5))</f>
        <v/>
      </c>
      <c r="Q5" s="46">
        <f>IF(A5="","",J5-P5)</f>
        <v/>
      </c>
      <c r="R5" s="49">
        <f>IF(A5="","",IF(F5="لا","مادة غير معتمدة!",IF(P5&gt;=J5,"مكتمل",IF(AND(O5&lt;&gt;"",TODAY()&gt;O5),"متأخر التوريد",IF(P5&gt;0,"توريد جزئي","لم يُورد بعد")))))</f>
        <v/>
      </c>
    </row>
    <row r="6">
      <c r="A6" s="39">
        <f>IF(C6="","","PO-"&amp;TEXT(ROW()-4,"0000"))</f>
        <v/>
      </c>
      <c r="B6" s="47" t="n">
        <v>45987</v>
      </c>
      <c r="C6" s="50" t="inlineStr">
        <is>
          <t>PRJ-001</t>
        </is>
      </c>
      <c r="D6" s="40" t="inlineStr">
        <is>
          <t>مؤسسة مواد البناء</t>
        </is>
      </c>
      <c r="E6" s="40" t="inlineStr">
        <is>
          <t>MAR-0002</t>
        </is>
      </c>
      <c r="F6" s="49">
        <f>IF(E6="","",IFERROR(INDEX('اعتماد المواد'!$P$5:$P$304,MATCH(E6,'اعتماد المواد'!$A$5:$A$304,0)),""))</f>
        <v/>
      </c>
      <c r="G6" s="50" t="inlineStr">
        <is>
          <t>CEM-425</t>
        </is>
      </c>
      <c r="H6" s="40" t="inlineStr">
        <is>
          <t>أسمنت بورتلاندي 42.5N</t>
        </is>
      </c>
      <c r="I6" s="50" t="inlineStr">
        <is>
          <t>شيكارة</t>
        </is>
      </c>
      <c r="J6" s="41" t="n">
        <v>4000</v>
      </c>
      <c r="K6" s="41" t="n">
        <v>210</v>
      </c>
      <c r="L6" s="46">
        <f>IF(J6="","",J6*K6)</f>
        <v/>
      </c>
      <c r="M6" s="46">
        <f>IF(L6="","",L6*S_VAT)</f>
        <v/>
      </c>
      <c r="N6" s="46">
        <f>IF(L6="","",L6+M6)</f>
        <v/>
      </c>
      <c r="O6" s="47" t="n">
        <v>46001</v>
      </c>
      <c r="P6" s="46">
        <f>IF(A6="","",SUMIFS('استلام المواد'!$K$5:$K$304,'استلام المواد'!$C$5:$C$304,A6))</f>
        <v/>
      </c>
      <c r="Q6" s="46">
        <f>IF(A6="","",J6-P6)</f>
        <v/>
      </c>
      <c r="R6" s="49">
        <f>IF(A6="","",IF(F6="لا","مادة غير معتمدة!",IF(P6&gt;=J6,"مكتمل",IF(AND(O6&lt;&gt;"",TODAY()&gt;O6),"متأخر التوريد",IF(P6&gt;0,"توريد جزئي","لم يُورد بعد")))))</f>
        <v/>
      </c>
    </row>
    <row r="7">
      <c r="A7" s="39">
        <f>IF(C7="","","PO-"&amp;TEXT(ROW()-4,"0000"))</f>
        <v/>
      </c>
      <c r="B7" s="47" t="n">
        <v>46178</v>
      </c>
      <c r="C7" s="50" t="inlineStr">
        <is>
          <t>PRJ-002</t>
        </is>
      </c>
      <c r="D7" s="40" t="inlineStr">
        <is>
          <t>شركة الخرسانة الجاهزة</t>
        </is>
      </c>
      <c r="E7" s="40" t="inlineStr">
        <is>
          <t>MAR-0004</t>
        </is>
      </c>
      <c r="F7" s="49">
        <f>IF(E7="","",IFERROR(INDEX('اعتماد المواد'!$P$5:$P$304,MATCH(E7,'اعتماد المواد'!$A$5:$A$304,0)),""))</f>
        <v/>
      </c>
      <c r="G7" s="50" t="inlineStr">
        <is>
          <t>RMC-C30</t>
        </is>
      </c>
      <c r="H7" s="40" t="inlineStr">
        <is>
          <t>خرسانة جاهزة C30</t>
        </is>
      </c>
      <c r="I7" s="50" t="inlineStr">
        <is>
          <t>م3</t>
        </is>
      </c>
      <c r="J7" s="41" t="n">
        <v>850</v>
      </c>
      <c r="K7" s="41" t="n">
        <v>2650</v>
      </c>
      <c r="L7" s="46">
        <f>IF(J7="","",J7*K7)</f>
        <v/>
      </c>
      <c r="M7" s="46">
        <f>IF(L7="","",L7*S_VAT)</f>
        <v/>
      </c>
      <c r="N7" s="46">
        <f>IF(L7="","",L7+M7)</f>
        <v/>
      </c>
      <c r="O7" s="47" t="n">
        <v>46325</v>
      </c>
      <c r="P7" s="46">
        <f>IF(A7="","",SUMIFS('استلام المواد'!$K$5:$K$304,'استلام المواد'!$C$5:$C$304,A7))</f>
        <v/>
      </c>
      <c r="Q7" s="46">
        <f>IF(A7="","",J7-P7)</f>
        <v/>
      </c>
      <c r="R7" s="49">
        <f>IF(A7="","",IF(F7="لا","مادة غير معتمدة!",IF(P7&gt;=J7,"مكتمل",IF(AND(O7&lt;&gt;"",TODAY()&gt;O7),"متأخر التوريد",IF(P7&gt;0,"توريد جزئي","لم يُورد بعد")))))</f>
        <v/>
      </c>
    </row>
    <row r="8">
      <c r="A8" s="39">
        <f>IF(C8="","","PO-"&amp;TEXT(ROW()-4,"0000"))</f>
        <v/>
      </c>
      <c r="B8" s="47" t="n"/>
      <c r="C8" s="50" t="n"/>
      <c r="D8" s="40" t="n"/>
      <c r="E8" s="40" t="n"/>
      <c r="F8" s="49">
        <f>IF(E8="","",IFERROR(INDEX('اعتماد المواد'!$P$5:$P$304,MATCH(E8,'اعتماد المواد'!$A$5:$A$304,0)),""))</f>
        <v/>
      </c>
      <c r="G8" s="50" t="n"/>
      <c r="H8" s="40" t="n"/>
      <c r="I8" s="50" t="n"/>
      <c r="J8" s="41" t="n"/>
      <c r="K8" s="41" t="n"/>
      <c r="L8" s="46">
        <f>IF(J8="","",J8*K8)</f>
        <v/>
      </c>
      <c r="M8" s="46">
        <f>IF(L8="","",L8*S_VAT)</f>
        <v/>
      </c>
      <c r="N8" s="46">
        <f>IF(L8="","",L8+M8)</f>
        <v/>
      </c>
      <c r="O8" s="47" t="n"/>
      <c r="P8" s="46">
        <f>IF(A8="","",SUMIFS('استلام المواد'!$K$5:$K$304,'استلام المواد'!$C$5:$C$304,A8))</f>
        <v/>
      </c>
      <c r="Q8" s="46">
        <f>IF(A8="","",J8-P8)</f>
        <v/>
      </c>
      <c r="R8" s="49">
        <f>IF(A8="","",IF(F8="لا","مادة غير معتمدة!",IF(P8&gt;=J8,"مكتمل",IF(AND(O8&lt;&gt;"",TODAY()&gt;O8),"متأخر التوريد",IF(P8&gt;0,"توريد جزئي","لم يُورد بعد")))))</f>
        <v/>
      </c>
    </row>
    <row r="9">
      <c r="A9" s="39">
        <f>IF(C9="","","PO-"&amp;TEXT(ROW()-4,"0000"))</f>
        <v/>
      </c>
      <c r="B9" s="47" t="n"/>
      <c r="C9" s="50" t="n"/>
      <c r="D9" s="40" t="n"/>
      <c r="E9" s="40" t="n"/>
      <c r="F9" s="49">
        <f>IF(E9="","",IFERROR(INDEX('اعتماد المواد'!$P$5:$P$304,MATCH(E9,'اعتماد المواد'!$A$5:$A$304,0)),""))</f>
        <v/>
      </c>
      <c r="G9" s="50" t="n"/>
      <c r="H9" s="40" t="n"/>
      <c r="I9" s="50" t="n"/>
      <c r="J9" s="41" t="n"/>
      <c r="K9" s="41" t="n"/>
      <c r="L9" s="46">
        <f>IF(J9="","",J9*K9)</f>
        <v/>
      </c>
      <c r="M9" s="46">
        <f>IF(L9="","",L9*S_VAT)</f>
        <v/>
      </c>
      <c r="N9" s="46">
        <f>IF(L9="","",L9+M9)</f>
        <v/>
      </c>
      <c r="O9" s="47" t="n"/>
      <c r="P9" s="46">
        <f>IF(A9="","",SUMIFS('استلام المواد'!$K$5:$K$304,'استلام المواد'!$C$5:$C$304,A9))</f>
        <v/>
      </c>
      <c r="Q9" s="46">
        <f>IF(A9="","",J9-P9)</f>
        <v/>
      </c>
      <c r="R9" s="49">
        <f>IF(A9="","",IF(F9="لا","مادة غير معتمدة!",IF(P9&gt;=J9,"مكتمل",IF(AND(O9&lt;&gt;"",TODAY()&gt;O9),"متأخر التوريد",IF(P9&gt;0,"توريد جزئي","لم يُورد بعد")))))</f>
        <v/>
      </c>
    </row>
    <row r="10">
      <c r="A10" s="39">
        <f>IF(C10="","","PO-"&amp;TEXT(ROW()-4,"0000"))</f>
        <v/>
      </c>
      <c r="B10" s="47" t="n"/>
      <c r="C10" s="50" t="n"/>
      <c r="D10" s="40" t="n"/>
      <c r="E10" s="40" t="n"/>
      <c r="F10" s="49">
        <f>IF(E10="","",IFERROR(INDEX('اعتماد المواد'!$P$5:$P$304,MATCH(E10,'اعتماد المواد'!$A$5:$A$304,0)),""))</f>
        <v/>
      </c>
      <c r="G10" s="50" t="n"/>
      <c r="H10" s="40" t="n"/>
      <c r="I10" s="50" t="n"/>
      <c r="J10" s="41" t="n"/>
      <c r="K10" s="41" t="n"/>
      <c r="L10" s="46">
        <f>IF(J10="","",J10*K10)</f>
        <v/>
      </c>
      <c r="M10" s="46">
        <f>IF(L10="","",L10*S_VAT)</f>
        <v/>
      </c>
      <c r="N10" s="46">
        <f>IF(L10="","",L10+M10)</f>
        <v/>
      </c>
      <c r="O10" s="47" t="n"/>
      <c r="P10" s="46">
        <f>IF(A10="","",SUMIFS('استلام المواد'!$K$5:$K$304,'استلام المواد'!$C$5:$C$304,A10))</f>
        <v/>
      </c>
      <c r="Q10" s="46">
        <f>IF(A10="","",J10-P10)</f>
        <v/>
      </c>
      <c r="R10" s="49">
        <f>IF(A10="","",IF(F10="لا","مادة غير معتمدة!",IF(P10&gt;=J10,"مكتمل",IF(AND(O10&lt;&gt;"",TODAY()&gt;O10),"متأخر التوريد",IF(P10&gt;0,"توريد جزئي","لم يُورد بعد")))))</f>
        <v/>
      </c>
    </row>
    <row r="11">
      <c r="A11" s="39">
        <f>IF(C11="","","PO-"&amp;TEXT(ROW()-4,"0000"))</f>
        <v/>
      </c>
      <c r="B11" s="47" t="n"/>
      <c r="C11" s="50" t="n"/>
      <c r="D11" s="40" t="n"/>
      <c r="E11" s="40" t="n"/>
      <c r="F11" s="49">
        <f>IF(E11="","",IFERROR(INDEX('اعتماد المواد'!$P$5:$P$304,MATCH(E11,'اعتماد المواد'!$A$5:$A$304,0)),""))</f>
        <v/>
      </c>
      <c r="G11" s="50" t="n"/>
      <c r="H11" s="40" t="n"/>
      <c r="I11" s="50" t="n"/>
      <c r="J11" s="41" t="n"/>
      <c r="K11" s="41" t="n"/>
      <c r="L11" s="46">
        <f>IF(J11="","",J11*K11)</f>
        <v/>
      </c>
      <c r="M11" s="46">
        <f>IF(L11="","",L11*S_VAT)</f>
        <v/>
      </c>
      <c r="N11" s="46">
        <f>IF(L11="","",L11+M11)</f>
        <v/>
      </c>
      <c r="O11" s="47" t="n"/>
      <c r="P11" s="46">
        <f>IF(A11="","",SUMIFS('استلام المواد'!$K$5:$K$304,'استلام المواد'!$C$5:$C$304,A11))</f>
        <v/>
      </c>
      <c r="Q11" s="46">
        <f>IF(A11="","",J11-P11)</f>
        <v/>
      </c>
      <c r="R11" s="49">
        <f>IF(A11="","",IF(F11="لا","مادة غير معتمدة!",IF(P11&gt;=J11,"مكتمل",IF(AND(O11&lt;&gt;"",TODAY()&gt;O11),"متأخر التوريد",IF(P11&gt;0,"توريد جزئي","لم يُورد بعد")))))</f>
        <v/>
      </c>
    </row>
    <row r="12">
      <c r="A12" s="39">
        <f>IF(C12="","","PO-"&amp;TEXT(ROW()-4,"0000"))</f>
        <v/>
      </c>
      <c r="B12" s="47" t="n"/>
      <c r="C12" s="50" t="n"/>
      <c r="D12" s="40" t="n"/>
      <c r="E12" s="40" t="n"/>
      <c r="F12" s="49">
        <f>IF(E12="","",IFERROR(INDEX('اعتماد المواد'!$P$5:$P$304,MATCH(E12,'اعتماد المواد'!$A$5:$A$304,0)),""))</f>
        <v/>
      </c>
      <c r="G12" s="50" t="n"/>
      <c r="H12" s="40" t="n"/>
      <c r="I12" s="50" t="n"/>
      <c r="J12" s="41" t="n"/>
      <c r="K12" s="41" t="n"/>
      <c r="L12" s="46">
        <f>IF(J12="","",J12*K12)</f>
        <v/>
      </c>
      <c r="M12" s="46">
        <f>IF(L12="","",L12*S_VAT)</f>
        <v/>
      </c>
      <c r="N12" s="46">
        <f>IF(L12="","",L12+M12)</f>
        <v/>
      </c>
      <c r="O12" s="47" t="n"/>
      <c r="P12" s="46">
        <f>IF(A12="","",SUMIFS('استلام المواد'!$K$5:$K$304,'استلام المواد'!$C$5:$C$304,A12))</f>
        <v/>
      </c>
      <c r="Q12" s="46">
        <f>IF(A12="","",J12-P12)</f>
        <v/>
      </c>
      <c r="R12" s="49">
        <f>IF(A12="","",IF(F12="لا","مادة غير معتمدة!",IF(P12&gt;=J12,"مكتمل",IF(AND(O12&lt;&gt;"",TODAY()&gt;O12),"متأخر التوريد",IF(P12&gt;0,"توريد جزئي","لم يُورد بعد")))))</f>
        <v/>
      </c>
    </row>
    <row r="13">
      <c r="A13" s="39">
        <f>IF(C13="","","PO-"&amp;TEXT(ROW()-4,"0000"))</f>
        <v/>
      </c>
      <c r="B13" s="47" t="n"/>
      <c r="C13" s="50" t="n"/>
      <c r="D13" s="40" t="n"/>
      <c r="E13" s="40" t="n"/>
      <c r="F13" s="49">
        <f>IF(E13="","",IFERROR(INDEX('اعتماد المواد'!$P$5:$P$304,MATCH(E13,'اعتماد المواد'!$A$5:$A$304,0)),""))</f>
        <v/>
      </c>
      <c r="G13" s="50" t="n"/>
      <c r="H13" s="40" t="n"/>
      <c r="I13" s="50" t="n"/>
      <c r="J13" s="41" t="n"/>
      <c r="K13" s="41" t="n"/>
      <c r="L13" s="46">
        <f>IF(J13="","",J13*K13)</f>
        <v/>
      </c>
      <c r="M13" s="46">
        <f>IF(L13="","",L13*S_VAT)</f>
        <v/>
      </c>
      <c r="N13" s="46">
        <f>IF(L13="","",L13+M13)</f>
        <v/>
      </c>
      <c r="O13" s="47" t="n"/>
      <c r="P13" s="46">
        <f>IF(A13="","",SUMIFS('استلام المواد'!$K$5:$K$304,'استلام المواد'!$C$5:$C$304,A13))</f>
        <v/>
      </c>
      <c r="Q13" s="46">
        <f>IF(A13="","",J13-P13)</f>
        <v/>
      </c>
      <c r="R13" s="49">
        <f>IF(A13="","",IF(F13="لا","مادة غير معتمدة!",IF(P13&gt;=J13,"مكتمل",IF(AND(O13&lt;&gt;"",TODAY()&gt;O13),"متأخر التوريد",IF(P13&gt;0,"توريد جزئي","لم يُورد بعد")))))</f>
        <v/>
      </c>
    </row>
    <row r="14">
      <c r="A14" s="39">
        <f>IF(C14="","","PO-"&amp;TEXT(ROW()-4,"0000"))</f>
        <v/>
      </c>
      <c r="B14" s="47" t="n"/>
      <c r="C14" s="50" t="n"/>
      <c r="D14" s="40" t="n"/>
      <c r="E14" s="40" t="n"/>
      <c r="F14" s="49">
        <f>IF(E14="","",IFERROR(INDEX('اعتماد المواد'!$P$5:$P$304,MATCH(E14,'اعتماد المواد'!$A$5:$A$304,0)),""))</f>
        <v/>
      </c>
      <c r="G14" s="50" t="n"/>
      <c r="H14" s="40" t="n"/>
      <c r="I14" s="50" t="n"/>
      <c r="J14" s="41" t="n"/>
      <c r="K14" s="41" t="n"/>
      <c r="L14" s="46">
        <f>IF(J14="","",J14*K14)</f>
        <v/>
      </c>
      <c r="M14" s="46">
        <f>IF(L14="","",L14*S_VAT)</f>
        <v/>
      </c>
      <c r="N14" s="46">
        <f>IF(L14="","",L14+M14)</f>
        <v/>
      </c>
      <c r="O14" s="47" t="n"/>
      <c r="P14" s="46">
        <f>IF(A14="","",SUMIFS('استلام المواد'!$K$5:$K$304,'استلام المواد'!$C$5:$C$304,A14))</f>
        <v/>
      </c>
      <c r="Q14" s="46">
        <f>IF(A14="","",J14-P14)</f>
        <v/>
      </c>
      <c r="R14" s="49">
        <f>IF(A14="","",IF(F14="لا","مادة غير معتمدة!",IF(P14&gt;=J14,"مكتمل",IF(AND(O14&lt;&gt;"",TODAY()&gt;O14),"متأخر التوريد",IF(P14&gt;0,"توريد جزئي","لم يُورد بعد")))))</f>
        <v/>
      </c>
    </row>
    <row r="15">
      <c r="A15" s="39">
        <f>IF(C15="","","PO-"&amp;TEXT(ROW()-4,"0000"))</f>
        <v/>
      </c>
      <c r="B15" s="47" t="n"/>
      <c r="C15" s="50" t="n"/>
      <c r="D15" s="40" t="n"/>
      <c r="E15" s="40" t="n"/>
      <c r="F15" s="49">
        <f>IF(E15="","",IFERROR(INDEX('اعتماد المواد'!$P$5:$P$304,MATCH(E15,'اعتماد المواد'!$A$5:$A$304,0)),""))</f>
        <v/>
      </c>
      <c r="G15" s="50" t="n"/>
      <c r="H15" s="40" t="n"/>
      <c r="I15" s="50" t="n"/>
      <c r="J15" s="41" t="n"/>
      <c r="K15" s="41" t="n"/>
      <c r="L15" s="46">
        <f>IF(J15="","",J15*K15)</f>
        <v/>
      </c>
      <c r="M15" s="46">
        <f>IF(L15="","",L15*S_VAT)</f>
        <v/>
      </c>
      <c r="N15" s="46">
        <f>IF(L15="","",L15+M15)</f>
        <v/>
      </c>
      <c r="O15" s="47" t="n"/>
      <c r="P15" s="46">
        <f>IF(A15="","",SUMIFS('استلام المواد'!$K$5:$K$304,'استلام المواد'!$C$5:$C$304,A15))</f>
        <v/>
      </c>
      <c r="Q15" s="46">
        <f>IF(A15="","",J15-P15)</f>
        <v/>
      </c>
      <c r="R15" s="49">
        <f>IF(A15="","",IF(F15="لا","مادة غير معتمدة!",IF(P15&gt;=J15,"مكتمل",IF(AND(O15&lt;&gt;"",TODAY()&gt;O15),"متأخر التوريد",IF(P15&gt;0,"توريد جزئي","لم يُورد بعد")))))</f>
        <v/>
      </c>
    </row>
    <row r="16">
      <c r="A16" s="39">
        <f>IF(C16="","","PO-"&amp;TEXT(ROW()-4,"0000"))</f>
        <v/>
      </c>
      <c r="B16" s="47" t="n"/>
      <c r="C16" s="50" t="n"/>
      <c r="D16" s="40" t="n"/>
      <c r="E16" s="40" t="n"/>
      <c r="F16" s="49">
        <f>IF(E16="","",IFERROR(INDEX('اعتماد المواد'!$P$5:$P$304,MATCH(E16,'اعتماد المواد'!$A$5:$A$304,0)),""))</f>
        <v/>
      </c>
      <c r="G16" s="50" t="n"/>
      <c r="H16" s="40" t="n"/>
      <c r="I16" s="50" t="n"/>
      <c r="J16" s="41" t="n"/>
      <c r="K16" s="41" t="n"/>
      <c r="L16" s="46">
        <f>IF(J16="","",J16*K16)</f>
        <v/>
      </c>
      <c r="M16" s="46">
        <f>IF(L16="","",L16*S_VAT)</f>
        <v/>
      </c>
      <c r="N16" s="46">
        <f>IF(L16="","",L16+M16)</f>
        <v/>
      </c>
      <c r="O16" s="47" t="n"/>
      <c r="P16" s="46">
        <f>IF(A16="","",SUMIFS('استلام المواد'!$K$5:$K$304,'استلام المواد'!$C$5:$C$304,A16))</f>
        <v/>
      </c>
      <c r="Q16" s="46">
        <f>IF(A16="","",J16-P16)</f>
        <v/>
      </c>
      <c r="R16" s="49">
        <f>IF(A16="","",IF(F16="لا","مادة غير معتمدة!",IF(P16&gt;=J16,"مكتمل",IF(AND(O16&lt;&gt;"",TODAY()&gt;O16),"متأخر التوريد",IF(P16&gt;0,"توريد جزئي","لم يُورد بعد")))))</f>
        <v/>
      </c>
    </row>
    <row r="17">
      <c r="A17" s="39">
        <f>IF(C17="","","PO-"&amp;TEXT(ROW()-4,"0000"))</f>
        <v/>
      </c>
      <c r="B17" s="47" t="n"/>
      <c r="C17" s="50" t="n"/>
      <c r="D17" s="40" t="n"/>
      <c r="E17" s="40" t="n"/>
      <c r="F17" s="49">
        <f>IF(E17="","",IFERROR(INDEX('اعتماد المواد'!$P$5:$P$304,MATCH(E17,'اعتماد المواد'!$A$5:$A$304,0)),""))</f>
        <v/>
      </c>
      <c r="G17" s="50" t="n"/>
      <c r="H17" s="40" t="n"/>
      <c r="I17" s="50" t="n"/>
      <c r="J17" s="41" t="n"/>
      <c r="K17" s="41" t="n"/>
      <c r="L17" s="46">
        <f>IF(J17="","",J17*K17)</f>
        <v/>
      </c>
      <c r="M17" s="46">
        <f>IF(L17="","",L17*S_VAT)</f>
        <v/>
      </c>
      <c r="N17" s="46">
        <f>IF(L17="","",L17+M17)</f>
        <v/>
      </c>
      <c r="O17" s="47" t="n"/>
      <c r="P17" s="46">
        <f>IF(A17="","",SUMIFS('استلام المواد'!$K$5:$K$304,'استلام المواد'!$C$5:$C$304,A17))</f>
        <v/>
      </c>
      <c r="Q17" s="46">
        <f>IF(A17="","",J17-P17)</f>
        <v/>
      </c>
      <c r="R17" s="49">
        <f>IF(A17="","",IF(F17="لا","مادة غير معتمدة!",IF(P17&gt;=J17,"مكتمل",IF(AND(O17&lt;&gt;"",TODAY()&gt;O17),"متأخر التوريد",IF(P17&gt;0,"توريد جزئي","لم يُورد بعد")))))</f>
        <v/>
      </c>
    </row>
    <row r="18">
      <c r="A18" s="39">
        <f>IF(C18="","","PO-"&amp;TEXT(ROW()-4,"0000"))</f>
        <v/>
      </c>
      <c r="B18" s="47" t="n"/>
      <c r="C18" s="50" t="n"/>
      <c r="D18" s="40" t="n"/>
      <c r="E18" s="40" t="n"/>
      <c r="F18" s="49">
        <f>IF(E18="","",IFERROR(INDEX('اعتماد المواد'!$P$5:$P$304,MATCH(E18,'اعتماد المواد'!$A$5:$A$304,0)),""))</f>
        <v/>
      </c>
      <c r="G18" s="50" t="n"/>
      <c r="H18" s="40" t="n"/>
      <c r="I18" s="50" t="n"/>
      <c r="J18" s="41" t="n"/>
      <c r="K18" s="41" t="n"/>
      <c r="L18" s="46">
        <f>IF(J18="","",J18*K18)</f>
        <v/>
      </c>
      <c r="M18" s="46">
        <f>IF(L18="","",L18*S_VAT)</f>
        <v/>
      </c>
      <c r="N18" s="46">
        <f>IF(L18="","",L18+M18)</f>
        <v/>
      </c>
      <c r="O18" s="47" t="n"/>
      <c r="P18" s="46">
        <f>IF(A18="","",SUMIFS('استلام المواد'!$K$5:$K$304,'استلام المواد'!$C$5:$C$304,A18))</f>
        <v/>
      </c>
      <c r="Q18" s="46">
        <f>IF(A18="","",J18-P18)</f>
        <v/>
      </c>
      <c r="R18" s="49">
        <f>IF(A18="","",IF(F18="لا","مادة غير معتمدة!",IF(P18&gt;=J18,"مكتمل",IF(AND(O18&lt;&gt;"",TODAY()&gt;O18),"متأخر التوريد",IF(P18&gt;0,"توريد جزئي","لم يُورد بعد")))))</f>
        <v/>
      </c>
    </row>
    <row r="19">
      <c r="A19" s="39">
        <f>IF(C19="","","PO-"&amp;TEXT(ROW()-4,"0000"))</f>
        <v/>
      </c>
      <c r="B19" s="47" t="n"/>
      <c r="C19" s="50" t="n"/>
      <c r="D19" s="40" t="n"/>
      <c r="E19" s="40" t="n"/>
      <c r="F19" s="49">
        <f>IF(E19="","",IFERROR(INDEX('اعتماد المواد'!$P$5:$P$304,MATCH(E19,'اعتماد المواد'!$A$5:$A$304,0)),""))</f>
        <v/>
      </c>
      <c r="G19" s="50" t="n"/>
      <c r="H19" s="40" t="n"/>
      <c r="I19" s="50" t="n"/>
      <c r="J19" s="41" t="n"/>
      <c r="K19" s="41" t="n"/>
      <c r="L19" s="46">
        <f>IF(J19="","",J19*K19)</f>
        <v/>
      </c>
      <c r="M19" s="46">
        <f>IF(L19="","",L19*S_VAT)</f>
        <v/>
      </c>
      <c r="N19" s="46">
        <f>IF(L19="","",L19+M19)</f>
        <v/>
      </c>
      <c r="O19" s="47" t="n"/>
      <c r="P19" s="46">
        <f>IF(A19="","",SUMIFS('استلام المواد'!$K$5:$K$304,'استلام المواد'!$C$5:$C$304,A19))</f>
        <v/>
      </c>
      <c r="Q19" s="46">
        <f>IF(A19="","",J19-P19)</f>
        <v/>
      </c>
      <c r="R19" s="49">
        <f>IF(A19="","",IF(F19="لا","مادة غير معتمدة!",IF(P19&gt;=J19,"مكتمل",IF(AND(O19&lt;&gt;"",TODAY()&gt;O19),"متأخر التوريد",IF(P19&gt;0,"توريد جزئي","لم يُورد بعد")))))</f>
        <v/>
      </c>
    </row>
    <row r="20">
      <c r="A20" s="39">
        <f>IF(C20="","","PO-"&amp;TEXT(ROW()-4,"0000"))</f>
        <v/>
      </c>
      <c r="B20" s="47" t="n"/>
      <c r="C20" s="50" t="n"/>
      <c r="D20" s="40" t="n"/>
      <c r="E20" s="40" t="n"/>
      <c r="F20" s="49">
        <f>IF(E20="","",IFERROR(INDEX('اعتماد المواد'!$P$5:$P$304,MATCH(E20,'اعتماد المواد'!$A$5:$A$304,0)),""))</f>
        <v/>
      </c>
      <c r="G20" s="50" t="n"/>
      <c r="H20" s="40" t="n"/>
      <c r="I20" s="50" t="n"/>
      <c r="J20" s="41" t="n"/>
      <c r="K20" s="41" t="n"/>
      <c r="L20" s="46">
        <f>IF(J20="","",J20*K20)</f>
        <v/>
      </c>
      <c r="M20" s="46">
        <f>IF(L20="","",L20*S_VAT)</f>
        <v/>
      </c>
      <c r="N20" s="46">
        <f>IF(L20="","",L20+M20)</f>
        <v/>
      </c>
      <c r="O20" s="47" t="n"/>
      <c r="P20" s="46">
        <f>IF(A20="","",SUMIFS('استلام المواد'!$K$5:$K$304,'استلام المواد'!$C$5:$C$304,A20))</f>
        <v/>
      </c>
      <c r="Q20" s="46">
        <f>IF(A20="","",J20-P20)</f>
        <v/>
      </c>
      <c r="R20" s="49">
        <f>IF(A20="","",IF(F20="لا","مادة غير معتمدة!",IF(P20&gt;=J20,"مكتمل",IF(AND(O20&lt;&gt;"",TODAY()&gt;O20),"متأخر التوريد",IF(P20&gt;0,"توريد جزئي","لم يُورد بعد")))))</f>
        <v/>
      </c>
    </row>
    <row r="21">
      <c r="A21" s="39">
        <f>IF(C21="","","PO-"&amp;TEXT(ROW()-4,"0000"))</f>
        <v/>
      </c>
      <c r="B21" s="47" t="n"/>
      <c r="C21" s="50" t="n"/>
      <c r="D21" s="40" t="n"/>
      <c r="E21" s="40" t="n"/>
      <c r="F21" s="49">
        <f>IF(E21="","",IFERROR(INDEX('اعتماد المواد'!$P$5:$P$304,MATCH(E21,'اعتماد المواد'!$A$5:$A$304,0)),""))</f>
        <v/>
      </c>
      <c r="G21" s="50" t="n"/>
      <c r="H21" s="40" t="n"/>
      <c r="I21" s="50" t="n"/>
      <c r="J21" s="41" t="n"/>
      <c r="K21" s="41" t="n"/>
      <c r="L21" s="46">
        <f>IF(J21="","",J21*K21)</f>
        <v/>
      </c>
      <c r="M21" s="46">
        <f>IF(L21="","",L21*S_VAT)</f>
        <v/>
      </c>
      <c r="N21" s="46">
        <f>IF(L21="","",L21+M21)</f>
        <v/>
      </c>
      <c r="O21" s="47" t="n"/>
      <c r="P21" s="46">
        <f>IF(A21="","",SUMIFS('استلام المواد'!$K$5:$K$304,'استلام المواد'!$C$5:$C$304,A21))</f>
        <v/>
      </c>
      <c r="Q21" s="46">
        <f>IF(A21="","",J21-P21)</f>
        <v/>
      </c>
      <c r="R21" s="49">
        <f>IF(A21="","",IF(F21="لا","مادة غير معتمدة!",IF(P21&gt;=J21,"مكتمل",IF(AND(O21&lt;&gt;"",TODAY()&gt;O21),"متأخر التوريد",IF(P21&gt;0,"توريد جزئي","لم يُورد بعد")))))</f>
        <v/>
      </c>
    </row>
    <row r="22">
      <c r="A22" s="39">
        <f>IF(C22="","","PO-"&amp;TEXT(ROW()-4,"0000"))</f>
        <v/>
      </c>
      <c r="B22" s="47" t="n"/>
      <c r="C22" s="50" t="n"/>
      <c r="D22" s="40" t="n"/>
      <c r="E22" s="40" t="n"/>
      <c r="F22" s="49">
        <f>IF(E22="","",IFERROR(INDEX('اعتماد المواد'!$P$5:$P$304,MATCH(E22,'اعتماد المواد'!$A$5:$A$304,0)),""))</f>
        <v/>
      </c>
      <c r="G22" s="50" t="n"/>
      <c r="H22" s="40" t="n"/>
      <c r="I22" s="50" t="n"/>
      <c r="J22" s="41" t="n"/>
      <c r="K22" s="41" t="n"/>
      <c r="L22" s="46">
        <f>IF(J22="","",J22*K22)</f>
        <v/>
      </c>
      <c r="M22" s="46">
        <f>IF(L22="","",L22*S_VAT)</f>
        <v/>
      </c>
      <c r="N22" s="46">
        <f>IF(L22="","",L22+M22)</f>
        <v/>
      </c>
      <c r="O22" s="47" t="n"/>
      <c r="P22" s="46">
        <f>IF(A22="","",SUMIFS('استلام المواد'!$K$5:$K$304,'استلام المواد'!$C$5:$C$304,A22))</f>
        <v/>
      </c>
      <c r="Q22" s="46">
        <f>IF(A22="","",J22-P22)</f>
        <v/>
      </c>
      <c r="R22" s="49">
        <f>IF(A22="","",IF(F22="لا","مادة غير معتمدة!",IF(P22&gt;=J22,"مكتمل",IF(AND(O22&lt;&gt;"",TODAY()&gt;O22),"متأخر التوريد",IF(P22&gt;0,"توريد جزئي","لم يُورد بعد")))))</f>
        <v/>
      </c>
    </row>
    <row r="23">
      <c r="A23" s="39">
        <f>IF(C23="","","PO-"&amp;TEXT(ROW()-4,"0000"))</f>
        <v/>
      </c>
      <c r="B23" s="47" t="n"/>
      <c r="C23" s="50" t="n"/>
      <c r="D23" s="40" t="n"/>
      <c r="E23" s="40" t="n"/>
      <c r="F23" s="49">
        <f>IF(E23="","",IFERROR(INDEX('اعتماد المواد'!$P$5:$P$304,MATCH(E23,'اعتماد المواد'!$A$5:$A$304,0)),""))</f>
        <v/>
      </c>
      <c r="G23" s="50" t="n"/>
      <c r="H23" s="40" t="n"/>
      <c r="I23" s="50" t="n"/>
      <c r="J23" s="41" t="n"/>
      <c r="K23" s="41" t="n"/>
      <c r="L23" s="46">
        <f>IF(J23="","",J23*K23)</f>
        <v/>
      </c>
      <c r="M23" s="46">
        <f>IF(L23="","",L23*S_VAT)</f>
        <v/>
      </c>
      <c r="N23" s="46">
        <f>IF(L23="","",L23+M23)</f>
        <v/>
      </c>
      <c r="O23" s="47" t="n"/>
      <c r="P23" s="46">
        <f>IF(A23="","",SUMIFS('استلام المواد'!$K$5:$K$304,'استلام المواد'!$C$5:$C$304,A23))</f>
        <v/>
      </c>
      <c r="Q23" s="46">
        <f>IF(A23="","",J23-P23)</f>
        <v/>
      </c>
      <c r="R23" s="49">
        <f>IF(A23="","",IF(F23="لا","مادة غير معتمدة!",IF(P23&gt;=J23,"مكتمل",IF(AND(O23&lt;&gt;"",TODAY()&gt;O23),"متأخر التوريد",IF(P23&gt;0,"توريد جزئي","لم يُورد بعد")))))</f>
        <v/>
      </c>
    </row>
    <row r="24">
      <c r="A24" s="39">
        <f>IF(C24="","","PO-"&amp;TEXT(ROW()-4,"0000"))</f>
        <v/>
      </c>
      <c r="B24" s="47" t="n"/>
      <c r="C24" s="50" t="n"/>
      <c r="D24" s="40" t="n"/>
      <c r="E24" s="40" t="n"/>
      <c r="F24" s="49">
        <f>IF(E24="","",IFERROR(INDEX('اعتماد المواد'!$P$5:$P$304,MATCH(E24,'اعتماد المواد'!$A$5:$A$304,0)),""))</f>
        <v/>
      </c>
      <c r="G24" s="50" t="n"/>
      <c r="H24" s="40" t="n"/>
      <c r="I24" s="50" t="n"/>
      <c r="J24" s="41" t="n"/>
      <c r="K24" s="41" t="n"/>
      <c r="L24" s="46">
        <f>IF(J24="","",J24*K24)</f>
        <v/>
      </c>
      <c r="M24" s="46">
        <f>IF(L24="","",L24*S_VAT)</f>
        <v/>
      </c>
      <c r="N24" s="46">
        <f>IF(L24="","",L24+M24)</f>
        <v/>
      </c>
      <c r="O24" s="47" t="n"/>
      <c r="P24" s="46">
        <f>IF(A24="","",SUMIFS('استلام المواد'!$K$5:$K$304,'استلام المواد'!$C$5:$C$304,A24))</f>
        <v/>
      </c>
      <c r="Q24" s="46">
        <f>IF(A24="","",J24-P24)</f>
        <v/>
      </c>
      <c r="R24" s="49">
        <f>IF(A24="","",IF(F24="لا","مادة غير معتمدة!",IF(P24&gt;=J24,"مكتمل",IF(AND(O24&lt;&gt;"",TODAY()&gt;O24),"متأخر التوريد",IF(P24&gt;0,"توريد جزئي","لم يُورد بعد")))))</f>
        <v/>
      </c>
    </row>
    <row r="25">
      <c r="A25" s="39">
        <f>IF(C25="","","PO-"&amp;TEXT(ROW()-4,"0000"))</f>
        <v/>
      </c>
      <c r="B25" s="47" t="n"/>
      <c r="C25" s="50" t="n"/>
      <c r="D25" s="40" t="n"/>
      <c r="E25" s="40" t="n"/>
      <c r="F25" s="49">
        <f>IF(E25="","",IFERROR(INDEX('اعتماد المواد'!$P$5:$P$304,MATCH(E25,'اعتماد المواد'!$A$5:$A$304,0)),""))</f>
        <v/>
      </c>
      <c r="G25" s="50" t="n"/>
      <c r="H25" s="40" t="n"/>
      <c r="I25" s="50" t="n"/>
      <c r="J25" s="41" t="n"/>
      <c r="K25" s="41" t="n"/>
      <c r="L25" s="46">
        <f>IF(J25="","",J25*K25)</f>
        <v/>
      </c>
      <c r="M25" s="46">
        <f>IF(L25="","",L25*S_VAT)</f>
        <v/>
      </c>
      <c r="N25" s="46">
        <f>IF(L25="","",L25+M25)</f>
        <v/>
      </c>
      <c r="O25" s="47" t="n"/>
      <c r="P25" s="46">
        <f>IF(A25="","",SUMIFS('استلام المواد'!$K$5:$K$304,'استلام المواد'!$C$5:$C$304,A25))</f>
        <v/>
      </c>
      <c r="Q25" s="46">
        <f>IF(A25="","",J25-P25)</f>
        <v/>
      </c>
      <c r="R25" s="49">
        <f>IF(A25="","",IF(F25="لا","مادة غير معتمدة!",IF(P25&gt;=J25,"مكتمل",IF(AND(O25&lt;&gt;"",TODAY()&gt;O25),"متأخر التوريد",IF(P25&gt;0,"توريد جزئي","لم يُورد بعد")))))</f>
        <v/>
      </c>
    </row>
    <row r="26">
      <c r="A26" s="39">
        <f>IF(C26="","","PO-"&amp;TEXT(ROW()-4,"0000"))</f>
        <v/>
      </c>
      <c r="B26" s="47" t="n"/>
      <c r="C26" s="50" t="n"/>
      <c r="D26" s="40" t="n"/>
      <c r="E26" s="40" t="n"/>
      <c r="F26" s="49">
        <f>IF(E26="","",IFERROR(INDEX('اعتماد المواد'!$P$5:$P$304,MATCH(E26,'اعتماد المواد'!$A$5:$A$304,0)),""))</f>
        <v/>
      </c>
      <c r="G26" s="50" t="n"/>
      <c r="H26" s="40" t="n"/>
      <c r="I26" s="50" t="n"/>
      <c r="J26" s="41" t="n"/>
      <c r="K26" s="41" t="n"/>
      <c r="L26" s="46">
        <f>IF(J26="","",J26*K26)</f>
        <v/>
      </c>
      <c r="M26" s="46">
        <f>IF(L26="","",L26*S_VAT)</f>
        <v/>
      </c>
      <c r="N26" s="46">
        <f>IF(L26="","",L26+M26)</f>
        <v/>
      </c>
      <c r="O26" s="47" t="n"/>
      <c r="P26" s="46">
        <f>IF(A26="","",SUMIFS('استلام المواد'!$K$5:$K$304,'استلام المواد'!$C$5:$C$304,A26))</f>
        <v/>
      </c>
      <c r="Q26" s="46">
        <f>IF(A26="","",J26-P26)</f>
        <v/>
      </c>
      <c r="R26" s="49">
        <f>IF(A26="","",IF(F26="لا","مادة غير معتمدة!",IF(P26&gt;=J26,"مكتمل",IF(AND(O26&lt;&gt;"",TODAY()&gt;O26),"متأخر التوريد",IF(P26&gt;0,"توريد جزئي","لم يُورد بعد")))))</f>
        <v/>
      </c>
    </row>
    <row r="27">
      <c r="A27" s="39">
        <f>IF(C27="","","PO-"&amp;TEXT(ROW()-4,"0000"))</f>
        <v/>
      </c>
      <c r="B27" s="47" t="n"/>
      <c r="C27" s="50" t="n"/>
      <c r="D27" s="40" t="n"/>
      <c r="E27" s="40" t="n"/>
      <c r="F27" s="49">
        <f>IF(E27="","",IFERROR(INDEX('اعتماد المواد'!$P$5:$P$304,MATCH(E27,'اعتماد المواد'!$A$5:$A$304,0)),""))</f>
        <v/>
      </c>
      <c r="G27" s="50" t="n"/>
      <c r="H27" s="40" t="n"/>
      <c r="I27" s="50" t="n"/>
      <c r="J27" s="41" t="n"/>
      <c r="K27" s="41" t="n"/>
      <c r="L27" s="46">
        <f>IF(J27="","",J27*K27)</f>
        <v/>
      </c>
      <c r="M27" s="46">
        <f>IF(L27="","",L27*S_VAT)</f>
        <v/>
      </c>
      <c r="N27" s="46">
        <f>IF(L27="","",L27+M27)</f>
        <v/>
      </c>
      <c r="O27" s="47" t="n"/>
      <c r="P27" s="46">
        <f>IF(A27="","",SUMIFS('استلام المواد'!$K$5:$K$304,'استلام المواد'!$C$5:$C$304,A27))</f>
        <v/>
      </c>
      <c r="Q27" s="46">
        <f>IF(A27="","",J27-P27)</f>
        <v/>
      </c>
      <c r="R27" s="49">
        <f>IF(A27="","",IF(F27="لا","مادة غير معتمدة!",IF(P27&gt;=J27,"مكتمل",IF(AND(O27&lt;&gt;"",TODAY()&gt;O27),"متأخر التوريد",IF(P27&gt;0,"توريد جزئي","لم يُورد بعد")))))</f>
        <v/>
      </c>
    </row>
    <row r="28">
      <c r="A28" s="39">
        <f>IF(C28="","","PO-"&amp;TEXT(ROW()-4,"0000"))</f>
        <v/>
      </c>
      <c r="B28" s="47" t="n"/>
      <c r="C28" s="50" t="n"/>
      <c r="D28" s="40" t="n"/>
      <c r="E28" s="40" t="n"/>
      <c r="F28" s="49">
        <f>IF(E28="","",IFERROR(INDEX('اعتماد المواد'!$P$5:$P$304,MATCH(E28,'اعتماد المواد'!$A$5:$A$304,0)),""))</f>
        <v/>
      </c>
      <c r="G28" s="50" t="n"/>
      <c r="H28" s="40" t="n"/>
      <c r="I28" s="50" t="n"/>
      <c r="J28" s="41" t="n"/>
      <c r="K28" s="41" t="n"/>
      <c r="L28" s="46">
        <f>IF(J28="","",J28*K28)</f>
        <v/>
      </c>
      <c r="M28" s="46">
        <f>IF(L28="","",L28*S_VAT)</f>
        <v/>
      </c>
      <c r="N28" s="46">
        <f>IF(L28="","",L28+M28)</f>
        <v/>
      </c>
      <c r="O28" s="47" t="n"/>
      <c r="P28" s="46">
        <f>IF(A28="","",SUMIFS('استلام المواد'!$K$5:$K$304,'استلام المواد'!$C$5:$C$304,A28))</f>
        <v/>
      </c>
      <c r="Q28" s="46">
        <f>IF(A28="","",J28-P28)</f>
        <v/>
      </c>
      <c r="R28" s="49">
        <f>IF(A28="","",IF(F28="لا","مادة غير معتمدة!",IF(P28&gt;=J28,"مكتمل",IF(AND(O28&lt;&gt;"",TODAY()&gt;O28),"متأخر التوريد",IF(P28&gt;0,"توريد جزئي","لم يُورد بعد")))))</f>
        <v/>
      </c>
    </row>
    <row r="29">
      <c r="A29" s="39">
        <f>IF(C29="","","PO-"&amp;TEXT(ROW()-4,"0000"))</f>
        <v/>
      </c>
      <c r="B29" s="47" t="n"/>
      <c r="C29" s="50" t="n"/>
      <c r="D29" s="40" t="n"/>
      <c r="E29" s="40" t="n"/>
      <c r="F29" s="49">
        <f>IF(E29="","",IFERROR(INDEX('اعتماد المواد'!$P$5:$P$304,MATCH(E29,'اعتماد المواد'!$A$5:$A$304,0)),""))</f>
        <v/>
      </c>
      <c r="G29" s="50" t="n"/>
      <c r="H29" s="40" t="n"/>
      <c r="I29" s="50" t="n"/>
      <c r="J29" s="41" t="n"/>
      <c r="K29" s="41" t="n"/>
      <c r="L29" s="46">
        <f>IF(J29="","",J29*K29)</f>
        <v/>
      </c>
      <c r="M29" s="46">
        <f>IF(L29="","",L29*S_VAT)</f>
        <v/>
      </c>
      <c r="N29" s="46">
        <f>IF(L29="","",L29+M29)</f>
        <v/>
      </c>
      <c r="O29" s="47" t="n"/>
      <c r="P29" s="46">
        <f>IF(A29="","",SUMIFS('استلام المواد'!$K$5:$K$304,'استلام المواد'!$C$5:$C$304,A29))</f>
        <v/>
      </c>
      <c r="Q29" s="46">
        <f>IF(A29="","",J29-P29)</f>
        <v/>
      </c>
      <c r="R29" s="49">
        <f>IF(A29="","",IF(F29="لا","مادة غير معتمدة!",IF(P29&gt;=J29,"مكتمل",IF(AND(O29&lt;&gt;"",TODAY()&gt;O29),"متأخر التوريد",IF(P29&gt;0,"توريد جزئي","لم يُورد بعد")))))</f>
        <v/>
      </c>
    </row>
    <row r="30">
      <c r="A30" s="39">
        <f>IF(C30="","","PO-"&amp;TEXT(ROW()-4,"0000"))</f>
        <v/>
      </c>
      <c r="B30" s="47" t="n"/>
      <c r="C30" s="50" t="n"/>
      <c r="D30" s="40" t="n"/>
      <c r="E30" s="40" t="n"/>
      <c r="F30" s="49">
        <f>IF(E30="","",IFERROR(INDEX('اعتماد المواد'!$P$5:$P$304,MATCH(E30,'اعتماد المواد'!$A$5:$A$304,0)),""))</f>
        <v/>
      </c>
      <c r="G30" s="50" t="n"/>
      <c r="H30" s="40" t="n"/>
      <c r="I30" s="50" t="n"/>
      <c r="J30" s="41" t="n"/>
      <c r="K30" s="41" t="n"/>
      <c r="L30" s="46">
        <f>IF(J30="","",J30*K30)</f>
        <v/>
      </c>
      <c r="M30" s="46">
        <f>IF(L30="","",L30*S_VAT)</f>
        <v/>
      </c>
      <c r="N30" s="46">
        <f>IF(L30="","",L30+M30)</f>
        <v/>
      </c>
      <c r="O30" s="47" t="n"/>
      <c r="P30" s="46">
        <f>IF(A30="","",SUMIFS('استلام المواد'!$K$5:$K$304,'استلام المواد'!$C$5:$C$304,A30))</f>
        <v/>
      </c>
      <c r="Q30" s="46">
        <f>IF(A30="","",J30-P30)</f>
        <v/>
      </c>
      <c r="R30" s="49">
        <f>IF(A30="","",IF(F30="لا","مادة غير معتمدة!",IF(P30&gt;=J30,"مكتمل",IF(AND(O30&lt;&gt;"",TODAY()&gt;O30),"متأخر التوريد",IF(P30&gt;0,"توريد جزئي","لم يُورد بعد")))))</f>
        <v/>
      </c>
    </row>
    <row r="31">
      <c r="A31" s="39">
        <f>IF(C31="","","PO-"&amp;TEXT(ROW()-4,"0000"))</f>
        <v/>
      </c>
      <c r="B31" s="47" t="n"/>
      <c r="C31" s="50" t="n"/>
      <c r="D31" s="40" t="n"/>
      <c r="E31" s="40" t="n"/>
      <c r="F31" s="49">
        <f>IF(E31="","",IFERROR(INDEX('اعتماد المواد'!$P$5:$P$304,MATCH(E31,'اعتماد المواد'!$A$5:$A$304,0)),""))</f>
        <v/>
      </c>
      <c r="G31" s="50" t="n"/>
      <c r="H31" s="40" t="n"/>
      <c r="I31" s="50" t="n"/>
      <c r="J31" s="41" t="n"/>
      <c r="K31" s="41" t="n"/>
      <c r="L31" s="46">
        <f>IF(J31="","",J31*K31)</f>
        <v/>
      </c>
      <c r="M31" s="46">
        <f>IF(L31="","",L31*S_VAT)</f>
        <v/>
      </c>
      <c r="N31" s="46">
        <f>IF(L31="","",L31+M31)</f>
        <v/>
      </c>
      <c r="O31" s="47" t="n"/>
      <c r="P31" s="46">
        <f>IF(A31="","",SUMIFS('استلام المواد'!$K$5:$K$304,'استلام المواد'!$C$5:$C$304,A31))</f>
        <v/>
      </c>
      <c r="Q31" s="46">
        <f>IF(A31="","",J31-P31)</f>
        <v/>
      </c>
      <c r="R31" s="49">
        <f>IF(A31="","",IF(F31="لا","مادة غير معتمدة!",IF(P31&gt;=J31,"مكتمل",IF(AND(O31&lt;&gt;"",TODAY()&gt;O31),"متأخر التوريد",IF(P31&gt;0,"توريد جزئي","لم يُورد بعد")))))</f>
        <v/>
      </c>
    </row>
    <row r="32">
      <c r="A32" s="39">
        <f>IF(C32="","","PO-"&amp;TEXT(ROW()-4,"0000"))</f>
        <v/>
      </c>
      <c r="B32" s="47" t="n"/>
      <c r="C32" s="50" t="n"/>
      <c r="D32" s="40" t="n"/>
      <c r="E32" s="40" t="n"/>
      <c r="F32" s="49">
        <f>IF(E32="","",IFERROR(INDEX('اعتماد المواد'!$P$5:$P$304,MATCH(E32,'اعتماد المواد'!$A$5:$A$304,0)),""))</f>
        <v/>
      </c>
      <c r="G32" s="50" t="n"/>
      <c r="H32" s="40" t="n"/>
      <c r="I32" s="50" t="n"/>
      <c r="J32" s="41" t="n"/>
      <c r="K32" s="41" t="n"/>
      <c r="L32" s="46">
        <f>IF(J32="","",J32*K32)</f>
        <v/>
      </c>
      <c r="M32" s="46">
        <f>IF(L32="","",L32*S_VAT)</f>
        <v/>
      </c>
      <c r="N32" s="46">
        <f>IF(L32="","",L32+M32)</f>
        <v/>
      </c>
      <c r="O32" s="47" t="n"/>
      <c r="P32" s="46">
        <f>IF(A32="","",SUMIFS('استلام المواد'!$K$5:$K$304,'استلام المواد'!$C$5:$C$304,A32))</f>
        <v/>
      </c>
      <c r="Q32" s="46">
        <f>IF(A32="","",J32-P32)</f>
        <v/>
      </c>
      <c r="R32" s="49">
        <f>IF(A32="","",IF(F32="لا","مادة غير معتمدة!",IF(P32&gt;=J32,"مكتمل",IF(AND(O32&lt;&gt;"",TODAY()&gt;O32),"متأخر التوريد",IF(P32&gt;0,"توريد جزئي","لم يُورد بعد")))))</f>
        <v/>
      </c>
    </row>
    <row r="33">
      <c r="A33" s="39">
        <f>IF(C33="","","PO-"&amp;TEXT(ROW()-4,"0000"))</f>
        <v/>
      </c>
      <c r="B33" s="47" t="n"/>
      <c r="C33" s="50" t="n"/>
      <c r="D33" s="40" t="n"/>
      <c r="E33" s="40" t="n"/>
      <c r="F33" s="49">
        <f>IF(E33="","",IFERROR(INDEX('اعتماد المواد'!$P$5:$P$304,MATCH(E33,'اعتماد المواد'!$A$5:$A$304,0)),""))</f>
        <v/>
      </c>
      <c r="G33" s="50" t="n"/>
      <c r="H33" s="40" t="n"/>
      <c r="I33" s="50" t="n"/>
      <c r="J33" s="41" t="n"/>
      <c r="K33" s="41" t="n"/>
      <c r="L33" s="46">
        <f>IF(J33="","",J33*K33)</f>
        <v/>
      </c>
      <c r="M33" s="46">
        <f>IF(L33="","",L33*S_VAT)</f>
        <v/>
      </c>
      <c r="N33" s="46">
        <f>IF(L33="","",L33+M33)</f>
        <v/>
      </c>
      <c r="O33" s="47" t="n"/>
      <c r="P33" s="46">
        <f>IF(A33="","",SUMIFS('استلام المواد'!$K$5:$K$304,'استلام المواد'!$C$5:$C$304,A33))</f>
        <v/>
      </c>
      <c r="Q33" s="46">
        <f>IF(A33="","",J33-P33)</f>
        <v/>
      </c>
      <c r="R33" s="49">
        <f>IF(A33="","",IF(F33="لا","مادة غير معتمدة!",IF(P33&gt;=J33,"مكتمل",IF(AND(O33&lt;&gt;"",TODAY()&gt;O33),"متأخر التوريد",IF(P33&gt;0,"توريد جزئي","لم يُورد بعد")))))</f>
        <v/>
      </c>
    </row>
    <row r="34">
      <c r="A34" s="39">
        <f>IF(C34="","","PO-"&amp;TEXT(ROW()-4,"0000"))</f>
        <v/>
      </c>
      <c r="B34" s="47" t="n"/>
      <c r="C34" s="50" t="n"/>
      <c r="D34" s="40" t="n"/>
      <c r="E34" s="40" t="n"/>
      <c r="F34" s="49">
        <f>IF(E34="","",IFERROR(INDEX('اعتماد المواد'!$P$5:$P$304,MATCH(E34,'اعتماد المواد'!$A$5:$A$304,0)),""))</f>
        <v/>
      </c>
      <c r="G34" s="50" t="n"/>
      <c r="H34" s="40" t="n"/>
      <c r="I34" s="50" t="n"/>
      <c r="J34" s="41" t="n"/>
      <c r="K34" s="41" t="n"/>
      <c r="L34" s="46">
        <f>IF(J34="","",J34*K34)</f>
        <v/>
      </c>
      <c r="M34" s="46">
        <f>IF(L34="","",L34*S_VAT)</f>
        <v/>
      </c>
      <c r="N34" s="46">
        <f>IF(L34="","",L34+M34)</f>
        <v/>
      </c>
      <c r="O34" s="47" t="n"/>
      <c r="P34" s="46">
        <f>IF(A34="","",SUMIFS('استلام المواد'!$K$5:$K$304,'استلام المواد'!$C$5:$C$304,A34))</f>
        <v/>
      </c>
      <c r="Q34" s="46">
        <f>IF(A34="","",J34-P34)</f>
        <v/>
      </c>
      <c r="R34" s="49">
        <f>IF(A34="","",IF(F34="لا","مادة غير معتمدة!",IF(P34&gt;=J34,"مكتمل",IF(AND(O34&lt;&gt;"",TODAY()&gt;O34),"متأخر التوريد",IF(P34&gt;0,"توريد جزئي","لم يُورد بعد")))))</f>
        <v/>
      </c>
    </row>
    <row r="35">
      <c r="A35" s="39">
        <f>IF(C35="","","PO-"&amp;TEXT(ROW()-4,"0000"))</f>
        <v/>
      </c>
      <c r="B35" s="47" t="n"/>
      <c r="C35" s="50" t="n"/>
      <c r="D35" s="40" t="n"/>
      <c r="E35" s="40" t="n"/>
      <c r="F35" s="49">
        <f>IF(E35="","",IFERROR(INDEX('اعتماد المواد'!$P$5:$P$304,MATCH(E35,'اعتماد المواد'!$A$5:$A$304,0)),""))</f>
        <v/>
      </c>
      <c r="G35" s="50" t="n"/>
      <c r="H35" s="40" t="n"/>
      <c r="I35" s="50" t="n"/>
      <c r="J35" s="41" t="n"/>
      <c r="K35" s="41" t="n"/>
      <c r="L35" s="46">
        <f>IF(J35="","",J35*K35)</f>
        <v/>
      </c>
      <c r="M35" s="46">
        <f>IF(L35="","",L35*S_VAT)</f>
        <v/>
      </c>
      <c r="N35" s="46">
        <f>IF(L35="","",L35+M35)</f>
        <v/>
      </c>
      <c r="O35" s="47" t="n"/>
      <c r="P35" s="46">
        <f>IF(A35="","",SUMIFS('استلام المواد'!$K$5:$K$304,'استلام المواد'!$C$5:$C$304,A35))</f>
        <v/>
      </c>
      <c r="Q35" s="46">
        <f>IF(A35="","",J35-P35)</f>
        <v/>
      </c>
      <c r="R35" s="49">
        <f>IF(A35="","",IF(F35="لا","مادة غير معتمدة!",IF(P35&gt;=J35,"مكتمل",IF(AND(O35&lt;&gt;"",TODAY()&gt;O35),"متأخر التوريد",IF(P35&gt;0,"توريد جزئي","لم يُورد بعد")))))</f>
        <v/>
      </c>
    </row>
    <row r="36">
      <c r="A36" s="39">
        <f>IF(C36="","","PO-"&amp;TEXT(ROW()-4,"0000"))</f>
        <v/>
      </c>
      <c r="B36" s="47" t="n"/>
      <c r="C36" s="50" t="n"/>
      <c r="D36" s="40" t="n"/>
      <c r="E36" s="40" t="n"/>
      <c r="F36" s="49">
        <f>IF(E36="","",IFERROR(INDEX('اعتماد المواد'!$P$5:$P$304,MATCH(E36,'اعتماد المواد'!$A$5:$A$304,0)),""))</f>
        <v/>
      </c>
      <c r="G36" s="50" t="n"/>
      <c r="H36" s="40" t="n"/>
      <c r="I36" s="50" t="n"/>
      <c r="J36" s="41" t="n"/>
      <c r="K36" s="41" t="n"/>
      <c r="L36" s="46">
        <f>IF(J36="","",J36*K36)</f>
        <v/>
      </c>
      <c r="M36" s="46">
        <f>IF(L36="","",L36*S_VAT)</f>
        <v/>
      </c>
      <c r="N36" s="46">
        <f>IF(L36="","",L36+M36)</f>
        <v/>
      </c>
      <c r="O36" s="47" t="n"/>
      <c r="P36" s="46">
        <f>IF(A36="","",SUMIFS('استلام المواد'!$K$5:$K$304,'استلام المواد'!$C$5:$C$304,A36))</f>
        <v/>
      </c>
      <c r="Q36" s="46">
        <f>IF(A36="","",J36-P36)</f>
        <v/>
      </c>
      <c r="R36" s="49">
        <f>IF(A36="","",IF(F36="لا","مادة غير معتمدة!",IF(P36&gt;=J36,"مكتمل",IF(AND(O36&lt;&gt;"",TODAY()&gt;O36),"متأخر التوريد",IF(P36&gt;0,"توريد جزئي","لم يُورد بعد")))))</f>
        <v/>
      </c>
    </row>
    <row r="37">
      <c r="A37" s="39">
        <f>IF(C37="","","PO-"&amp;TEXT(ROW()-4,"0000"))</f>
        <v/>
      </c>
      <c r="B37" s="47" t="n"/>
      <c r="C37" s="50" t="n"/>
      <c r="D37" s="40" t="n"/>
      <c r="E37" s="40" t="n"/>
      <c r="F37" s="49">
        <f>IF(E37="","",IFERROR(INDEX('اعتماد المواد'!$P$5:$P$304,MATCH(E37,'اعتماد المواد'!$A$5:$A$304,0)),""))</f>
        <v/>
      </c>
      <c r="G37" s="50" t="n"/>
      <c r="H37" s="40" t="n"/>
      <c r="I37" s="50" t="n"/>
      <c r="J37" s="41" t="n"/>
      <c r="K37" s="41" t="n"/>
      <c r="L37" s="46">
        <f>IF(J37="","",J37*K37)</f>
        <v/>
      </c>
      <c r="M37" s="46">
        <f>IF(L37="","",L37*S_VAT)</f>
        <v/>
      </c>
      <c r="N37" s="46">
        <f>IF(L37="","",L37+M37)</f>
        <v/>
      </c>
      <c r="O37" s="47" t="n"/>
      <c r="P37" s="46">
        <f>IF(A37="","",SUMIFS('استلام المواد'!$K$5:$K$304,'استلام المواد'!$C$5:$C$304,A37))</f>
        <v/>
      </c>
      <c r="Q37" s="46">
        <f>IF(A37="","",J37-P37)</f>
        <v/>
      </c>
      <c r="R37" s="49">
        <f>IF(A37="","",IF(F37="لا","مادة غير معتمدة!",IF(P37&gt;=J37,"مكتمل",IF(AND(O37&lt;&gt;"",TODAY()&gt;O37),"متأخر التوريد",IF(P37&gt;0,"توريد جزئي","لم يُورد بعد")))))</f>
        <v/>
      </c>
    </row>
    <row r="38">
      <c r="A38" s="39">
        <f>IF(C38="","","PO-"&amp;TEXT(ROW()-4,"0000"))</f>
        <v/>
      </c>
      <c r="B38" s="47" t="n"/>
      <c r="C38" s="50" t="n"/>
      <c r="D38" s="40" t="n"/>
      <c r="E38" s="40" t="n"/>
      <c r="F38" s="49">
        <f>IF(E38="","",IFERROR(INDEX('اعتماد المواد'!$P$5:$P$304,MATCH(E38,'اعتماد المواد'!$A$5:$A$304,0)),""))</f>
        <v/>
      </c>
      <c r="G38" s="50" t="n"/>
      <c r="H38" s="40" t="n"/>
      <c r="I38" s="50" t="n"/>
      <c r="J38" s="41" t="n"/>
      <c r="K38" s="41" t="n"/>
      <c r="L38" s="46">
        <f>IF(J38="","",J38*K38)</f>
        <v/>
      </c>
      <c r="M38" s="46">
        <f>IF(L38="","",L38*S_VAT)</f>
        <v/>
      </c>
      <c r="N38" s="46">
        <f>IF(L38="","",L38+M38)</f>
        <v/>
      </c>
      <c r="O38" s="47" t="n"/>
      <c r="P38" s="46">
        <f>IF(A38="","",SUMIFS('استلام المواد'!$K$5:$K$304,'استلام المواد'!$C$5:$C$304,A38))</f>
        <v/>
      </c>
      <c r="Q38" s="46">
        <f>IF(A38="","",J38-P38)</f>
        <v/>
      </c>
      <c r="R38" s="49">
        <f>IF(A38="","",IF(F38="لا","مادة غير معتمدة!",IF(P38&gt;=J38,"مكتمل",IF(AND(O38&lt;&gt;"",TODAY()&gt;O38),"متأخر التوريد",IF(P38&gt;0,"توريد جزئي","لم يُورد بعد")))))</f>
        <v/>
      </c>
    </row>
    <row r="39">
      <c r="A39" s="39">
        <f>IF(C39="","","PO-"&amp;TEXT(ROW()-4,"0000"))</f>
        <v/>
      </c>
      <c r="B39" s="47" t="n"/>
      <c r="C39" s="50" t="n"/>
      <c r="D39" s="40" t="n"/>
      <c r="E39" s="40" t="n"/>
      <c r="F39" s="49">
        <f>IF(E39="","",IFERROR(INDEX('اعتماد المواد'!$P$5:$P$304,MATCH(E39,'اعتماد المواد'!$A$5:$A$304,0)),""))</f>
        <v/>
      </c>
      <c r="G39" s="50" t="n"/>
      <c r="H39" s="40" t="n"/>
      <c r="I39" s="50" t="n"/>
      <c r="J39" s="41" t="n"/>
      <c r="K39" s="41" t="n"/>
      <c r="L39" s="46">
        <f>IF(J39="","",J39*K39)</f>
        <v/>
      </c>
      <c r="M39" s="46">
        <f>IF(L39="","",L39*S_VAT)</f>
        <v/>
      </c>
      <c r="N39" s="46">
        <f>IF(L39="","",L39+M39)</f>
        <v/>
      </c>
      <c r="O39" s="47" t="n"/>
      <c r="P39" s="46">
        <f>IF(A39="","",SUMIFS('استلام المواد'!$K$5:$K$304,'استلام المواد'!$C$5:$C$304,A39))</f>
        <v/>
      </c>
      <c r="Q39" s="46">
        <f>IF(A39="","",J39-P39)</f>
        <v/>
      </c>
      <c r="R39" s="49">
        <f>IF(A39="","",IF(F39="لا","مادة غير معتمدة!",IF(P39&gt;=J39,"مكتمل",IF(AND(O39&lt;&gt;"",TODAY()&gt;O39),"متأخر التوريد",IF(P39&gt;0,"توريد جزئي","لم يُورد بعد")))))</f>
        <v/>
      </c>
    </row>
    <row r="40">
      <c r="A40" s="39">
        <f>IF(C40="","","PO-"&amp;TEXT(ROW()-4,"0000"))</f>
        <v/>
      </c>
      <c r="B40" s="47" t="n"/>
      <c r="C40" s="50" t="n"/>
      <c r="D40" s="40" t="n"/>
      <c r="E40" s="40" t="n"/>
      <c r="F40" s="49">
        <f>IF(E40="","",IFERROR(INDEX('اعتماد المواد'!$P$5:$P$304,MATCH(E40,'اعتماد المواد'!$A$5:$A$304,0)),""))</f>
        <v/>
      </c>
      <c r="G40" s="50" t="n"/>
      <c r="H40" s="40" t="n"/>
      <c r="I40" s="50" t="n"/>
      <c r="J40" s="41" t="n"/>
      <c r="K40" s="41" t="n"/>
      <c r="L40" s="46">
        <f>IF(J40="","",J40*K40)</f>
        <v/>
      </c>
      <c r="M40" s="46">
        <f>IF(L40="","",L40*S_VAT)</f>
        <v/>
      </c>
      <c r="N40" s="46">
        <f>IF(L40="","",L40+M40)</f>
        <v/>
      </c>
      <c r="O40" s="47" t="n"/>
      <c r="P40" s="46">
        <f>IF(A40="","",SUMIFS('استلام المواد'!$K$5:$K$304,'استلام المواد'!$C$5:$C$304,A40))</f>
        <v/>
      </c>
      <c r="Q40" s="46">
        <f>IF(A40="","",J40-P40)</f>
        <v/>
      </c>
      <c r="R40" s="49">
        <f>IF(A40="","",IF(F40="لا","مادة غير معتمدة!",IF(P40&gt;=J40,"مكتمل",IF(AND(O40&lt;&gt;"",TODAY()&gt;O40),"متأخر التوريد",IF(P40&gt;0,"توريد جزئي","لم يُورد بعد")))))</f>
        <v/>
      </c>
    </row>
    <row r="41">
      <c r="A41" s="39">
        <f>IF(C41="","","PO-"&amp;TEXT(ROW()-4,"0000"))</f>
        <v/>
      </c>
      <c r="B41" s="47" t="n"/>
      <c r="C41" s="50" t="n"/>
      <c r="D41" s="40" t="n"/>
      <c r="E41" s="40" t="n"/>
      <c r="F41" s="49">
        <f>IF(E41="","",IFERROR(INDEX('اعتماد المواد'!$P$5:$P$304,MATCH(E41,'اعتماد المواد'!$A$5:$A$304,0)),""))</f>
        <v/>
      </c>
      <c r="G41" s="50" t="n"/>
      <c r="H41" s="40" t="n"/>
      <c r="I41" s="50" t="n"/>
      <c r="J41" s="41" t="n"/>
      <c r="K41" s="41" t="n"/>
      <c r="L41" s="46">
        <f>IF(J41="","",J41*K41)</f>
        <v/>
      </c>
      <c r="M41" s="46">
        <f>IF(L41="","",L41*S_VAT)</f>
        <v/>
      </c>
      <c r="N41" s="46">
        <f>IF(L41="","",L41+M41)</f>
        <v/>
      </c>
      <c r="O41" s="47" t="n"/>
      <c r="P41" s="46">
        <f>IF(A41="","",SUMIFS('استلام المواد'!$K$5:$K$304,'استلام المواد'!$C$5:$C$304,A41))</f>
        <v/>
      </c>
      <c r="Q41" s="46">
        <f>IF(A41="","",J41-P41)</f>
        <v/>
      </c>
      <c r="R41" s="49">
        <f>IF(A41="","",IF(F41="لا","مادة غير معتمدة!",IF(P41&gt;=J41,"مكتمل",IF(AND(O41&lt;&gt;"",TODAY()&gt;O41),"متأخر التوريد",IF(P41&gt;0,"توريد جزئي","لم يُورد بعد")))))</f>
        <v/>
      </c>
    </row>
    <row r="42">
      <c r="A42" s="39">
        <f>IF(C42="","","PO-"&amp;TEXT(ROW()-4,"0000"))</f>
        <v/>
      </c>
      <c r="B42" s="47" t="n"/>
      <c r="C42" s="50" t="n"/>
      <c r="D42" s="40" t="n"/>
      <c r="E42" s="40" t="n"/>
      <c r="F42" s="49">
        <f>IF(E42="","",IFERROR(INDEX('اعتماد المواد'!$P$5:$P$304,MATCH(E42,'اعتماد المواد'!$A$5:$A$304,0)),""))</f>
        <v/>
      </c>
      <c r="G42" s="50" t="n"/>
      <c r="H42" s="40" t="n"/>
      <c r="I42" s="50" t="n"/>
      <c r="J42" s="41" t="n"/>
      <c r="K42" s="41" t="n"/>
      <c r="L42" s="46">
        <f>IF(J42="","",J42*K42)</f>
        <v/>
      </c>
      <c r="M42" s="46">
        <f>IF(L42="","",L42*S_VAT)</f>
        <v/>
      </c>
      <c r="N42" s="46">
        <f>IF(L42="","",L42+M42)</f>
        <v/>
      </c>
      <c r="O42" s="47" t="n"/>
      <c r="P42" s="46">
        <f>IF(A42="","",SUMIFS('استلام المواد'!$K$5:$K$304,'استلام المواد'!$C$5:$C$304,A42))</f>
        <v/>
      </c>
      <c r="Q42" s="46">
        <f>IF(A42="","",J42-P42)</f>
        <v/>
      </c>
      <c r="R42" s="49">
        <f>IF(A42="","",IF(F42="لا","مادة غير معتمدة!",IF(P42&gt;=J42,"مكتمل",IF(AND(O42&lt;&gt;"",TODAY()&gt;O42),"متأخر التوريد",IF(P42&gt;0,"توريد جزئي","لم يُورد بعد")))))</f>
        <v/>
      </c>
    </row>
    <row r="43">
      <c r="A43" s="39">
        <f>IF(C43="","","PO-"&amp;TEXT(ROW()-4,"0000"))</f>
        <v/>
      </c>
      <c r="B43" s="47" t="n"/>
      <c r="C43" s="50" t="n"/>
      <c r="D43" s="40" t="n"/>
      <c r="E43" s="40" t="n"/>
      <c r="F43" s="49">
        <f>IF(E43="","",IFERROR(INDEX('اعتماد المواد'!$P$5:$P$304,MATCH(E43,'اعتماد المواد'!$A$5:$A$304,0)),""))</f>
        <v/>
      </c>
      <c r="G43" s="50" t="n"/>
      <c r="H43" s="40" t="n"/>
      <c r="I43" s="50" t="n"/>
      <c r="J43" s="41" t="n"/>
      <c r="K43" s="41" t="n"/>
      <c r="L43" s="46">
        <f>IF(J43="","",J43*K43)</f>
        <v/>
      </c>
      <c r="M43" s="46">
        <f>IF(L43="","",L43*S_VAT)</f>
        <v/>
      </c>
      <c r="N43" s="46">
        <f>IF(L43="","",L43+M43)</f>
        <v/>
      </c>
      <c r="O43" s="47" t="n"/>
      <c r="P43" s="46">
        <f>IF(A43="","",SUMIFS('استلام المواد'!$K$5:$K$304,'استلام المواد'!$C$5:$C$304,A43))</f>
        <v/>
      </c>
      <c r="Q43" s="46">
        <f>IF(A43="","",J43-P43)</f>
        <v/>
      </c>
      <c r="R43" s="49">
        <f>IF(A43="","",IF(F43="لا","مادة غير معتمدة!",IF(P43&gt;=J43,"مكتمل",IF(AND(O43&lt;&gt;"",TODAY()&gt;O43),"متأخر التوريد",IF(P43&gt;0,"توريد جزئي","لم يُورد بعد")))))</f>
        <v/>
      </c>
    </row>
    <row r="44">
      <c r="A44" s="39">
        <f>IF(C44="","","PO-"&amp;TEXT(ROW()-4,"0000"))</f>
        <v/>
      </c>
      <c r="B44" s="47" t="n"/>
      <c r="C44" s="50" t="n"/>
      <c r="D44" s="40" t="n"/>
      <c r="E44" s="40" t="n"/>
      <c r="F44" s="49">
        <f>IF(E44="","",IFERROR(INDEX('اعتماد المواد'!$P$5:$P$304,MATCH(E44,'اعتماد المواد'!$A$5:$A$304,0)),""))</f>
        <v/>
      </c>
      <c r="G44" s="50" t="n"/>
      <c r="H44" s="40" t="n"/>
      <c r="I44" s="50" t="n"/>
      <c r="J44" s="41" t="n"/>
      <c r="K44" s="41" t="n"/>
      <c r="L44" s="46">
        <f>IF(J44="","",J44*K44)</f>
        <v/>
      </c>
      <c r="M44" s="46">
        <f>IF(L44="","",L44*S_VAT)</f>
        <v/>
      </c>
      <c r="N44" s="46">
        <f>IF(L44="","",L44+M44)</f>
        <v/>
      </c>
      <c r="O44" s="47" t="n"/>
      <c r="P44" s="46">
        <f>IF(A44="","",SUMIFS('استلام المواد'!$K$5:$K$304,'استلام المواد'!$C$5:$C$304,A44))</f>
        <v/>
      </c>
      <c r="Q44" s="46">
        <f>IF(A44="","",J44-P44)</f>
        <v/>
      </c>
      <c r="R44" s="49">
        <f>IF(A44="","",IF(F44="لا","مادة غير معتمدة!",IF(P44&gt;=J44,"مكتمل",IF(AND(O44&lt;&gt;"",TODAY()&gt;O44),"متأخر التوريد",IF(P44&gt;0,"توريد جزئي","لم يُورد بعد")))))</f>
        <v/>
      </c>
    </row>
    <row r="45">
      <c r="A45" s="39">
        <f>IF(C45="","","PO-"&amp;TEXT(ROW()-4,"0000"))</f>
        <v/>
      </c>
      <c r="B45" s="47" t="n"/>
      <c r="C45" s="50" t="n"/>
      <c r="D45" s="40" t="n"/>
      <c r="E45" s="40" t="n"/>
      <c r="F45" s="49">
        <f>IF(E45="","",IFERROR(INDEX('اعتماد المواد'!$P$5:$P$304,MATCH(E45,'اعتماد المواد'!$A$5:$A$304,0)),""))</f>
        <v/>
      </c>
      <c r="G45" s="50" t="n"/>
      <c r="H45" s="40" t="n"/>
      <c r="I45" s="50" t="n"/>
      <c r="J45" s="41" t="n"/>
      <c r="K45" s="41" t="n"/>
      <c r="L45" s="46">
        <f>IF(J45="","",J45*K45)</f>
        <v/>
      </c>
      <c r="M45" s="46">
        <f>IF(L45="","",L45*S_VAT)</f>
        <v/>
      </c>
      <c r="N45" s="46">
        <f>IF(L45="","",L45+M45)</f>
        <v/>
      </c>
      <c r="O45" s="47" t="n"/>
      <c r="P45" s="46">
        <f>IF(A45="","",SUMIFS('استلام المواد'!$K$5:$K$304,'استلام المواد'!$C$5:$C$304,A45))</f>
        <v/>
      </c>
      <c r="Q45" s="46">
        <f>IF(A45="","",J45-P45)</f>
        <v/>
      </c>
      <c r="R45" s="49">
        <f>IF(A45="","",IF(F45="لا","مادة غير معتمدة!",IF(P45&gt;=J45,"مكتمل",IF(AND(O45&lt;&gt;"",TODAY()&gt;O45),"متأخر التوريد",IF(P45&gt;0,"توريد جزئي","لم يُورد بعد")))))</f>
        <v/>
      </c>
    </row>
    <row r="46">
      <c r="A46" s="39">
        <f>IF(C46="","","PO-"&amp;TEXT(ROW()-4,"0000"))</f>
        <v/>
      </c>
      <c r="B46" s="47" t="n"/>
      <c r="C46" s="50" t="n"/>
      <c r="D46" s="40" t="n"/>
      <c r="E46" s="40" t="n"/>
      <c r="F46" s="49">
        <f>IF(E46="","",IFERROR(INDEX('اعتماد المواد'!$P$5:$P$304,MATCH(E46,'اعتماد المواد'!$A$5:$A$304,0)),""))</f>
        <v/>
      </c>
      <c r="G46" s="50" t="n"/>
      <c r="H46" s="40" t="n"/>
      <c r="I46" s="50" t="n"/>
      <c r="J46" s="41" t="n"/>
      <c r="K46" s="41" t="n"/>
      <c r="L46" s="46">
        <f>IF(J46="","",J46*K46)</f>
        <v/>
      </c>
      <c r="M46" s="46">
        <f>IF(L46="","",L46*S_VAT)</f>
        <v/>
      </c>
      <c r="N46" s="46">
        <f>IF(L46="","",L46+M46)</f>
        <v/>
      </c>
      <c r="O46" s="47" t="n"/>
      <c r="P46" s="46">
        <f>IF(A46="","",SUMIFS('استلام المواد'!$K$5:$K$304,'استلام المواد'!$C$5:$C$304,A46))</f>
        <v/>
      </c>
      <c r="Q46" s="46">
        <f>IF(A46="","",J46-P46)</f>
        <v/>
      </c>
      <c r="R46" s="49">
        <f>IF(A46="","",IF(F46="لا","مادة غير معتمدة!",IF(P46&gt;=J46,"مكتمل",IF(AND(O46&lt;&gt;"",TODAY()&gt;O46),"متأخر التوريد",IF(P46&gt;0,"توريد جزئي","لم يُورد بعد")))))</f>
        <v/>
      </c>
    </row>
    <row r="47">
      <c r="A47" s="39">
        <f>IF(C47="","","PO-"&amp;TEXT(ROW()-4,"0000"))</f>
        <v/>
      </c>
      <c r="B47" s="47" t="n"/>
      <c r="C47" s="50" t="n"/>
      <c r="D47" s="40" t="n"/>
      <c r="E47" s="40" t="n"/>
      <c r="F47" s="49">
        <f>IF(E47="","",IFERROR(INDEX('اعتماد المواد'!$P$5:$P$304,MATCH(E47,'اعتماد المواد'!$A$5:$A$304,0)),""))</f>
        <v/>
      </c>
      <c r="G47" s="50" t="n"/>
      <c r="H47" s="40" t="n"/>
      <c r="I47" s="50" t="n"/>
      <c r="J47" s="41" t="n"/>
      <c r="K47" s="41" t="n"/>
      <c r="L47" s="46">
        <f>IF(J47="","",J47*K47)</f>
        <v/>
      </c>
      <c r="M47" s="46">
        <f>IF(L47="","",L47*S_VAT)</f>
        <v/>
      </c>
      <c r="N47" s="46">
        <f>IF(L47="","",L47+M47)</f>
        <v/>
      </c>
      <c r="O47" s="47" t="n"/>
      <c r="P47" s="46">
        <f>IF(A47="","",SUMIFS('استلام المواد'!$K$5:$K$304,'استلام المواد'!$C$5:$C$304,A47))</f>
        <v/>
      </c>
      <c r="Q47" s="46">
        <f>IF(A47="","",J47-P47)</f>
        <v/>
      </c>
      <c r="R47" s="49">
        <f>IF(A47="","",IF(F47="لا","مادة غير معتمدة!",IF(P47&gt;=J47,"مكتمل",IF(AND(O47&lt;&gt;"",TODAY()&gt;O47),"متأخر التوريد",IF(P47&gt;0,"توريد جزئي","لم يُورد بعد")))))</f>
        <v/>
      </c>
    </row>
    <row r="48">
      <c r="A48" s="39">
        <f>IF(C48="","","PO-"&amp;TEXT(ROW()-4,"0000"))</f>
        <v/>
      </c>
      <c r="B48" s="47" t="n"/>
      <c r="C48" s="50" t="n"/>
      <c r="D48" s="40" t="n"/>
      <c r="E48" s="40" t="n"/>
      <c r="F48" s="49">
        <f>IF(E48="","",IFERROR(INDEX('اعتماد المواد'!$P$5:$P$304,MATCH(E48,'اعتماد المواد'!$A$5:$A$304,0)),""))</f>
        <v/>
      </c>
      <c r="G48" s="50" t="n"/>
      <c r="H48" s="40" t="n"/>
      <c r="I48" s="50" t="n"/>
      <c r="J48" s="41" t="n"/>
      <c r="K48" s="41" t="n"/>
      <c r="L48" s="46">
        <f>IF(J48="","",J48*K48)</f>
        <v/>
      </c>
      <c r="M48" s="46">
        <f>IF(L48="","",L48*S_VAT)</f>
        <v/>
      </c>
      <c r="N48" s="46">
        <f>IF(L48="","",L48+M48)</f>
        <v/>
      </c>
      <c r="O48" s="47" t="n"/>
      <c r="P48" s="46">
        <f>IF(A48="","",SUMIFS('استلام المواد'!$K$5:$K$304,'استلام المواد'!$C$5:$C$304,A48))</f>
        <v/>
      </c>
      <c r="Q48" s="46">
        <f>IF(A48="","",J48-P48)</f>
        <v/>
      </c>
      <c r="R48" s="49">
        <f>IF(A48="","",IF(F48="لا","مادة غير معتمدة!",IF(P48&gt;=J48,"مكتمل",IF(AND(O48&lt;&gt;"",TODAY()&gt;O48),"متأخر التوريد",IF(P48&gt;0,"توريد جزئي","لم يُورد بعد")))))</f>
        <v/>
      </c>
    </row>
    <row r="49">
      <c r="A49" s="39">
        <f>IF(C49="","","PO-"&amp;TEXT(ROW()-4,"0000"))</f>
        <v/>
      </c>
      <c r="B49" s="47" t="n"/>
      <c r="C49" s="50" t="n"/>
      <c r="D49" s="40" t="n"/>
      <c r="E49" s="40" t="n"/>
      <c r="F49" s="49">
        <f>IF(E49="","",IFERROR(INDEX('اعتماد المواد'!$P$5:$P$304,MATCH(E49,'اعتماد المواد'!$A$5:$A$304,0)),""))</f>
        <v/>
      </c>
      <c r="G49" s="50" t="n"/>
      <c r="H49" s="40" t="n"/>
      <c r="I49" s="50" t="n"/>
      <c r="J49" s="41" t="n"/>
      <c r="K49" s="41" t="n"/>
      <c r="L49" s="46">
        <f>IF(J49="","",J49*K49)</f>
        <v/>
      </c>
      <c r="M49" s="46">
        <f>IF(L49="","",L49*S_VAT)</f>
        <v/>
      </c>
      <c r="N49" s="46">
        <f>IF(L49="","",L49+M49)</f>
        <v/>
      </c>
      <c r="O49" s="47" t="n"/>
      <c r="P49" s="46">
        <f>IF(A49="","",SUMIFS('استلام المواد'!$K$5:$K$304,'استلام المواد'!$C$5:$C$304,A49))</f>
        <v/>
      </c>
      <c r="Q49" s="46">
        <f>IF(A49="","",J49-P49)</f>
        <v/>
      </c>
      <c r="R49" s="49">
        <f>IF(A49="","",IF(F49="لا","مادة غير معتمدة!",IF(P49&gt;=J49,"مكتمل",IF(AND(O49&lt;&gt;"",TODAY()&gt;O49),"متأخر التوريد",IF(P49&gt;0,"توريد جزئي","لم يُورد بعد")))))</f>
        <v/>
      </c>
    </row>
    <row r="50">
      <c r="A50" s="39">
        <f>IF(C50="","","PO-"&amp;TEXT(ROW()-4,"0000"))</f>
        <v/>
      </c>
      <c r="B50" s="47" t="n"/>
      <c r="C50" s="50" t="n"/>
      <c r="D50" s="40" t="n"/>
      <c r="E50" s="40" t="n"/>
      <c r="F50" s="49">
        <f>IF(E50="","",IFERROR(INDEX('اعتماد المواد'!$P$5:$P$304,MATCH(E50,'اعتماد المواد'!$A$5:$A$304,0)),""))</f>
        <v/>
      </c>
      <c r="G50" s="50" t="n"/>
      <c r="H50" s="40" t="n"/>
      <c r="I50" s="50" t="n"/>
      <c r="J50" s="41" t="n"/>
      <c r="K50" s="41" t="n"/>
      <c r="L50" s="46">
        <f>IF(J50="","",J50*K50)</f>
        <v/>
      </c>
      <c r="M50" s="46">
        <f>IF(L50="","",L50*S_VAT)</f>
        <v/>
      </c>
      <c r="N50" s="46">
        <f>IF(L50="","",L50+M50)</f>
        <v/>
      </c>
      <c r="O50" s="47" t="n"/>
      <c r="P50" s="46">
        <f>IF(A50="","",SUMIFS('استلام المواد'!$K$5:$K$304,'استلام المواد'!$C$5:$C$304,A50))</f>
        <v/>
      </c>
      <c r="Q50" s="46">
        <f>IF(A50="","",J50-P50)</f>
        <v/>
      </c>
      <c r="R50" s="49">
        <f>IF(A50="","",IF(F50="لا","مادة غير معتمدة!",IF(P50&gt;=J50,"مكتمل",IF(AND(O50&lt;&gt;"",TODAY()&gt;O50),"متأخر التوريد",IF(P50&gt;0,"توريد جزئي","لم يُورد بعد")))))</f>
        <v/>
      </c>
    </row>
    <row r="51">
      <c r="A51" s="39">
        <f>IF(C51="","","PO-"&amp;TEXT(ROW()-4,"0000"))</f>
        <v/>
      </c>
      <c r="B51" s="47" t="n"/>
      <c r="C51" s="50" t="n"/>
      <c r="D51" s="40" t="n"/>
      <c r="E51" s="40" t="n"/>
      <c r="F51" s="49">
        <f>IF(E51="","",IFERROR(INDEX('اعتماد المواد'!$P$5:$P$304,MATCH(E51,'اعتماد المواد'!$A$5:$A$304,0)),""))</f>
        <v/>
      </c>
      <c r="G51" s="50" t="n"/>
      <c r="H51" s="40" t="n"/>
      <c r="I51" s="50" t="n"/>
      <c r="J51" s="41" t="n"/>
      <c r="K51" s="41" t="n"/>
      <c r="L51" s="46">
        <f>IF(J51="","",J51*K51)</f>
        <v/>
      </c>
      <c r="M51" s="46">
        <f>IF(L51="","",L51*S_VAT)</f>
        <v/>
      </c>
      <c r="N51" s="46">
        <f>IF(L51="","",L51+M51)</f>
        <v/>
      </c>
      <c r="O51" s="47" t="n"/>
      <c r="P51" s="46">
        <f>IF(A51="","",SUMIFS('استلام المواد'!$K$5:$K$304,'استلام المواد'!$C$5:$C$304,A51))</f>
        <v/>
      </c>
      <c r="Q51" s="46">
        <f>IF(A51="","",J51-P51)</f>
        <v/>
      </c>
      <c r="R51" s="49">
        <f>IF(A51="","",IF(F51="لا","مادة غير معتمدة!",IF(P51&gt;=J51,"مكتمل",IF(AND(O51&lt;&gt;"",TODAY()&gt;O51),"متأخر التوريد",IF(P51&gt;0,"توريد جزئي","لم يُورد بعد")))))</f>
        <v/>
      </c>
    </row>
    <row r="52">
      <c r="A52" s="39">
        <f>IF(C52="","","PO-"&amp;TEXT(ROW()-4,"0000"))</f>
        <v/>
      </c>
      <c r="B52" s="47" t="n"/>
      <c r="C52" s="50" t="n"/>
      <c r="D52" s="40" t="n"/>
      <c r="E52" s="40" t="n"/>
      <c r="F52" s="49">
        <f>IF(E52="","",IFERROR(INDEX('اعتماد المواد'!$P$5:$P$304,MATCH(E52,'اعتماد المواد'!$A$5:$A$304,0)),""))</f>
        <v/>
      </c>
      <c r="G52" s="50" t="n"/>
      <c r="H52" s="40" t="n"/>
      <c r="I52" s="50" t="n"/>
      <c r="J52" s="41" t="n"/>
      <c r="K52" s="41" t="n"/>
      <c r="L52" s="46">
        <f>IF(J52="","",J52*K52)</f>
        <v/>
      </c>
      <c r="M52" s="46">
        <f>IF(L52="","",L52*S_VAT)</f>
        <v/>
      </c>
      <c r="N52" s="46">
        <f>IF(L52="","",L52+M52)</f>
        <v/>
      </c>
      <c r="O52" s="47" t="n"/>
      <c r="P52" s="46">
        <f>IF(A52="","",SUMIFS('استلام المواد'!$K$5:$K$304,'استلام المواد'!$C$5:$C$304,A52))</f>
        <v/>
      </c>
      <c r="Q52" s="46">
        <f>IF(A52="","",J52-P52)</f>
        <v/>
      </c>
      <c r="R52" s="49">
        <f>IF(A52="","",IF(F52="لا","مادة غير معتمدة!",IF(P52&gt;=J52,"مكتمل",IF(AND(O52&lt;&gt;"",TODAY()&gt;O52),"متأخر التوريد",IF(P52&gt;0,"توريد جزئي","لم يُورد بعد")))))</f>
        <v/>
      </c>
    </row>
    <row r="53">
      <c r="A53" s="39">
        <f>IF(C53="","","PO-"&amp;TEXT(ROW()-4,"0000"))</f>
        <v/>
      </c>
      <c r="B53" s="47" t="n"/>
      <c r="C53" s="50" t="n"/>
      <c r="D53" s="40" t="n"/>
      <c r="E53" s="40" t="n"/>
      <c r="F53" s="49">
        <f>IF(E53="","",IFERROR(INDEX('اعتماد المواد'!$P$5:$P$304,MATCH(E53,'اعتماد المواد'!$A$5:$A$304,0)),""))</f>
        <v/>
      </c>
      <c r="G53" s="50" t="n"/>
      <c r="H53" s="40" t="n"/>
      <c r="I53" s="50" t="n"/>
      <c r="J53" s="41" t="n"/>
      <c r="K53" s="41" t="n"/>
      <c r="L53" s="46">
        <f>IF(J53="","",J53*K53)</f>
        <v/>
      </c>
      <c r="M53" s="46">
        <f>IF(L53="","",L53*S_VAT)</f>
        <v/>
      </c>
      <c r="N53" s="46">
        <f>IF(L53="","",L53+M53)</f>
        <v/>
      </c>
      <c r="O53" s="47" t="n"/>
      <c r="P53" s="46">
        <f>IF(A53="","",SUMIFS('استلام المواد'!$K$5:$K$304,'استلام المواد'!$C$5:$C$304,A53))</f>
        <v/>
      </c>
      <c r="Q53" s="46">
        <f>IF(A53="","",J53-P53)</f>
        <v/>
      </c>
      <c r="R53" s="49">
        <f>IF(A53="","",IF(F53="لا","مادة غير معتمدة!",IF(P53&gt;=J53,"مكتمل",IF(AND(O53&lt;&gt;"",TODAY()&gt;O53),"متأخر التوريد",IF(P53&gt;0,"توريد جزئي","لم يُورد بعد")))))</f>
        <v/>
      </c>
    </row>
    <row r="54">
      <c r="A54" s="39">
        <f>IF(C54="","","PO-"&amp;TEXT(ROW()-4,"0000"))</f>
        <v/>
      </c>
      <c r="B54" s="47" t="n"/>
      <c r="C54" s="50" t="n"/>
      <c r="D54" s="40" t="n"/>
      <c r="E54" s="40" t="n"/>
      <c r="F54" s="49">
        <f>IF(E54="","",IFERROR(INDEX('اعتماد المواد'!$P$5:$P$304,MATCH(E54,'اعتماد المواد'!$A$5:$A$304,0)),""))</f>
        <v/>
      </c>
      <c r="G54" s="50" t="n"/>
      <c r="H54" s="40" t="n"/>
      <c r="I54" s="50" t="n"/>
      <c r="J54" s="41" t="n"/>
      <c r="K54" s="41" t="n"/>
      <c r="L54" s="46">
        <f>IF(J54="","",J54*K54)</f>
        <v/>
      </c>
      <c r="M54" s="46">
        <f>IF(L54="","",L54*S_VAT)</f>
        <v/>
      </c>
      <c r="N54" s="46">
        <f>IF(L54="","",L54+M54)</f>
        <v/>
      </c>
      <c r="O54" s="47" t="n"/>
      <c r="P54" s="46">
        <f>IF(A54="","",SUMIFS('استلام المواد'!$K$5:$K$304,'استلام المواد'!$C$5:$C$304,A54))</f>
        <v/>
      </c>
      <c r="Q54" s="46">
        <f>IF(A54="","",J54-P54)</f>
        <v/>
      </c>
      <c r="R54" s="49">
        <f>IF(A54="","",IF(F54="لا","مادة غير معتمدة!",IF(P54&gt;=J54,"مكتمل",IF(AND(O54&lt;&gt;"",TODAY()&gt;O54),"متأخر التوريد",IF(P54&gt;0,"توريد جزئي","لم يُورد بعد")))))</f>
        <v/>
      </c>
    </row>
    <row r="55">
      <c r="A55" s="39">
        <f>IF(C55="","","PO-"&amp;TEXT(ROW()-4,"0000"))</f>
        <v/>
      </c>
      <c r="B55" s="47" t="n"/>
      <c r="C55" s="50" t="n"/>
      <c r="D55" s="40" t="n"/>
      <c r="E55" s="40" t="n"/>
      <c r="F55" s="49">
        <f>IF(E55="","",IFERROR(INDEX('اعتماد المواد'!$P$5:$P$304,MATCH(E55,'اعتماد المواد'!$A$5:$A$304,0)),""))</f>
        <v/>
      </c>
      <c r="G55" s="50" t="n"/>
      <c r="H55" s="40" t="n"/>
      <c r="I55" s="50" t="n"/>
      <c r="J55" s="41" t="n"/>
      <c r="K55" s="41" t="n"/>
      <c r="L55" s="46">
        <f>IF(J55="","",J55*K55)</f>
        <v/>
      </c>
      <c r="M55" s="46">
        <f>IF(L55="","",L55*S_VAT)</f>
        <v/>
      </c>
      <c r="N55" s="46">
        <f>IF(L55="","",L55+M55)</f>
        <v/>
      </c>
      <c r="O55" s="47" t="n"/>
      <c r="P55" s="46">
        <f>IF(A55="","",SUMIFS('استلام المواد'!$K$5:$K$304,'استلام المواد'!$C$5:$C$304,A55))</f>
        <v/>
      </c>
      <c r="Q55" s="46">
        <f>IF(A55="","",J55-P55)</f>
        <v/>
      </c>
      <c r="R55" s="49">
        <f>IF(A55="","",IF(F55="لا","مادة غير معتمدة!",IF(P55&gt;=J55,"مكتمل",IF(AND(O55&lt;&gt;"",TODAY()&gt;O55),"متأخر التوريد",IF(P55&gt;0,"توريد جزئي","لم يُورد بعد")))))</f>
        <v/>
      </c>
    </row>
    <row r="56">
      <c r="A56" s="39">
        <f>IF(C56="","","PO-"&amp;TEXT(ROW()-4,"0000"))</f>
        <v/>
      </c>
      <c r="B56" s="47" t="n"/>
      <c r="C56" s="50" t="n"/>
      <c r="D56" s="40" t="n"/>
      <c r="E56" s="40" t="n"/>
      <c r="F56" s="49">
        <f>IF(E56="","",IFERROR(INDEX('اعتماد المواد'!$P$5:$P$304,MATCH(E56,'اعتماد المواد'!$A$5:$A$304,0)),""))</f>
        <v/>
      </c>
      <c r="G56" s="50" t="n"/>
      <c r="H56" s="40" t="n"/>
      <c r="I56" s="50" t="n"/>
      <c r="J56" s="41" t="n"/>
      <c r="K56" s="41" t="n"/>
      <c r="L56" s="46">
        <f>IF(J56="","",J56*K56)</f>
        <v/>
      </c>
      <c r="M56" s="46">
        <f>IF(L56="","",L56*S_VAT)</f>
        <v/>
      </c>
      <c r="N56" s="46">
        <f>IF(L56="","",L56+M56)</f>
        <v/>
      </c>
      <c r="O56" s="47" t="n"/>
      <c r="P56" s="46">
        <f>IF(A56="","",SUMIFS('استلام المواد'!$K$5:$K$304,'استلام المواد'!$C$5:$C$304,A56))</f>
        <v/>
      </c>
      <c r="Q56" s="46">
        <f>IF(A56="","",J56-P56)</f>
        <v/>
      </c>
      <c r="R56" s="49">
        <f>IF(A56="","",IF(F56="لا","مادة غير معتمدة!",IF(P56&gt;=J56,"مكتمل",IF(AND(O56&lt;&gt;"",TODAY()&gt;O56),"متأخر التوريد",IF(P56&gt;0,"توريد جزئي","لم يُورد بعد")))))</f>
        <v/>
      </c>
    </row>
    <row r="57">
      <c r="A57" s="39">
        <f>IF(C57="","","PO-"&amp;TEXT(ROW()-4,"0000"))</f>
        <v/>
      </c>
      <c r="B57" s="47" t="n"/>
      <c r="C57" s="50" t="n"/>
      <c r="D57" s="40" t="n"/>
      <c r="E57" s="40" t="n"/>
      <c r="F57" s="49">
        <f>IF(E57="","",IFERROR(INDEX('اعتماد المواد'!$P$5:$P$304,MATCH(E57,'اعتماد المواد'!$A$5:$A$304,0)),""))</f>
        <v/>
      </c>
      <c r="G57" s="50" t="n"/>
      <c r="H57" s="40" t="n"/>
      <c r="I57" s="50" t="n"/>
      <c r="J57" s="41" t="n"/>
      <c r="K57" s="41" t="n"/>
      <c r="L57" s="46">
        <f>IF(J57="","",J57*K57)</f>
        <v/>
      </c>
      <c r="M57" s="46">
        <f>IF(L57="","",L57*S_VAT)</f>
        <v/>
      </c>
      <c r="N57" s="46">
        <f>IF(L57="","",L57+M57)</f>
        <v/>
      </c>
      <c r="O57" s="47" t="n"/>
      <c r="P57" s="46">
        <f>IF(A57="","",SUMIFS('استلام المواد'!$K$5:$K$304,'استلام المواد'!$C$5:$C$304,A57))</f>
        <v/>
      </c>
      <c r="Q57" s="46">
        <f>IF(A57="","",J57-P57)</f>
        <v/>
      </c>
      <c r="R57" s="49">
        <f>IF(A57="","",IF(F57="لا","مادة غير معتمدة!",IF(P57&gt;=J57,"مكتمل",IF(AND(O57&lt;&gt;"",TODAY()&gt;O57),"متأخر التوريد",IF(P57&gt;0,"توريد جزئي","لم يُورد بعد")))))</f>
        <v/>
      </c>
    </row>
    <row r="58">
      <c r="A58" s="39">
        <f>IF(C58="","","PO-"&amp;TEXT(ROW()-4,"0000"))</f>
        <v/>
      </c>
      <c r="B58" s="47" t="n"/>
      <c r="C58" s="50" t="n"/>
      <c r="D58" s="40" t="n"/>
      <c r="E58" s="40" t="n"/>
      <c r="F58" s="49">
        <f>IF(E58="","",IFERROR(INDEX('اعتماد المواد'!$P$5:$P$304,MATCH(E58,'اعتماد المواد'!$A$5:$A$304,0)),""))</f>
        <v/>
      </c>
      <c r="G58" s="50" t="n"/>
      <c r="H58" s="40" t="n"/>
      <c r="I58" s="50" t="n"/>
      <c r="J58" s="41" t="n"/>
      <c r="K58" s="41" t="n"/>
      <c r="L58" s="46">
        <f>IF(J58="","",J58*K58)</f>
        <v/>
      </c>
      <c r="M58" s="46">
        <f>IF(L58="","",L58*S_VAT)</f>
        <v/>
      </c>
      <c r="N58" s="46">
        <f>IF(L58="","",L58+M58)</f>
        <v/>
      </c>
      <c r="O58" s="47" t="n"/>
      <c r="P58" s="46">
        <f>IF(A58="","",SUMIFS('استلام المواد'!$K$5:$K$304,'استلام المواد'!$C$5:$C$304,A58))</f>
        <v/>
      </c>
      <c r="Q58" s="46">
        <f>IF(A58="","",J58-P58)</f>
        <v/>
      </c>
      <c r="R58" s="49">
        <f>IF(A58="","",IF(F58="لا","مادة غير معتمدة!",IF(P58&gt;=J58,"مكتمل",IF(AND(O58&lt;&gt;"",TODAY()&gt;O58),"متأخر التوريد",IF(P58&gt;0,"توريد جزئي","لم يُورد بعد")))))</f>
        <v/>
      </c>
    </row>
    <row r="59">
      <c r="A59" s="39">
        <f>IF(C59="","","PO-"&amp;TEXT(ROW()-4,"0000"))</f>
        <v/>
      </c>
      <c r="B59" s="47" t="n"/>
      <c r="C59" s="50" t="n"/>
      <c r="D59" s="40" t="n"/>
      <c r="E59" s="40" t="n"/>
      <c r="F59" s="49">
        <f>IF(E59="","",IFERROR(INDEX('اعتماد المواد'!$P$5:$P$304,MATCH(E59,'اعتماد المواد'!$A$5:$A$304,0)),""))</f>
        <v/>
      </c>
      <c r="G59" s="50" t="n"/>
      <c r="H59" s="40" t="n"/>
      <c r="I59" s="50" t="n"/>
      <c r="J59" s="41" t="n"/>
      <c r="K59" s="41" t="n"/>
      <c r="L59" s="46">
        <f>IF(J59="","",J59*K59)</f>
        <v/>
      </c>
      <c r="M59" s="46">
        <f>IF(L59="","",L59*S_VAT)</f>
        <v/>
      </c>
      <c r="N59" s="46">
        <f>IF(L59="","",L59+M59)</f>
        <v/>
      </c>
      <c r="O59" s="47" t="n"/>
      <c r="P59" s="46">
        <f>IF(A59="","",SUMIFS('استلام المواد'!$K$5:$K$304,'استلام المواد'!$C$5:$C$304,A59))</f>
        <v/>
      </c>
      <c r="Q59" s="46">
        <f>IF(A59="","",J59-P59)</f>
        <v/>
      </c>
      <c r="R59" s="49">
        <f>IF(A59="","",IF(F59="لا","مادة غير معتمدة!",IF(P59&gt;=J59,"مكتمل",IF(AND(O59&lt;&gt;"",TODAY()&gt;O59),"متأخر التوريد",IF(P59&gt;0,"توريد جزئي","لم يُورد بعد")))))</f>
        <v/>
      </c>
    </row>
    <row r="60">
      <c r="A60" s="39">
        <f>IF(C60="","","PO-"&amp;TEXT(ROW()-4,"0000"))</f>
        <v/>
      </c>
      <c r="B60" s="47" t="n"/>
      <c r="C60" s="50" t="n"/>
      <c r="D60" s="40" t="n"/>
      <c r="E60" s="40" t="n"/>
      <c r="F60" s="49">
        <f>IF(E60="","",IFERROR(INDEX('اعتماد المواد'!$P$5:$P$304,MATCH(E60,'اعتماد المواد'!$A$5:$A$304,0)),""))</f>
        <v/>
      </c>
      <c r="G60" s="50" t="n"/>
      <c r="H60" s="40" t="n"/>
      <c r="I60" s="50" t="n"/>
      <c r="J60" s="41" t="n"/>
      <c r="K60" s="41" t="n"/>
      <c r="L60" s="46">
        <f>IF(J60="","",J60*K60)</f>
        <v/>
      </c>
      <c r="M60" s="46">
        <f>IF(L60="","",L60*S_VAT)</f>
        <v/>
      </c>
      <c r="N60" s="46">
        <f>IF(L60="","",L60+M60)</f>
        <v/>
      </c>
      <c r="O60" s="47" t="n"/>
      <c r="P60" s="46">
        <f>IF(A60="","",SUMIFS('استلام المواد'!$K$5:$K$304,'استلام المواد'!$C$5:$C$304,A60))</f>
        <v/>
      </c>
      <c r="Q60" s="46">
        <f>IF(A60="","",J60-P60)</f>
        <v/>
      </c>
      <c r="R60" s="49">
        <f>IF(A60="","",IF(F60="لا","مادة غير معتمدة!",IF(P60&gt;=J60,"مكتمل",IF(AND(O60&lt;&gt;"",TODAY()&gt;O60),"متأخر التوريد",IF(P60&gt;0,"توريد جزئي","لم يُورد بعد")))))</f>
        <v/>
      </c>
    </row>
    <row r="61">
      <c r="A61" s="39">
        <f>IF(C61="","","PO-"&amp;TEXT(ROW()-4,"0000"))</f>
        <v/>
      </c>
      <c r="B61" s="47" t="n"/>
      <c r="C61" s="50" t="n"/>
      <c r="D61" s="40" t="n"/>
      <c r="E61" s="40" t="n"/>
      <c r="F61" s="49">
        <f>IF(E61="","",IFERROR(INDEX('اعتماد المواد'!$P$5:$P$304,MATCH(E61,'اعتماد المواد'!$A$5:$A$304,0)),""))</f>
        <v/>
      </c>
      <c r="G61" s="50" t="n"/>
      <c r="H61" s="40" t="n"/>
      <c r="I61" s="50" t="n"/>
      <c r="J61" s="41" t="n"/>
      <c r="K61" s="41" t="n"/>
      <c r="L61" s="46">
        <f>IF(J61="","",J61*K61)</f>
        <v/>
      </c>
      <c r="M61" s="46">
        <f>IF(L61="","",L61*S_VAT)</f>
        <v/>
      </c>
      <c r="N61" s="46">
        <f>IF(L61="","",L61+M61)</f>
        <v/>
      </c>
      <c r="O61" s="47" t="n"/>
      <c r="P61" s="46">
        <f>IF(A61="","",SUMIFS('استلام المواد'!$K$5:$K$304,'استلام المواد'!$C$5:$C$304,A61))</f>
        <v/>
      </c>
      <c r="Q61" s="46">
        <f>IF(A61="","",J61-P61)</f>
        <v/>
      </c>
      <c r="R61" s="49">
        <f>IF(A61="","",IF(F61="لا","مادة غير معتمدة!",IF(P61&gt;=J61,"مكتمل",IF(AND(O61&lt;&gt;"",TODAY()&gt;O61),"متأخر التوريد",IF(P61&gt;0,"توريد جزئي","لم يُورد بعد")))))</f>
        <v/>
      </c>
    </row>
    <row r="62">
      <c r="A62" s="39">
        <f>IF(C62="","","PO-"&amp;TEXT(ROW()-4,"0000"))</f>
        <v/>
      </c>
      <c r="B62" s="47" t="n"/>
      <c r="C62" s="50" t="n"/>
      <c r="D62" s="40" t="n"/>
      <c r="E62" s="40" t="n"/>
      <c r="F62" s="49">
        <f>IF(E62="","",IFERROR(INDEX('اعتماد المواد'!$P$5:$P$304,MATCH(E62,'اعتماد المواد'!$A$5:$A$304,0)),""))</f>
        <v/>
      </c>
      <c r="G62" s="50" t="n"/>
      <c r="H62" s="40" t="n"/>
      <c r="I62" s="50" t="n"/>
      <c r="J62" s="41" t="n"/>
      <c r="K62" s="41" t="n"/>
      <c r="L62" s="46">
        <f>IF(J62="","",J62*K62)</f>
        <v/>
      </c>
      <c r="M62" s="46">
        <f>IF(L62="","",L62*S_VAT)</f>
        <v/>
      </c>
      <c r="N62" s="46">
        <f>IF(L62="","",L62+M62)</f>
        <v/>
      </c>
      <c r="O62" s="47" t="n"/>
      <c r="P62" s="46">
        <f>IF(A62="","",SUMIFS('استلام المواد'!$K$5:$K$304,'استلام المواد'!$C$5:$C$304,A62))</f>
        <v/>
      </c>
      <c r="Q62" s="46">
        <f>IF(A62="","",J62-P62)</f>
        <v/>
      </c>
      <c r="R62" s="49">
        <f>IF(A62="","",IF(F62="لا","مادة غير معتمدة!",IF(P62&gt;=J62,"مكتمل",IF(AND(O62&lt;&gt;"",TODAY()&gt;O62),"متأخر التوريد",IF(P62&gt;0,"توريد جزئي","لم يُورد بعد")))))</f>
        <v/>
      </c>
    </row>
    <row r="63">
      <c r="A63" s="39">
        <f>IF(C63="","","PO-"&amp;TEXT(ROW()-4,"0000"))</f>
        <v/>
      </c>
      <c r="B63" s="47" t="n"/>
      <c r="C63" s="50" t="n"/>
      <c r="D63" s="40" t="n"/>
      <c r="E63" s="40" t="n"/>
      <c r="F63" s="49">
        <f>IF(E63="","",IFERROR(INDEX('اعتماد المواد'!$P$5:$P$304,MATCH(E63,'اعتماد المواد'!$A$5:$A$304,0)),""))</f>
        <v/>
      </c>
      <c r="G63" s="50" t="n"/>
      <c r="H63" s="40" t="n"/>
      <c r="I63" s="50" t="n"/>
      <c r="J63" s="41" t="n"/>
      <c r="K63" s="41" t="n"/>
      <c r="L63" s="46">
        <f>IF(J63="","",J63*K63)</f>
        <v/>
      </c>
      <c r="M63" s="46">
        <f>IF(L63="","",L63*S_VAT)</f>
        <v/>
      </c>
      <c r="N63" s="46">
        <f>IF(L63="","",L63+M63)</f>
        <v/>
      </c>
      <c r="O63" s="47" t="n"/>
      <c r="P63" s="46">
        <f>IF(A63="","",SUMIFS('استلام المواد'!$K$5:$K$304,'استلام المواد'!$C$5:$C$304,A63))</f>
        <v/>
      </c>
      <c r="Q63" s="46">
        <f>IF(A63="","",J63-P63)</f>
        <v/>
      </c>
      <c r="R63" s="49">
        <f>IF(A63="","",IF(F63="لا","مادة غير معتمدة!",IF(P63&gt;=J63,"مكتمل",IF(AND(O63&lt;&gt;"",TODAY()&gt;O63),"متأخر التوريد",IF(P63&gt;0,"توريد جزئي","لم يُورد بعد")))))</f>
        <v/>
      </c>
    </row>
    <row r="64">
      <c r="A64" s="39">
        <f>IF(C64="","","PO-"&amp;TEXT(ROW()-4,"0000"))</f>
        <v/>
      </c>
      <c r="B64" s="47" t="n"/>
      <c r="C64" s="50" t="n"/>
      <c r="D64" s="40" t="n"/>
      <c r="E64" s="40" t="n"/>
      <c r="F64" s="49">
        <f>IF(E64="","",IFERROR(INDEX('اعتماد المواد'!$P$5:$P$304,MATCH(E64,'اعتماد المواد'!$A$5:$A$304,0)),""))</f>
        <v/>
      </c>
      <c r="G64" s="50" t="n"/>
      <c r="H64" s="40" t="n"/>
      <c r="I64" s="50" t="n"/>
      <c r="J64" s="41" t="n"/>
      <c r="K64" s="41" t="n"/>
      <c r="L64" s="46">
        <f>IF(J64="","",J64*K64)</f>
        <v/>
      </c>
      <c r="M64" s="46">
        <f>IF(L64="","",L64*S_VAT)</f>
        <v/>
      </c>
      <c r="N64" s="46">
        <f>IF(L64="","",L64+M64)</f>
        <v/>
      </c>
      <c r="O64" s="47" t="n"/>
      <c r="P64" s="46">
        <f>IF(A64="","",SUMIFS('استلام المواد'!$K$5:$K$304,'استلام المواد'!$C$5:$C$304,A64))</f>
        <v/>
      </c>
      <c r="Q64" s="46">
        <f>IF(A64="","",J64-P64)</f>
        <v/>
      </c>
      <c r="R64" s="49">
        <f>IF(A64="","",IF(F64="لا","مادة غير معتمدة!",IF(P64&gt;=J64,"مكتمل",IF(AND(O64&lt;&gt;"",TODAY()&gt;O64),"متأخر التوريد",IF(P64&gt;0,"توريد جزئي","لم يُورد بعد")))))</f>
        <v/>
      </c>
    </row>
    <row r="65">
      <c r="A65" s="39">
        <f>IF(C65="","","PO-"&amp;TEXT(ROW()-4,"0000"))</f>
        <v/>
      </c>
      <c r="B65" s="47" t="n"/>
      <c r="C65" s="50" t="n"/>
      <c r="D65" s="40" t="n"/>
      <c r="E65" s="40" t="n"/>
      <c r="F65" s="49">
        <f>IF(E65="","",IFERROR(INDEX('اعتماد المواد'!$P$5:$P$304,MATCH(E65,'اعتماد المواد'!$A$5:$A$304,0)),""))</f>
        <v/>
      </c>
      <c r="G65" s="50" t="n"/>
      <c r="H65" s="40" t="n"/>
      <c r="I65" s="50" t="n"/>
      <c r="J65" s="41" t="n"/>
      <c r="K65" s="41" t="n"/>
      <c r="L65" s="46">
        <f>IF(J65="","",J65*K65)</f>
        <v/>
      </c>
      <c r="M65" s="46">
        <f>IF(L65="","",L65*S_VAT)</f>
        <v/>
      </c>
      <c r="N65" s="46">
        <f>IF(L65="","",L65+M65)</f>
        <v/>
      </c>
      <c r="O65" s="47" t="n"/>
      <c r="P65" s="46">
        <f>IF(A65="","",SUMIFS('استلام المواد'!$K$5:$K$304,'استلام المواد'!$C$5:$C$304,A65))</f>
        <v/>
      </c>
      <c r="Q65" s="46">
        <f>IF(A65="","",J65-P65)</f>
        <v/>
      </c>
      <c r="R65" s="49">
        <f>IF(A65="","",IF(F65="لا","مادة غير معتمدة!",IF(P65&gt;=J65,"مكتمل",IF(AND(O65&lt;&gt;"",TODAY()&gt;O65),"متأخر التوريد",IF(P65&gt;0,"توريد جزئي","لم يُورد بعد")))))</f>
        <v/>
      </c>
    </row>
    <row r="66">
      <c r="A66" s="39">
        <f>IF(C66="","","PO-"&amp;TEXT(ROW()-4,"0000"))</f>
        <v/>
      </c>
      <c r="B66" s="47" t="n"/>
      <c r="C66" s="50" t="n"/>
      <c r="D66" s="40" t="n"/>
      <c r="E66" s="40" t="n"/>
      <c r="F66" s="49">
        <f>IF(E66="","",IFERROR(INDEX('اعتماد المواد'!$P$5:$P$304,MATCH(E66,'اعتماد المواد'!$A$5:$A$304,0)),""))</f>
        <v/>
      </c>
      <c r="G66" s="50" t="n"/>
      <c r="H66" s="40" t="n"/>
      <c r="I66" s="50" t="n"/>
      <c r="J66" s="41" t="n"/>
      <c r="K66" s="41" t="n"/>
      <c r="L66" s="46">
        <f>IF(J66="","",J66*K66)</f>
        <v/>
      </c>
      <c r="M66" s="46">
        <f>IF(L66="","",L66*S_VAT)</f>
        <v/>
      </c>
      <c r="N66" s="46">
        <f>IF(L66="","",L66+M66)</f>
        <v/>
      </c>
      <c r="O66" s="47" t="n"/>
      <c r="P66" s="46">
        <f>IF(A66="","",SUMIFS('استلام المواد'!$K$5:$K$304,'استلام المواد'!$C$5:$C$304,A66))</f>
        <v/>
      </c>
      <c r="Q66" s="46">
        <f>IF(A66="","",J66-P66)</f>
        <v/>
      </c>
      <c r="R66" s="49">
        <f>IF(A66="","",IF(F66="لا","مادة غير معتمدة!",IF(P66&gt;=J66,"مكتمل",IF(AND(O66&lt;&gt;"",TODAY()&gt;O66),"متأخر التوريد",IF(P66&gt;0,"توريد جزئي","لم يُورد بعد")))))</f>
        <v/>
      </c>
    </row>
    <row r="67">
      <c r="A67" s="39">
        <f>IF(C67="","","PO-"&amp;TEXT(ROW()-4,"0000"))</f>
        <v/>
      </c>
      <c r="B67" s="47" t="n"/>
      <c r="C67" s="50" t="n"/>
      <c r="D67" s="40" t="n"/>
      <c r="E67" s="40" t="n"/>
      <c r="F67" s="49">
        <f>IF(E67="","",IFERROR(INDEX('اعتماد المواد'!$P$5:$P$304,MATCH(E67,'اعتماد المواد'!$A$5:$A$304,0)),""))</f>
        <v/>
      </c>
      <c r="G67" s="50" t="n"/>
      <c r="H67" s="40" t="n"/>
      <c r="I67" s="50" t="n"/>
      <c r="J67" s="41" t="n"/>
      <c r="K67" s="41" t="n"/>
      <c r="L67" s="46">
        <f>IF(J67="","",J67*K67)</f>
        <v/>
      </c>
      <c r="M67" s="46">
        <f>IF(L67="","",L67*S_VAT)</f>
        <v/>
      </c>
      <c r="N67" s="46">
        <f>IF(L67="","",L67+M67)</f>
        <v/>
      </c>
      <c r="O67" s="47" t="n"/>
      <c r="P67" s="46">
        <f>IF(A67="","",SUMIFS('استلام المواد'!$K$5:$K$304,'استلام المواد'!$C$5:$C$304,A67))</f>
        <v/>
      </c>
      <c r="Q67" s="46">
        <f>IF(A67="","",J67-P67)</f>
        <v/>
      </c>
      <c r="R67" s="49">
        <f>IF(A67="","",IF(F67="لا","مادة غير معتمدة!",IF(P67&gt;=J67,"مكتمل",IF(AND(O67&lt;&gt;"",TODAY()&gt;O67),"متأخر التوريد",IF(P67&gt;0,"توريد جزئي","لم يُورد بعد")))))</f>
        <v/>
      </c>
    </row>
    <row r="68">
      <c r="A68" s="39">
        <f>IF(C68="","","PO-"&amp;TEXT(ROW()-4,"0000"))</f>
        <v/>
      </c>
      <c r="B68" s="47" t="n"/>
      <c r="C68" s="50" t="n"/>
      <c r="D68" s="40" t="n"/>
      <c r="E68" s="40" t="n"/>
      <c r="F68" s="49">
        <f>IF(E68="","",IFERROR(INDEX('اعتماد المواد'!$P$5:$P$304,MATCH(E68,'اعتماد المواد'!$A$5:$A$304,0)),""))</f>
        <v/>
      </c>
      <c r="G68" s="50" t="n"/>
      <c r="H68" s="40" t="n"/>
      <c r="I68" s="50" t="n"/>
      <c r="J68" s="41" t="n"/>
      <c r="K68" s="41" t="n"/>
      <c r="L68" s="46">
        <f>IF(J68="","",J68*K68)</f>
        <v/>
      </c>
      <c r="M68" s="46">
        <f>IF(L68="","",L68*S_VAT)</f>
        <v/>
      </c>
      <c r="N68" s="46">
        <f>IF(L68="","",L68+M68)</f>
        <v/>
      </c>
      <c r="O68" s="47" t="n"/>
      <c r="P68" s="46">
        <f>IF(A68="","",SUMIFS('استلام المواد'!$K$5:$K$304,'استلام المواد'!$C$5:$C$304,A68))</f>
        <v/>
      </c>
      <c r="Q68" s="46">
        <f>IF(A68="","",J68-P68)</f>
        <v/>
      </c>
      <c r="R68" s="49">
        <f>IF(A68="","",IF(F68="لا","مادة غير معتمدة!",IF(P68&gt;=J68,"مكتمل",IF(AND(O68&lt;&gt;"",TODAY()&gt;O68),"متأخر التوريد",IF(P68&gt;0,"توريد جزئي","لم يُورد بعد")))))</f>
        <v/>
      </c>
    </row>
    <row r="69">
      <c r="A69" s="39">
        <f>IF(C69="","","PO-"&amp;TEXT(ROW()-4,"0000"))</f>
        <v/>
      </c>
      <c r="B69" s="47" t="n"/>
      <c r="C69" s="50" t="n"/>
      <c r="D69" s="40" t="n"/>
      <c r="E69" s="40" t="n"/>
      <c r="F69" s="49">
        <f>IF(E69="","",IFERROR(INDEX('اعتماد المواد'!$P$5:$P$304,MATCH(E69,'اعتماد المواد'!$A$5:$A$304,0)),""))</f>
        <v/>
      </c>
      <c r="G69" s="50" t="n"/>
      <c r="H69" s="40" t="n"/>
      <c r="I69" s="50" t="n"/>
      <c r="J69" s="41" t="n"/>
      <c r="K69" s="41" t="n"/>
      <c r="L69" s="46">
        <f>IF(J69="","",J69*K69)</f>
        <v/>
      </c>
      <c r="M69" s="46">
        <f>IF(L69="","",L69*S_VAT)</f>
        <v/>
      </c>
      <c r="N69" s="46">
        <f>IF(L69="","",L69+M69)</f>
        <v/>
      </c>
      <c r="O69" s="47" t="n"/>
      <c r="P69" s="46">
        <f>IF(A69="","",SUMIFS('استلام المواد'!$K$5:$K$304,'استلام المواد'!$C$5:$C$304,A69))</f>
        <v/>
      </c>
      <c r="Q69" s="46">
        <f>IF(A69="","",J69-P69)</f>
        <v/>
      </c>
      <c r="R69" s="49">
        <f>IF(A69="","",IF(F69="لا","مادة غير معتمدة!",IF(P69&gt;=J69,"مكتمل",IF(AND(O69&lt;&gt;"",TODAY()&gt;O69),"متأخر التوريد",IF(P69&gt;0,"توريد جزئي","لم يُورد بعد")))))</f>
        <v/>
      </c>
    </row>
    <row r="70">
      <c r="A70" s="39">
        <f>IF(C70="","","PO-"&amp;TEXT(ROW()-4,"0000"))</f>
        <v/>
      </c>
      <c r="B70" s="47" t="n"/>
      <c r="C70" s="50" t="n"/>
      <c r="D70" s="40" t="n"/>
      <c r="E70" s="40" t="n"/>
      <c r="F70" s="49">
        <f>IF(E70="","",IFERROR(INDEX('اعتماد المواد'!$P$5:$P$304,MATCH(E70,'اعتماد المواد'!$A$5:$A$304,0)),""))</f>
        <v/>
      </c>
      <c r="G70" s="50" t="n"/>
      <c r="H70" s="40" t="n"/>
      <c r="I70" s="50" t="n"/>
      <c r="J70" s="41" t="n"/>
      <c r="K70" s="41" t="n"/>
      <c r="L70" s="46">
        <f>IF(J70="","",J70*K70)</f>
        <v/>
      </c>
      <c r="M70" s="46">
        <f>IF(L70="","",L70*S_VAT)</f>
        <v/>
      </c>
      <c r="N70" s="46">
        <f>IF(L70="","",L70+M70)</f>
        <v/>
      </c>
      <c r="O70" s="47" t="n"/>
      <c r="P70" s="46">
        <f>IF(A70="","",SUMIFS('استلام المواد'!$K$5:$K$304,'استلام المواد'!$C$5:$C$304,A70))</f>
        <v/>
      </c>
      <c r="Q70" s="46">
        <f>IF(A70="","",J70-P70)</f>
        <v/>
      </c>
      <c r="R70" s="49">
        <f>IF(A70="","",IF(F70="لا","مادة غير معتمدة!",IF(P70&gt;=J70,"مكتمل",IF(AND(O70&lt;&gt;"",TODAY()&gt;O70),"متأخر التوريد",IF(P70&gt;0,"توريد جزئي","لم يُورد بعد")))))</f>
        <v/>
      </c>
    </row>
    <row r="71">
      <c r="A71" s="39">
        <f>IF(C71="","","PO-"&amp;TEXT(ROW()-4,"0000"))</f>
        <v/>
      </c>
      <c r="B71" s="47" t="n"/>
      <c r="C71" s="50" t="n"/>
      <c r="D71" s="40" t="n"/>
      <c r="E71" s="40" t="n"/>
      <c r="F71" s="49">
        <f>IF(E71="","",IFERROR(INDEX('اعتماد المواد'!$P$5:$P$304,MATCH(E71,'اعتماد المواد'!$A$5:$A$304,0)),""))</f>
        <v/>
      </c>
      <c r="G71" s="50" t="n"/>
      <c r="H71" s="40" t="n"/>
      <c r="I71" s="50" t="n"/>
      <c r="J71" s="41" t="n"/>
      <c r="K71" s="41" t="n"/>
      <c r="L71" s="46">
        <f>IF(J71="","",J71*K71)</f>
        <v/>
      </c>
      <c r="M71" s="46">
        <f>IF(L71="","",L71*S_VAT)</f>
        <v/>
      </c>
      <c r="N71" s="46">
        <f>IF(L71="","",L71+M71)</f>
        <v/>
      </c>
      <c r="O71" s="47" t="n"/>
      <c r="P71" s="46">
        <f>IF(A71="","",SUMIFS('استلام المواد'!$K$5:$K$304,'استلام المواد'!$C$5:$C$304,A71))</f>
        <v/>
      </c>
      <c r="Q71" s="46">
        <f>IF(A71="","",J71-P71)</f>
        <v/>
      </c>
      <c r="R71" s="49">
        <f>IF(A71="","",IF(F71="لا","مادة غير معتمدة!",IF(P71&gt;=J71,"مكتمل",IF(AND(O71&lt;&gt;"",TODAY()&gt;O71),"متأخر التوريد",IF(P71&gt;0,"توريد جزئي","لم يُورد بعد")))))</f>
        <v/>
      </c>
    </row>
    <row r="72">
      <c r="A72" s="39">
        <f>IF(C72="","","PO-"&amp;TEXT(ROW()-4,"0000"))</f>
        <v/>
      </c>
      <c r="B72" s="47" t="n"/>
      <c r="C72" s="50" t="n"/>
      <c r="D72" s="40" t="n"/>
      <c r="E72" s="40" t="n"/>
      <c r="F72" s="49">
        <f>IF(E72="","",IFERROR(INDEX('اعتماد المواد'!$P$5:$P$304,MATCH(E72,'اعتماد المواد'!$A$5:$A$304,0)),""))</f>
        <v/>
      </c>
      <c r="G72" s="50" t="n"/>
      <c r="H72" s="40" t="n"/>
      <c r="I72" s="50" t="n"/>
      <c r="J72" s="41" t="n"/>
      <c r="K72" s="41" t="n"/>
      <c r="L72" s="46">
        <f>IF(J72="","",J72*K72)</f>
        <v/>
      </c>
      <c r="M72" s="46">
        <f>IF(L72="","",L72*S_VAT)</f>
        <v/>
      </c>
      <c r="N72" s="46">
        <f>IF(L72="","",L72+M72)</f>
        <v/>
      </c>
      <c r="O72" s="47" t="n"/>
      <c r="P72" s="46">
        <f>IF(A72="","",SUMIFS('استلام المواد'!$K$5:$K$304,'استلام المواد'!$C$5:$C$304,A72))</f>
        <v/>
      </c>
      <c r="Q72" s="46">
        <f>IF(A72="","",J72-P72)</f>
        <v/>
      </c>
      <c r="R72" s="49">
        <f>IF(A72="","",IF(F72="لا","مادة غير معتمدة!",IF(P72&gt;=J72,"مكتمل",IF(AND(O72&lt;&gt;"",TODAY()&gt;O72),"متأخر التوريد",IF(P72&gt;0,"توريد جزئي","لم يُورد بعد")))))</f>
        <v/>
      </c>
    </row>
    <row r="73">
      <c r="A73" s="39">
        <f>IF(C73="","","PO-"&amp;TEXT(ROW()-4,"0000"))</f>
        <v/>
      </c>
      <c r="B73" s="47" t="n"/>
      <c r="C73" s="50" t="n"/>
      <c r="D73" s="40" t="n"/>
      <c r="E73" s="40" t="n"/>
      <c r="F73" s="49">
        <f>IF(E73="","",IFERROR(INDEX('اعتماد المواد'!$P$5:$P$304,MATCH(E73,'اعتماد المواد'!$A$5:$A$304,0)),""))</f>
        <v/>
      </c>
      <c r="G73" s="50" t="n"/>
      <c r="H73" s="40" t="n"/>
      <c r="I73" s="50" t="n"/>
      <c r="J73" s="41" t="n"/>
      <c r="K73" s="41" t="n"/>
      <c r="L73" s="46">
        <f>IF(J73="","",J73*K73)</f>
        <v/>
      </c>
      <c r="M73" s="46">
        <f>IF(L73="","",L73*S_VAT)</f>
        <v/>
      </c>
      <c r="N73" s="46">
        <f>IF(L73="","",L73+M73)</f>
        <v/>
      </c>
      <c r="O73" s="47" t="n"/>
      <c r="P73" s="46">
        <f>IF(A73="","",SUMIFS('استلام المواد'!$K$5:$K$304,'استلام المواد'!$C$5:$C$304,A73))</f>
        <v/>
      </c>
      <c r="Q73" s="46">
        <f>IF(A73="","",J73-P73)</f>
        <v/>
      </c>
      <c r="R73" s="49">
        <f>IF(A73="","",IF(F73="لا","مادة غير معتمدة!",IF(P73&gt;=J73,"مكتمل",IF(AND(O73&lt;&gt;"",TODAY()&gt;O73),"متأخر التوريد",IF(P73&gt;0,"توريد جزئي","لم يُورد بعد")))))</f>
        <v/>
      </c>
    </row>
    <row r="74">
      <c r="A74" s="39">
        <f>IF(C74="","","PO-"&amp;TEXT(ROW()-4,"0000"))</f>
        <v/>
      </c>
      <c r="B74" s="47" t="n"/>
      <c r="C74" s="50" t="n"/>
      <c r="D74" s="40" t="n"/>
      <c r="E74" s="40" t="n"/>
      <c r="F74" s="49">
        <f>IF(E74="","",IFERROR(INDEX('اعتماد المواد'!$P$5:$P$304,MATCH(E74,'اعتماد المواد'!$A$5:$A$304,0)),""))</f>
        <v/>
      </c>
      <c r="G74" s="50" t="n"/>
      <c r="H74" s="40" t="n"/>
      <c r="I74" s="50" t="n"/>
      <c r="J74" s="41" t="n"/>
      <c r="K74" s="41" t="n"/>
      <c r="L74" s="46">
        <f>IF(J74="","",J74*K74)</f>
        <v/>
      </c>
      <c r="M74" s="46">
        <f>IF(L74="","",L74*S_VAT)</f>
        <v/>
      </c>
      <c r="N74" s="46">
        <f>IF(L74="","",L74+M74)</f>
        <v/>
      </c>
      <c r="O74" s="47" t="n"/>
      <c r="P74" s="46">
        <f>IF(A74="","",SUMIFS('استلام المواد'!$K$5:$K$304,'استلام المواد'!$C$5:$C$304,A74))</f>
        <v/>
      </c>
      <c r="Q74" s="46">
        <f>IF(A74="","",J74-P74)</f>
        <v/>
      </c>
      <c r="R74" s="49">
        <f>IF(A74="","",IF(F74="لا","مادة غير معتمدة!",IF(P74&gt;=J74,"مكتمل",IF(AND(O74&lt;&gt;"",TODAY()&gt;O74),"متأخر التوريد",IF(P74&gt;0,"توريد جزئي","لم يُورد بعد")))))</f>
        <v/>
      </c>
    </row>
    <row r="75">
      <c r="A75" s="39">
        <f>IF(C75="","","PO-"&amp;TEXT(ROW()-4,"0000"))</f>
        <v/>
      </c>
      <c r="B75" s="47" t="n"/>
      <c r="C75" s="50" t="n"/>
      <c r="D75" s="40" t="n"/>
      <c r="E75" s="40" t="n"/>
      <c r="F75" s="49">
        <f>IF(E75="","",IFERROR(INDEX('اعتماد المواد'!$P$5:$P$304,MATCH(E75,'اعتماد المواد'!$A$5:$A$304,0)),""))</f>
        <v/>
      </c>
      <c r="G75" s="50" t="n"/>
      <c r="H75" s="40" t="n"/>
      <c r="I75" s="50" t="n"/>
      <c r="J75" s="41" t="n"/>
      <c r="K75" s="41" t="n"/>
      <c r="L75" s="46">
        <f>IF(J75="","",J75*K75)</f>
        <v/>
      </c>
      <c r="M75" s="46">
        <f>IF(L75="","",L75*S_VAT)</f>
        <v/>
      </c>
      <c r="N75" s="46">
        <f>IF(L75="","",L75+M75)</f>
        <v/>
      </c>
      <c r="O75" s="47" t="n"/>
      <c r="P75" s="46">
        <f>IF(A75="","",SUMIFS('استلام المواد'!$K$5:$K$304,'استلام المواد'!$C$5:$C$304,A75))</f>
        <v/>
      </c>
      <c r="Q75" s="46">
        <f>IF(A75="","",J75-P75)</f>
        <v/>
      </c>
      <c r="R75" s="49">
        <f>IF(A75="","",IF(F75="لا","مادة غير معتمدة!",IF(P75&gt;=J75,"مكتمل",IF(AND(O75&lt;&gt;"",TODAY()&gt;O75),"متأخر التوريد",IF(P75&gt;0,"توريد جزئي","لم يُورد بعد")))))</f>
        <v/>
      </c>
    </row>
    <row r="76">
      <c r="A76" s="39">
        <f>IF(C76="","","PO-"&amp;TEXT(ROW()-4,"0000"))</f>
        <v/>
      </c>
      <c r="B76" s="47" t="n"/>
      <c r="C76" s="50" t="n"/>
      <c r="D76" s="40" t="n"/>
      <c r="E76" s="40" t="n"/>
      <c r="F76" s="49">
        <f>IF(E76="","",IFERROR(INDEX('اعتماد المواد'!$P$5:$P$304,MATCH(E76,'اعتماد المواد'!$A$5:$A$304,0)),""))</f>
        <v/>
      </c>
      <c r="G76" s="50" t="n"/>
      <c r="H76" s="40" t="n"/>
      <c r="I76" s="50" t="n"/>
      <c r="J76" s="41" t="n"/>
      <c r="K76" s="41" t="n"/>
      <c r="L76" s="46">
        <f>IF(J76="","",J76*K76)</f>
        <v/>
      </c>
      <c r="M76" s="46">
        <f>IF(L76="","",L76*S_VAT)</f>
        <v/>
      </c>
      <c r="N76" s="46">
        <f>IF(L76="","",L76+M76)</f>
        <v/>
      </c>
      <c r="O76" s="47" t="n"/>
      <c r="P76" s="46">
        <f>IF(A76="","",SUMIFS('استلام المواد'!$K$5:$K$304,'استلام المواد'!$C$5:$C$304,A76))</f>
        <v/>
      </c>
      <c r="Q76" s="46">
        <f>IF(A76="","",J76-P76)</f>
        <v/>
      </c>
      <c r="R76" s="49">
        <f>IF(A76="","",IF(F76="لا","مادة غير معتمدة!",IF(P76&gt;=J76,"مكتمل",IF(AND(O76&lt;&gt;"",TODAY()&gt;O76),"متأخر التوريد",IF(P76&gt;0,"توريد جزئي","لم يُورد بعد")))))</f>
        <v/>
      </c>
    </row>
    <row r="77">
      <c r="A77" s="39">
        <f>IF(C77="","","PO-"&amp;TEXT(ROW()-4,"0000"))</f>
        <v/>
      </c>
      <c r="B77" s="47" t="n"/>
      <c r="C77" s="50" t="n"/>
      <c r="D77" s="40" t="n"/>
      <c r="E77" s="40" t="n"/>
      <c r="F77" s="49">
        <f>IF(E77="","",IFERROR(INDEX('اعتماد المواد'!$P$5:$P$304,MATCH(E77,'اعتماد المواد'!$A$5:$A$304,0)),""))</f>
        <v/>
      </c>
      <c r="G77" s="50" t="n"/>
      <c r="H77" s="40" t="n"/>
      <c r="I77" s="50" t="n"/>
      <c r="J77" s="41" t="n"/>
      <c r="K77" s="41" t="n"/>
      <c r="L77" s="46">
        <f>IF(J77="","",J77*K77)</f>
        <v/>
      </c>
      <c r="M77" s="46">
        <f>IF(L77="","",L77*S_VAT)</f>
        <v/>
      </c>
      <c r="N77" s="46">
        <f>IF(L77="","",L77+M77)</f>
        <v/>
      </c>
      <c r="O77" s="47" t="n"/>
      <c r="P77" s="46">
        <f>IF(A77="","",SUMIFS('استلام المواد'!$K$5:$K$304,'استلام المواد'!$C$5:$C$304,A77))</f>
        <v/>
      </c>
      <c r="Q77" s="46">
        <f>IF(A77="","",J77-P77)</f>
        <v/>
      </c>
      <c r="R77" s="49">
        <f>IF(A77="","",IF(F77="لا","مادة غير معتمدة!",IF(P77&gt;=J77,"مكتمل",IF(AND(O77&lt;&gt;"",TODAY()&gt;O77),"متأخر التوريد",IF(P77&gt;0,"توريد جزئي","لم يُورد بعد")))))</f>
        <v/>
      </c>
    </row>
    <row r="78">
      <c r="A78" s="39">
        <f>IF(C78="","","PO-"&amp;TEXT(ROW()-4,"0000"))</f>
        <v/>
      </c>
      <c r="B78" s="47" t="n"/>
      <c r="C78" s="50" t="n"/>
      <c r="D78" s="40" t="n"/>
      <c r="E78" s="40" t="n"/>
      <c r="F78" s="49">
        <f>IF(E78="","",IFERROR(INDEX('اعتماد المواد'!$P$5:$P$304,MATCH(E78,'اعتماد المواد'!$A$5:$A$304,0)),""))</f>
        <v/>
      </c>
      <c r="G78" s="50" t="n"/>
      <c r="H78" s="40" t="n"/>
      <c r="I78" s="50" t="n"/>
      <c r="J78" s="41" t="n"/>
      <c r="K78" s="41" t="n"/>
      <c r="L78" s="46">
        <f>IF(J78="","",J78*K78)</f>
        <v/>
      </c>
      <c r="M78" s="46">
        <f>IF(L78="","",L78*S_VAT)</f>
        <v/>
      </c>
      <c r="N78" s="46">
        <f>IF(L78="","",L78+M78)</f>
        <v/>
      </c>
      <c r="O78" s="47" t="n"/>
      <c r="P78" s="46">
        <f>IF(A78="","",SUMIFS('استلام المواد'!$K$5:$K$304,'استلام المواد'!$C$5:$C$304,A78))</f>
        <v/>
      </c>
      <c r="Q78" s="46">
        <f>IF(A78="","",J78-P78)</f>
        <v/>
      </c>
      <c r="R78" s="49">
        <f>IF(A78="","",IF(F78="لا","مادة غير معتمدة!",IF(P78&gt;=J78,"مكتمل",IF(AND(O78&lt;&gt;"",TODAY()&gt;O78),"متأخر التوريد",IF(P78&gt;0,"توريد جزئي","لم يُورد بعد")))))</f>
        <v/>
      </c>
    </row>
    <row r="79">
      <c r="A79" s="39">
        <f>IF(C79="","","PO-"&amp;TEXT(ROW()-4,"0000"))</f>
        <v/>
      </c>
      <c r="B79" s="47" t="n"/>
      <c r="C79" s="50" t="n"/>
      <c r="D79" s="40" t="n"/>
      <c r="E79" s="40" t="n"/>
      <c r="F79" s="49">
        <f>IF(E79="","",IFERROR(INDEX('اعتماد المواد'!$P$5:$P$304,MATCH(E79,'اعتماد المواد'!$A$5:$A$304,0)),""))</f>
        <v/>
      </c>
      <c r="G79" s="50" t="n"/>
      <c r="H79" s="40" t="n"/>
      <c r="I79" s="50" t="n"/>
      <c r="J79" s="41" t="n"/>
      <c r="K79" s="41" t="n"/>
      <c r="L79" s="46">
        <f>IF(J79="","",J79*K79)</f>
        <v/>
      </c>
      <c r="M79" s="46">
        <f>IF(L79="","",L79*S_VAT)</f>
        <v/>
      </c>
      <c r="N79" s="46">
        <f>IF(L79="","",L79+M79)</f>
        <v/>
      </c>
      <c r="O79" s="47" t="n"/>
      <c r="P79" s="46">
        <f>IF(A79="","",SUMIFS('استلام المواد'!$K$5:$K$304,'استلام المواد'!$C$5:$C$304,A79))</f>
        <v/>
      </c>
      <c r="Q79" s="46">
        <f>IF(A79="","",J79-P79)</f>
        <v/>
      </c>
      <c r="R79" s="49">
        <f>IF(A79="","",IF(F79="لا","مادة غير معتمدة!",IF(P79&gt;=J79,"مكتمل",IF(AND(O79&lt;&gt;"",TODAY()&gt;O79),"متأخر التوريد",IF(P79&gt;0,"توريد جزئي","لم يُورد بعد")))))</f>
        <v/>
      </c>
    </row>
    <row r="80">
      <c r="A80" s="39">
        <f>IF(C80="","","PO-"&amp;TEXT(ROW()-4,"0000"))</f>
        <v/>
      </c>
      <c r="B80" s="47" t="n"/>
      <c r="C80" s="50" t="n"/>
      <c r="D80" s="40" t="n"/>
      <c r="E80" s="40" t="n"/>
      <c r="F80" s="49">
        <f>IF(E80="","",IFERROR(INDEX('اعتماد المواد'!$P$5:$P$304,MATCH(E80,'اعتماد المواد'!$A$5:$A$304,0)),""))</f>
        <v/>
      </c>
      <c r="G80" s="50" t="n"/>
      <c r="H80" s="40" t="n"/>
      <c r="I80" s="50" t="n"/>
      <c r="J80" s="41" t="n"/>
      <c r="K80" s="41" t="n"/>
      <c r="L80" s="46">
        <f>IF(J80="","",J80*K80)</f>
        <v/>
      </c>
      <c r="M80" s="46">
        <f>IF(L80="","",L80*S_VAT)</f>
        <v/>
      </c>
      <c r="N80" s="46">
        <f>IF(L80="","",L80+M80)</f>
        <v/>
      </c>
      <c r="O80" s="47" t="n"/>
      <c r="P80" s="46">
        <f>IF(A80="","",SUMIFS('استلام المواد'!$K$5:$K$304,'استلام المواد'!$C$5:$C$304,A80))</f>
        <v/>
      </c>
      <c r="Q80" s="46">
        <f>IF(A80="","",J80-P80)</f>
        <v/>
      </c>
      <c r="R80" s="49">
        <f>IF(A80="","",IF(F80="لا","مادة غير معتمدة!",IF(P80&gt;=J80,"مكتمل",IF(AND(O80&lt;&gt;"",TODAY()&gt;O80),"متأخر التوريد",IF(P80&gt;0,"توريد جزئي","لم يُورد بعد")))))</f>
        <v/>
      </c>
    </row>
    <row r="81">
      <c r="A81" s="39">
        <f>IF(C81="","","PO-"&amp;TEXT(ROW()-4,"0000"))</f>
        <v/>
      </c>
      <c r="B81" s="47" t="n"/>
      <c r="C81" s="50" t="n"/>
      <c r="D81" s="40" t="n"/>
      <c r="E81" s="40" t="n"/>
      <c r="F81" s="49">
        <f>IF(E81="","",IFERROR(INDEX('اعتماد المواد'!$P$5:$P$304,MATCH(E81,'اعتماد المواد'!$A$5:$A$304,0)),""))</f>
        <v/>
      </c>
      <c r="G81" s="50" t="n"/>
      <c r="H81" s="40" t="n"/>
      <c r="I81" s="50" t="n"/>
      <c r="J81" s="41" t="n"/>
      <c r="K81" s="41" t="n"/>
      <c r="L81" s="46">
        <f>IF(J81="","",J81*K81)</f>
        <v/>
      </c>
      <c r="M81" s="46">
        <f>IF(L81="","",L81*S_VAT)</f>
        <v/>
      </c>
      <c r="N81" s="46">
        <f>IF(L81="","",L81+M81)</f>
        <v/>
      </c>
      <c r="O81" s="47" t="n"/>
      <c r="P81" s="46">
        <f>IF(A81="","",SUMIFS('استلام المواد'!$K$5:$K$304,'استلام المواد'!$C$5:$C$304,A81))</f>
        <v/>
      </c>
      <c r="Q81" s="46">
        <f>IF(A81="","",J81-P81)</f>
        <v/>
      </c>
      <c r="R81" s="49">
        <f>IF(A81="","",IF(F81="لا","مادة غير معتمدة!",IF(P81&gt;=J81,"مكتمل",IF(AND(O81&lt;&gt;"",TODAY()&gt;O81),"متأخر التوريد",IF(P81&gt;0,"توريد جزئي","لم يُورد بعد")))))</f>
        <v/>
      </c>
    </row>
    <row r="82">
      <c r="A82" s="39">
        <f>IF(C82="","","PO-"&amp;TEXT(ROW()-4,"0000"))</f>
        <v/>
      </c>
      <c r="B82" s="47" t="n"/>
      <c r="C82" s="50" t="n"/>
      <c r="D82" s="40" t="n"/>
      <c r="E82" s="40" t="n"/>
      <c r="F82" s="49">
        <f>IF(E82="","",IFERROR(INDEX('اعتماد المواد'!$P$5:$P$304,MATCH(E82,'اعتماد المواد'!$A$5:$A$304,0)),""))</f>
        <v/>
      </c>
      <c r="G82" s="50" t="n"/>
      <c r="H82" s="40" t="n"/>
      <c r="I82" s="50" t="n"/>
      <c r="J82" s="41" t="n"/>
      <c r="K82" s="41" t="n"/>
      <c r="L82" s="46">
        <f>IF(J82="","",J82*K82)</f>
        <v/>
      </c>
      <c r="M82" s="46">
        <f>IF(L82="","",L82*S_VAT)</f>
        <v/>
      </c>
      <c r="N82" s="46">
        <f>IF(L82="","",L82+M82)</f>
        <v/>
      </c>
      <c r="O82" s="47" t="n"/>
      <c r="P82" s="46">
        <f>IF(A82="","",SUMIFS('استلام المواد'!$K$5:$K$304,'استلام المواد'!$C$5:$C$304,A82))</f>
        <v/>
      </c>
      <c r="Q82" s="46">
        <f>IF(A82="","",J82-P82)</f>
        <v/>
      </c>
      <c r="R82" s="49">
        <f>IF(A82="","",IF(F82="لا","مادة غير معتمدة!",IF(P82&gt;=J82,"مكتمل",IF(AND(O82&lt;&gt;"",TODAY()&gt;O82),"متأخر التوريد",IF(P82&gt;0,"توريد جزئي","لم يُورد بعد")))))</f>
        <v/>
      </c>
    </row>
    <row r="83">
      <c r="A83" s="39">
        <f>IF(C83="","","PO-"&amp;TEXT(ROW()-4,"0000"))</f>
        <v/>
      </c>
      <c r="B83" s="47" t="n"/>
      <c r="C83" s="50" t="n"/>
      <c r="D83" s="40" t="n"/>
      <c r="E83" s="40" t="n"/>
      <c r="F83" s="49">
        <f>IF(E83="","",IFERROR(INDEX('اعتماد المواد'!$P$5:$P$304,MATCH(E83,'اعتماد المواد'!$A$5:$A$304,0)),""))</f>
        <v/>
      </c>
      <c r="G83" s="50" t="n"/>
      <c r="H83" s="40" t="n"/>
      <c r="I83" s="50" t="n"/>
      <c r="J83" s="41" t="n"/>
      <c r="K83" s="41" t="n"/>
      <c r="L83" s="46">
        <f>IF(J83="","",J83*K83)</f>
        <v/>
      </c>
      <c r="M83" s="46">
        <f>IF(L83="","",L83*S_VAT)</f>
        <v/>
      </c>
      <c r="N83" s="46">
        <f>IF(L83="","",L83+M83)</f>
        <v/>
      </c>
      <c r="O83" s="47" t="n"/>
      <c r="P83" s="46">
        <f>IF(A83="","",SUMIFS('استلام المواد'!$K$5:$K$304,'استلام المواد'!$C$5:$C$304,A83))</f>
        <v/>
      </c>
      <c r="Q83" s="46">
        <f>IF(A83="","",J83-P83)</f>
        <v/>
      </c>
      <c r="R83" s="49">
        <f>IF(A83="","",IF(F83="لا","مادة غير معتمدة!",IF(P83&gt;=J83,"مكتمل",IF(AND(O83&lt;&gt;"",TODAY()&gt;O83),"متأخر التوريد",IF(P83&gt;0,"توريد جزئي","لم يُورد بعد")))))</f>
        <v/>
      </c>
    </row>
    <row r="84">
      <c r="A84" s="39">
        <f>IF(C84="","","PO-"&amp;TEXT(ROW()-4,"0000"))</f>
        <v/>
      </c>
      <c r="B84" s="47" t="n"/>
      <c r="C84" s="50" t="n"/>
      <c r="D84" s="40" t="n"/>
      <c r="E84" s="40" t="n"/>
      <c r="F84" s="49">
        <f>IF(E84="","",IFERROR(INDEX('اعتماد المواد'!$P$5:$P$304,MATCH(E84,'اعتماد المواد'!$A$5:$A$304,0)),""))</f>
        <v/>
      </c>
      <c r="G84" s="50" t="n"/>
      <c r="H84" s="40" t="n"/>
      <c r="I84" s="50" t="n"/>
      <c r="J84" s="41" t="n"/>
      <c r="K84" s="41" t="n"/>
      <c r="L84" s="46">
        <f>IF(J84="","",J84*K84)</f>
        <v/>
      </c>
      <c r="M84" s="46">
        <f>IF(L84="","",L84*S_VAT)</f>
        <v/>
      </c>
      <c r="N84" s="46">
        <f>IF(L84="","",L84+M84)</f>
        <v/>
      </c>
      <c r="O84" s="47" t="n"/>
      <c r="P84" s="46">
        <f>IF(A84="","",SUMIFS('استلام المواد'!$K$5:$K$304,'استلام المواد'!$C$5:$C$304,A84))</f>
        <v/>
      </c>
      <c r="Q84" s="46">
        <f>IF(A84="","",J84-P84)</f>
        <v/>
      </c>
      <c r="R84" s="49">
        <f>IF(A84="","",IF(F84="لا","مادة غير معتمدة!",IF(P84&gt;=J84,"مكتمل",IF(AND(O84&lt;&gt;"",TODAY()&gt;O84),"متأخر التوريد",IF(P84&gt;0,"توريد جزئي","لم يُورد بعد")))))</f>
        <v/>
      </c>
    </row>
    <row r="85">
      <c r="A85" s="39">
        <f>IF(C85="","","PO-"&amp;TEXT(ROW()-4,"0000"))</f>
        <v/>
      </c>
      <c r="B85" s="47" t="n"/>
      <c r="C85" s="50" t="n"/>
      <c r="D85" s="40" t="n"/>
      <c r="E85" s="40" t="n"/>
      <c r="F85" s="49">
        <f>IF(E85="","",IFERROR(INDEX('اعتماد المواد'!$P$5:$P$304,MATCH(E85,'اعتماد المواد'!$A$5:$A$304,0)),""))</f>
        <v/>
      </c>
      <c r="G85" s="50" t="n"/>
      <c r="H85" s="40" t="n"/>
      <c r="I85" s="50" t="n"/>
      <c r="J85" s="41" t="n"/>
      <c r="K85" s="41" t="n"/>
      <c r="L85" s="46">
        <f>IF(J85="","",J85*K85)</f>
        <v/>
      </c>
      <c r="M85" s="46">
        <f>IF(L85="","",L85*S_VAT)</f>
        <v/>
      </c>
      <c r="N85" s="46">
        <f>IF(L85="","",L85+M85)</f>
        <v/>
      </c>
      <c r="O85" s="47" t="n"/>
      <c r="P85" s="46">
        <f>IF(A85="","",SUMIFS('استلام المواد'!$K$5:$K$304,'استلام المواد'!$C$5:$C$304,A85))</f>
        <v/>
      </c>
      <c r="Q85" s="46">
        <f>IF(A85="","",J85-P85)</f>
        <v/>
      </c>
      <c r="R85" s="49">
        <f>IF(A85="","",IF(F85="لا","مادة غير معتمدة!",IF(P85&gt;=J85,"مكتمل",IF(AND(O85&lt;&gt;"",TODAY()&gt;O85),"متأخر التوريد",IF(P85&gt;0,"توريد جزئي","لم يُورد بعد")))))</f>
        <v/>
      </c>
    </row>
    <row r="86">
      <c r="A86" s="39">
        <f>IF(C86="","","PO-"&amp;TEXT(ROW()-4,"0000"))</f>
        <v/>
      </c>
      <c r="B86" s="47" t="n"/>
      <c r="C86" s="50" t="n"/>
      <c r="D86" s="40" t="n"/>
      <c r="E86" s="40" t="n"/>
      <c r="F86" s="49">
        <f>IF(E86="","",IFERROR(INDEX('اعتماد المواد'!$P$5:$P$304,MATCH(E86,'اعتماد المواد'!$A$5:$A$304,0)),""))</f>
        <v/>
      </c>
      <c r="G86" s="50" t="n"/>
      <c r="H86" s="40" t="n"/>
      <c r="I86" s="50" t="n"/>
      <c r="J86" s="41" t="n"/>
      <c r="K86" s="41" t="n"/>
      <c r="L86" s="46">
        <f>IF(J86="","",J86*K86)</f>
        <v/>
      </c>
      <c r="M86" s="46">
        <f>IF(L86="","",L86*S_VAT)</f>
        <v/>
      </c>
      <c r="N86" s="46">
        <f>IF(L86="","",L86+M86)</f>
        <v/>
      </c>
      <c r="O86" s="47" t="n"/>
      <c r="P86" s="46">
        <f>IF(A86="","",SUMIFS('استلام المواد'!$K$5:$K$304,'استلام المواد'!$C$5:$C$304,A86))</f>
        <v/>
      </c>
      <c r="Q86" s="46">
        <f>IF(A86="","",J86-P86)</f>
        <v/>
      </c>
      <c r="R86" s="49">
        <f>IF(A86="","",IF(F86="لا","مادة غير معتمدة!",IF(P86&gt;=J86,"مكتمل",IF(AND(O86&lt;&gt;"",TODAY()&gt;O86),"متأخر التوريد",IF(P86&gt;0,"توريد جزئي","لم يُورد بعد")))))</f>
        <v/>
      </c>
    </row>
    <row r="87">
      <c r="A87" s="39">
        <f>IF(C87="","","PO-"&amp;TEXT(ROW()-4,"0000"))</f>
        <v/>
      </c>
      <c r="B87" s="47" t="n"/>
      <c r="C87" s="50" t="n"/>
      <c r="D87" s="40" t="n"/>
      <c r="E87" s="40" t="n"/>
      <c r="F87" s="49">
        <f>IF(E87="","",IFERROR(INDEX('اعتماد المواد'!$P$5:$P$304,MATCH(E87,'اعتماد المواد'!$A$5:$A$304,0)),""))</f>
        <v/>
      </c>
      <c r="G87" s="50" t="n"/>
      <c r="H87" s="40" t="n"/>
      <c r="I87" s="50" t="n"/>
      <c r="J87" s="41" t="n"/>
      <c r="K87" s="41" t="n"/>
      <c r="L87" s="46">
        <f>IF(J87="","",J87*K87)</f>
        <v/>
      </c>
      <c r="M87" s="46">
        <f>IF(L87="","",L87*S_VAT)</f>
        <v/>
      </c>
      <c r="N87" s="46">
        <f>IF(L87="","",L87+M87)</f>
        <v/>
      </c>
      <c r="O87" s="47" t="n"/>
      <c r="P87" s="46">
        <f>IF(A87="","",SUMIFS('استلام المواد'!$K$5:$K$304,'استلام المواد'!$C$5:$C$304,A87))</f>
        <v/>
      </c>
      <c r="Q87" s="46">
        <f>IF(A87="","",J87-P87)</f>
        <v/>
      </c>
      <c r="R87" s="49">
        <f>IF(A87="","",IF(F87="لا","مادة غير معتمدة!",IF(P87&gt;=J87,"مكتمل",IF(AND(O87&lt;&gt;"",TODAY()&gt;O87),"متأخر التوريد",IF(P87&gt;0,"توريد جزئي","لم يُورد بعد")))))</f>
        <v/>
      </c>
    </row>
    <row r="88">
      <c r="A88" s="39">
        <f>IF(C88="","","PO-"&amp;TEXT(ROW()-4,"0000"))</f>
        <v/>
      </c>
      <c r="B88" s="47" t="n"/>
      <c r="C88" s="50" t="n"/>
      <c r="D88" s="40" t="n"/>
      <c r="E88" s="40" t="n"/>
      <c r="F88" s="49">
        <f>IF(E88="","",IFERROR(INDEX('اعتماد المواد'!$P$5:$P$304,MATCH(E88,'اعتماد المواد'!$A$5:$A$304,0)),""))</f>
        <v/>
      </c>
      <c r="G88" s="50" t="n"/>
      <c r="H88" s="40" t="n"/>
      <c r="I88" s="50" t="n"/>
      <c r="J88" s="41" t="n"/>
      <c r="K88" s="41" t="n"/>
      <c r="L88" s="46">
        <f>IF(J88="","",J88*K88)</f>
        <v/>
      </c>
      <c r="M88" s="46">
        <f>IF(L88="","",L88*S_VAT)</f>
        <v/>
      </c>
      <c r="N88" s="46">
        <f>IF(L88="","",L88+M88)</f>
        <v/>
      </c>
      <c r="O88" s="47" t="n"/>
      <c r="P88" s="46">
        <f>IF(A88="","",SUMIFS('استلام المواد'!$K$5:$K$304,'استلام المواد'!$C$5:$C$304,A88))</f>
        <v/>
      </c>
      <c r="Q88" s="46">
        <f>IF(A88="","",J88-P88)</f>
        <v/>
      </c>
      <c r="R88" s="49">
        <f>IF(A88="","",IF(F88="لا","مادة غير معتمدة!",IF(P88&gt;=J88,"مكتمل",IF(AND(O88&lt;&gt;"",TODAY()&gt;O88),"متأخر التوريد",IF(P88&gt;0,"توريد جزئي","لم يُورد بعد")))))</f>
        <v/>
      </c>
    </row>
    <row r="89">
      <c r="A89" s="39">
        <f>IF(C89="","","PO-"&amp;TEXT(ROW()-4,"0000"))</f>
        <v/>
      </c>
      <c r="B89" s="47" t="n"/>
      <c r="C89" s="50" t="n"/>
      <c r="D89" s="40" t="n"/>
      <c r="E89" s="40" t="n"/>
      <c r="F89" s="49">
        <f>IF(E89="","",IFERROR(INDEX('اعتماد المواد'!$P$5:$P$304,MATCH(E89,'اعتماد المواد'!$A$5:$A$304,0)),""))</f>
        <v/>
      </c>
      <c r="G89" s="50" t="n"/>
      <c r="H89" s="40" t="n"/>
      <c r="I89" s="50" t="n"/>
      <c r="J89" s="41" t="n"/>
      <c r="K89" s="41" t="n"/>
      <c r="L89" s="46">
        <f>IF(J89="","",J89*K89)</f>
        <v/>
      </c>
      <c r="M89" s="46">
        <f>IF(L89="","",L89*S_VAT)</f>
        <v/>
      </c>
      <c r="N89" s="46">
        <f>IF(L89="","",L89+M89)</f>
        <v/>
      </c>
      <c r="O89" s="47" t="n"/>
      <c r="P89" s="46">
        <f>IF(A89="","",SUMIFS('استلام المواد'!$K$5:$K$304,'استلام المواد'!$C$5:$C$304,A89))</f>
        <v/>
      </c>
      <c r="Q89" s="46">
        <f>IF(A89="","",J89-P89)</f>
        <v/>
      </c>
      <c r="R89" s="49">
        <f>IF(A89="","",IF(F89="لا","مادة غير معتمدة!",IF(P89&gt;=J89,"مكتمل",IF(AND(O89&lt;&gt;"",TODAY()&gt;O89),"متأخر التوريد",IF(P89&gt;0,"توريد جزئي","لم يُورد بعد")))))</f>
        <v/>
      </c>
    </row>
    <row r="90">
      <c r="A90" s="39">
        <f>IF(C90="","","PO-"&amp;TEXT(ROW()-4,"0000"))</f>
        <v/>
      </c>
      <c r="B90" s="47" t="n"/>
      <c r="C90" s="50" t="n"/>
      <c r="D90" s="40" t="n"/>
      <c r="E90" s="40" t="n"/>
      <c r="F90" s="49">
        <f>IF(E90="","",IFERROR(INDEX('اعتماد المواد'!$P$5:$P$304,MATCH(E90,'اعتماد المواد'!$A$5:$A$304,0)),""))</f>
        <v/>
      </c>
      <c r="G90" s="50" t="n"/>
      <c r="H90" s="40" t="n"/>
      <c r="I90" s="50" t="n"/>
      <c r="J90" s="41" t="n"/>
      <c r="K90" s="41" t="n"/>
      <c r="L90" s="46">
        <f>IF(J90="","",J90*K90)</f>
        <v/>
      </c>
      <c r="M90" s="46">
        <f>IF(L90="","",L90*S_VAT)</f>
        <v/>
      </c>
      <c r="N90" s="46">
        <f>IF(L90="","",L90+M90)</f>
        <v/>
      </c>
      <c r="O90" s="47" t="n"/>
      <c r="P90" s="46">
        <f>IF(A90="","",SUMIFS('استلام المواد'!$K$5:$K$304,'استلام المواد'!$C$5:$C$304,A90))</f>
        <v/>
      </c>
      <c r="Q90" s="46">
        <f>IF(A90="","",J90-P90)</f>
        <v/>
      </c>
      <c r="R90" s="49">
        <f>IF(A90="","",IF(F90="لا","مادة غير معتمدة!",IF(P90&gt;=J90,"مكتمل",IF(AND(O90&lt;&gt;"",TODAY()&gt;O90),"متأخر التوريد",IF(P90&gt;0,"توريد جزئي","لم يُورد بعد")))))</f>
        <v/>
      </c>
    </row>
    <row r="91">
      <c r="A91" s="39">
        <f>IF(C91="","","PO-"&amp;TEXT(ROW()-4,"0000"))</f>
        <v/>
      </c>
      <c r="B91" s="47" t="n"/>
      <c r="C91" s="50" t="n"/>
      <c r="D91" s="40" t="n"/>
      <c r="E91" s="40" t="n"/>
      <c r="F91" s="49">
        <f>IF(E91="","",IFERROR(INDEX('اعتماد المواد'!$P$5:$P$304,MATCH(E91,'اعتماد المواد'!$A$5:$A$304,0)),""))</f>
        <v/>
      </c>
      <c r="G91" s="50" t="n"/>
      <c r="H91" s="40" t="n"/>
      <c r="I91" s="50" t="n"/>
      <c r="J91" s="41" t="n"/>
      <c r="K91" s="41" t="n"/>
      <c r="L91" s="46">
        <f>IF(J91="","",J91*K91)</f>
        <v/>
      </c>
      <c r="M91" s="46">
        <f>IF(L91="","",L91*S_VAT)</f>
        <v/>
      </c>
      <c r="N91" s="46">
        <f>IF(L91="","",L91+M91)</f>
        <v/>
      </c>
      <c r="O91" s="47" t="n"/>
      <c r="P91" s="46">
        <f>IF(A91="","",SUMIFS('استلام المواد'!$K$5:$K$304,'استلام المواد'!$C$5:$C$304,A91))</f>
        <v/>
      </c>
      <c r="Q91" s="46">
        <f>IF(A91="","",J91-P91)</f>
        <v/>
      </c>
      <c r="R91" s="49">
        <f>IF(A91="","",IF(F91="لا","مادة غير معتمدة!",IF(P91&gt;=J91,"مكتمل",IF(AND(O91&lt;&gt;"",TODAY()&gt;O91),"متأخر التوريد",IF(P91&gt;0,"توريد جزئي","لم يُورد بعد")))))</f>
        <v/>
      </c>
    </row>
    <row r="92">
      <c r="A92" s="39">
        <f>IF(C92="","","PO-"&amp;TEXT(ROW()-4,"0000"))</f>
        <v/>
      </c>
      <c r="B92" s="47" t="n"/>
      <c r="C92" s="50" t="n"/>
      <c r="D92" s="40" t="n"/>
      <c r="E92" s="40" t="n"/>
      <c r="F92" s="49">
        <f>IF(E92="","",IFERROR(INDEX('اعتماد المواد'!$P$5:$P$304,MATCH(E92,'اعتماد المواد'!$A$5:$A$304,0)),""))</f>
        <v/>
      </c>
      <c r="G92" s="50" t="n"/>
      <c r="H92" s="40" t="n"/>
      <c r="I92" s="50" t="n"/>
      <c r="J92" s="41" t="n"/>
      <c r="K92" s="41" t="n"/>
      <c r="L92" s="46">
        <f>IF(J92="","",J92*K92)</f>
        <v/>
      </c>
      <c r="M92" s="46">
        <f>IF(L92="","",L92*S_VAT)</f>
        <v/>
      </c>
      <c r="N92" s="46">
        <f>IF(L92="","",L92+M92)</f>
        <v/>
      </c>
      <c r="O92" s="47" t="n"/>
      <c r="P92" s="46">
        <f>IF(A92="","",SUMIFS('استلام المواد'!$K$5:$K$304,'استلام المواد'!$C$5:$C$304,A92))</f>
        <v/>
      </c>
      <c r="Q92" s="46">
        <f>IF(A92="","",J92-P92)</f>
        <v/>
      </c>
      <c r="R92" s="49">
        <f>IF(A92="","",IF(F92="لا","مادة غير معتمدة!",IF(P92&gt;=J92,"مكتمل",IF(AND(O92&lt;&gt;"",TODAY()&gt;O92),"متأخر التوريد",IF(P92&gt;0,"توريد جزئي","لم يُورد بعد")))))</f>
        <v/>
      </c>
    </row>
    <row r="93">
      <c r="A93" s="39">
        <f>IF(C93="","","PO-"&amp;TEXT(ROW()-4,"0000"))</f>
        <v/>
      </c>
      <c r="B93" s="47" t="n"/>
      <c r="C93" s="50" t="n"/>
      <c r="D93" s="40" t="n"/>
      <c r="E93" s="40" t="n"/>
      <c r="F93" s="49">
        <f>IF(E93="","",IFERROR(INDEX('اعتماد المواد'!$P$5:$P$304,MATCH(E93,'اعتماد المواد'!$A$5:$A$304,0)),""))</f>
        <v/>
      </c>
      <c r="G93" s="50" t="n"/>
      <c r="H93" s="40" t="n"/>
      <c r="I93" s="50" t="n"/>
      <c r="J93" s="41" t="n"/>
      <c r="K93" s="41" t="n"/>
      <c r="L93" s="46">
        <f>IF(J93="","",J93*K93)</f>
        <v/>
      </c>
      <c r="M93" s="46">
        <f>IF(L93="","",L93*S_VAT)</f>
        <v/>
      </c>
      <c r="N93" s="46">
        <f>IF(L93="","",L93+M93)</f>
        <v/>
      </c>
      <c r="O93" s="47" t="n"/>
      <c r="P93" s="46">
        <f>IF(A93="","",SUMIFS('استلام المواد'!$K$5:$K$304,'استلام المواد'!$C$5:$C$304,A93))</f>
        <v/>
      </c>
      <c r="Q93" s="46">
        <f>IF(A93="","",J93-P93)</f>
        <v/>
      </c>
      <c r="R93" s="49">
        <f>IF(A93="","",IF(F93="لا","مادة غير معتمدة!",IF(P93&gt;=J93,"مكتمل",IF(AND(O93&lt;&gt;"",TODAY()&gt;O93),"متأخر التوريد",IF(P93&gt;0,"توريد جزئي","لم يُورد بعد")))))</f>
        <v/>
      </c>
    </row>
    <row r="94">
      <c r="A94" s="39">
        <f>IF(C94="","","PO-"&amp;TEXT(ROW()-4,"0000"))</f>
        <v/>
      </c>
      <c r="B94" s="47" t="n"/>
      <c r="C94" s="50" t="n"/>
      <c r="D94" s="40" t="n"/>
      <c r="E94" s="40" t="n"/>
      <c r="F94" s="49">
        <f>IF(E94="","",IFERROR(INDEX('اعتماد المواد'!$P$5:$P$304,MATCH(E94,'اعتماد المواد'!$A$5:$A$304,0)),""))</f>
        <v/>
      </c>
      <c r="G94" s="50" t="n"/>
      <c r="H94" s="40" t="n"/>
      <c r="I94" s="50" t="n"/>
      <c r="J94" s="41" t="n"/>
      <c r="K94" s="41" t="n"/>
      <c r="L94" s="46">
        <f>IF(J94="","",J94*K94)</f>
        <v/>
      </c>
      <c r="M94" s="46">
        <f>IF(L94="","",L94*S_VAT)</f>
        <v/>
      </c>
      <c r="N94" s="46">
        <f>IF(L94="","",L94+M94)</f>
        <v/>
      </c>
      <c r="O94" s="47" t="n"/>
      <c r="P94" s="46">
        <f>IF(A94="","",SUMIFS('استلام المواد'!$K$5:$K$304,'استلام المواد'!$C$5:$C$304,A94))</f>
        <v/>
      </c>
      <c r="Q94" s="46">
        <f>IF(A94="","",J94-P94)</f>
        <v/>
      </c>
      <c r="R94" s="49">
        <f>IF(A94="","",IF(F94="لا","مادة غير معتمدة!",IF(P94&gt;=J94,"مكتمل",IF(AND(O94&lt;&gt;"",TODAY()&gt;O94),"متأخر التوريد",IF(P94&gt;0,"توريد جزئي","لم يُورد بعد")))))</f>
        <v/>
      </c>
    </row>
    <row r="95">
      <c r="A95" s="39">
        <f>IF(C95="","","PO-"&amp;TEXT(ROW()-4,"0000"))</f>
        <v/>
      </c>
      <c r="B95" s="47" t="n"/>
      <c r="C95" s="50" t="n"/>
      <c r="D95" s="40" t="n"/>
      <c r="E95" s="40" t="n"/>
      <c r="F95" s="49">
        <f>IF(E95="","",IFERROR(INDEX('اعتماد المواد'!$P$5:$P$304,MATCH(E95,'اعتماد المواد'!$A$5:$A$304,0)),""))</f>
        <v/>
      </c>
      <c r="G95" s="50" t="n"/>
      <c r="H95" s="40" t="n"/>
      <c r="I95" s="50" t="n"/>
      <c r="J95" s="41" t="n"/>
      <c r="K95" s="41" t="n"/>
      <c r="L95" s="46">
        <f>IF(J95="","",J95*K95)</f>
        <v/>
      </c>
      <c r="M95" s="46">
        <f>IF(L95="","",L95*S_VAT)</f>
        <v/>
      </c>
      <c r="N95" s="46">
        <f>IF(L95="","",L95+M95)</f>
        <v/>
      </c>
      <c r="O95" s="47" t="n"/>
      <c r="P95" s="46">
        <f>IF(A95="","",SUMIFS('استلام المواد'!$K$5:$K$304,'استلام المواد'!$C$5:$C$304,A95))</f>
        <v/>
      </c>
      <c r="Q95" s="46">
        <f>IF(A95="","",J95-P95)</f>
        <v/>
      </c>
      <c r="R95" s="49">
        <f>IF(A95="","",IF(F95="لا","مادة غير معتمدة!",IF(P95&gt;=J95,"مكتمل",IF(AND(O95&lt;&gt;"",TODAY()&gt;O95),"متأخر التوريد",IF(P95&gt;0,"توريد جزئي","لم يُورد بعد")))))</f>
        <v/>
      </c>
    </row>
    <row r="96">
      <c r="A96" s="39">
        <f>IF(C96="","","PO-"&amp;TEXT(ROW()-4,"0000"))</f>
        <v/>
      </c>
      <c r="B96" s="47" t="n"/>
      <c r="C96" s="50" t="n"/>
      <c r="D96" s="40" t="n"/>
      <c r="E96" s="40" t="n"/>
      <c r="F96" s="49">
        <f>IF(E96="","",IFERROR(INDEX('اعتماد المواد'!$P$5:$P$304,MATCH(E96,'اعتماد المواد'!$A$5:$A$304,0)),""))</f>
        <v/>
      </c>
      <c r="G96" s="50" t="n"/>
      <c r="H96" s="40" t="n"/>
      <c r="I96" s="50" t="n"/>
      <c r="J96" s="41" t="n"/>
      <c r="K96" s="41" t="n"/>
      <c r="L96" s="46">
        <f>IF(J96="","",J96*K96)</f>
        <v/>
      </c>
      <c r="M96" s="46">
        <f>IF(L96="","",L96*S_VAT)</f>
        <v/>
      </c>
      <c r="N96" s="46">
        <f>IF(L96="","",L96+M96)</f>
        <v/>
      </c>
      <c r="O96" s="47" t="n"/>
      <c r="P96" s="46">
        <f>IF(A96="","",SUMIFS('استلام المواد'!$K$5:$K$304,'استلام المواد'!$C$5:$C$304,A96))</f>
        <v/>
      </c>
      <c r="Q96" s="46">
        <f>IF(A96="","",J96-P96)</f>
        <v/>
      </c>
      <c r="R96" s="49">
        <f>IF(A96="","",IF(F96="لا","مادة غير معتمدة!",IF(P96&gt;=J96,"مكتمل",IF(AND(O96&lt;&gt;"",TODAY()&gt;O96),"متأخر التوريد",IF(P96&gt;0,"توريد جزئي","لم يُورد بعد")))))</f>
        <v/>
      </c>
    </row>
    <row r="97">
      <c r="A97" s="39">
        <f>IF(C97="","","PO-"&amp;TEXT(ROW()-4,"0000"))</f>
        <v/>
      </c>
      <c r="B97" s="47" t="n"/>
      <c r="C97" s="50" t="n"/>
      <c r="D97" s="40" t="n"/>
      <c r="E97" s="40" t="n"/>
      <c r="F97" s="49">
        <f>IF(E97="","",IFERROR(INDEX('اعتماد المواد'!$P$5:$P$304,MATCH(E97,'اعتماد المواد'!$A$5:$A$304,0)),""))</f>
        <v/>
      </c>
      <c r="G97" s="50" t="n"/>
      <c r="H97" s="40" t="n"/>
      <c r="I97" s="50" t="n"/>
      <c r="J97" s="41" t="n"/>
      <c r="K97" s="41" t="n"/>
      <c r="L97" s="46">
        <f>IF(J97="","",J97*K97)</f>
        <v/>
      </c>
      <c r="M97" s="46">
        <f>IF(L97="","",L97*S_VAT)</f>
        <v/>
      </c>
      <c r="N97" s="46">
        <f>IF(L97="","",L97+M97)</f>
        <v/>
      </c>
      <c r="O97" s="47" t="n"/>
      <c r="P97" s="46">
        <f>IF(A97="","",SUMIFS('استلام المواد'!$K$5:$K$304,'استلام المواد'!$C$5:$C$304,A97))</f>
        <v/>
      </c>
      <c r="Q97" s="46">
        <f>IF(A97="","",J97-P97)</f>
        <v/>
      </c>
      <c r="R97" s="49">
        <f>IF(A97="","",IF(F97="لا","مادة غير معتمدة!",IF(P97&gt;=J97,"مكتمل",IF(AND(O97&lt;&gt;"",TODAY()&gt;O97),"متأخر التوريد",IF(P97&gt;0,"توريد جزئي","لم يُورد بعد")))))</f>
        <v/>
      </c>
    </row>
    <row r="98">
      <c r="A98" s="39">
        <f>IF(C98="","","PO-"&amp;TEXT(ROW()-4,"0000"))</f>
        <v/>
      </c>
      <c r="B98" s="47" t="n"/>
      <c r="C98" s="50" t="n"/>
      <c r="D98" s="40" t="n"/>
      <c r="E98" s="40" t="n"/>
      <c r="F98" s="49">
        <f>IF(E98="","",IFERROR(INDEX('اعتماد المواد'!$P$5:$P$304,MATCH(E98,'اعتماد المواد'!$A$5:$A$304,0)),""))</f>
        <v/>
      </c>
      <c r="G98" s="50" t="n"/>
      <c r="H98" s="40" t="n"/>
      <c r="I98" s="50" t="n"/>
      <c r="J98" s="41" t="n"/>
      <c r="K98" s="41" t="n"/>
      <c r="L98" s="46">
        <f>IF(J98="","",J98*K98)</f>
        <v/>
      </c>
      <c r="M98" s="46">
        <f>IF(L98="","",L98*S_VAT)</f>
        <v/>
      </c>
      <c r="N98" s="46">
        <f>IF(L98="","",L98+M98)</f>
        <v/>
      </c>
      <c r="O98" s="47" t="n"/>
      <c r="P98" s="46">
        <f>IF(A98="","",SUMIFS('استلام المواد'!$K$5:$K$304,'استلام المواد'!$C$5:$C$304,A98))</f>
        <v/>
      </c>
      <c r="Q98" s="46">
        <f>IF(A98="","",J98-P98)</f>
        <v/>
      </c>
      <c r="R98" s="49">
        <f>IF(A98="","",IF(F98="لا","مادة غير معتمدة!",IF(P98&gt;=J98,"مكتمل",IF(AND(O98&lt;&gt;"",TODAY()&gt;O98),"متأخر التوريد",IF(P98&gt;0,"توريد جزئي","لم يُورد بعد")))))</f>
        <v/>
      </c>
    </row>
    <row r="99">
      <c r="A99" s="39">
        <f>IF(C99="","","PO-"&amp;TEXT(ROW()-4,"0000"))</f>
        <v/>
      </c>
      <c r="B99" s="47" t="n"/>
      <c r="C99" s="50" t="n"/>
      <c r="D99" s="40" t="n"/>
      <c r="E99" s="40" t="n"/>
      <c r="F99" s="49">
        <f>IF(E99="","",IFERROR(INDEX('اعتماد المواد'!$P$5:$P$304,MATCH(E99,'اعتماد المواد'!$A$5:$A$304,0)),""))</f>
        <v/>
      </c>
      <c r="G99" s="50" t="n"/>
      <c r="H99" s="40" t="n"/>
      <c r="I99" s="50" t="n"/>
      <c r="J99" s="41" t="n"/>
      <c r="K99" s="41" t="n"/>
      <c r="L99" s="46">
        <f>IF(J99="","",J99*K99)</f>
        <v/>
      </c>
      <c r="M99" s="46">
        <f>IF(L99="","",L99*S_VAT)</f>
        <v/>
      </c>
      <c r="N99" s="46">
        <f>IF(L99="","",L99+M99)</f>
        <v/>
      </c>
      <c r="O99" s="47" t="n"/>
      <c r="P99" s="46">
        <f>IF(A99="","",SUMIFS('استلام المواد'!$K$5:$K$304,'استلام المواد'!$C$5:$C$304,A99))</f>
        <v/>
      </c>
      <c r="Q99" s="46">
        <f>IF(A99="","",J99-P99)</f>
        <v/>
      </c>
      <c r="R99" s="49">
        <f>IF(A99="","",IF(F99="لا","مادة غير معتمدة!",IF(P99&gt;=J99,"مكتمل",IF(AND(O99&lt;&gt;"",TODAY()&gt;O99),"متأخر التوريد",IF(P99&gt;0,"توريد جزئي","لم يُورد بعد")))))</f>
        <v/>
      </c>
    </row>
    <row r="100">
      <c r="A100" s="39">
        <f>IF(C100="","","PO-"&amp;TEXT(ROW()-4,"0000"))</f>
        <v/>
      </c>
      <c r="B100" s="47" t="n"/>
      <c r="C100" s="50" t="n"/>
      <c r="D100" s="40" t="n"/>
      <c r="E100" s="40" t="n"/>
      <c r="F100" s="49">
        <f>IF(E100="","",IFERROR(INDEX('اعتماد المواد'!$P$5:$P$304,MATCH(E100,'اعتماد المواد'!$A$5:$A$304,0)),""))</f>
        <v/>
      </c>
      <c r="G100" s="50" t="n"/>
      <c r="H100" s="40" t="n"/>
      <c r="I100" s="50" t="n"/>
      <c r="J100" s="41" t="n"/>
      <c r="K100" s="41" t="n"/>
      <c r="L100" s="46">
        <f>IF(J100="","",J100*K100)</f>
        <v/>
      </c>
      <c r="M100" s="46">
        <f>IF(L100="","",L100*S_VAT)</f>
        <v/>
      </c>
      <c r="N100" s="46">
        <f>IF(L100="","",L100+M100)</f>
        <v/>
      </c>
      <c r="O100" s="47" t="n"/>
      <c r="P100" s="46">
        <f>IF(A100="","",SUMIFS('استلام المواد'!$K$5:$K$304,'استلام المواد'!$C$5:$C$304,A100))</f>
        <v/>
      </c>
      <c r="Q100" s="46">
        <f>IF(A100="","",J100-P100)</f>
        <v/>
      </c>
      <c r="R100" s="49">
        <f>IF(A100="","",IF(F100="لا","مادة غير معتمدة!",IF(P100&gt;=J100,"مكتمل",IF(AND(O100&lt;&gt;"",TODAY()&gt;O100),"متأخر التوريد",IF(P100&gt;0,"توريد جزئي","لم يُورد بعد")))))</f>
        <v/>
      </c>
    </row>
    <row r="101">
      <c r="A101" s="39">
        <f>IF(C101="","","PO-"&amp;TEXT(ROW()-4,"0000"))</f>
        <v/>
      </c>
      <c r="B101" s="47" t="n"/>
      <c r="C101" s="50" t="n"/>
      <c r="D101" s="40" t="n"/>
      <c r="E101" s="40" t="n"/>
      <c r="F101" s="49">
        <f>IF(E101="","",IFERROR(INDEX('اعتماد المواد'!$P$5:$P$304,MATCH(E101,'اعتماد المواد'!$A$5:$A$304,0)),""))</f>
        <v/>
      </c>
      <c r="G101" s="50" t="n"/>
      <c r="H101" s="40" t="n"/>
      <c r="I101" s="50" t="n"/>
      <c r="J101" s="41" t="n"/>
      <c r="K101" s="41" t="n"/>
      <c r="L101" s="46">
        <f>IF(J101="","",J101*K101)</f>
        <v/>
      </c>
      <c r="M101" s="46">
        <f>IF(L101="","",L101*S_VAT)</f>
        <v/>
      </c>
      <c r="N101" s="46">
        <f>IF(L101="","",L101+M101)</f>
        <v/>
      </c>
      <c r="O101" s="47" t="n"/>
      <c r="P101" s="46">
        <f>IF(A101="","",SUMIFS('استلام المواد'!$K$5:$K$304,'استلام المواد'!$C$5:$C$304,A101))</f>
        <v/>
      </c>
      <c r="Q101" s="46">
        <f>IF(A101="","",J101-P101)</f>
        <v/>
      </c>
      <c r="R101" s="49">
        <f>IF(A101="","",IF(F101="لا","مادة غير معتمدة!",IF(P101&gt;=J101,"مكتمل",IF(AND(O101&lt;&gt;"",TODAY()&gt;O101),"متأخر التوريد",IF(P101&gt;0,"توريد جزئي","لم يُورد بعد")))))</f>
        <v/>
      </c>
    </row>
    <row r="102">
      <c r="A102" s="39">
        <f>IF(C102="","","PO-"&amp;TEXT(ROW()-4,"0000"))</f>
        <v/>
      </c>
      <c r="B102" s="47" t="n"/>
      <c r="C102" s="50" t="n"/>
      <c r="D102" s="40" t="n"/>
      <c r="E102" s="40" t="n"/>
      <c r="F102" s="49">
        <f>IF(E102="","",IFERROR(INDEX('اعتماد المواد'!$P$5:$P$304,MATCH(E102,'اعتماد المواد'!$A$5:$A$304,0)),""))</f>
        <v/>
      </c>
      <c r="G102" s="50" t="n"/>
      <c r="H102" s="40" t="n"/>
      <c r="I102" s="50" t="n"/>
      <c r="J102" s="41" t="n"/>
      <c r="K102" s="41" t="n"/>
      <c r="L102" s="46">
        <f>IF(J102="","",J102*K102)</f>
        <v/>
      </c>
      <c r="M102" s="46">
        <f>IF(L102="","",L102*S_VAT)</f>
        <v/>
      </c>
      <c r="N102" s="46">
        <f>IF(L102="","",L102+M102)</f>
        <v/>
      </c>
      <c r="O102" s="47" t="n"/>
      <c r="P102" s="46">
        <f>IF(A102="","",SUMIFS('استلام المواد'!$K$5:$K$304,'استلام المواد'!$C$5:$C$304,A102))</f>
        <v/>
      </c>
      <c r="Q102" s="46">
        <f>IF(A102="","",J102-P102)</f>
        <v/>
      </c>
      <c r="R102" s="49">
        <f>IF(A102="","",IF(F102="لا","مادة غير معتمدة!",IF(P102&gt;=J102,"مكتمل",IF(AND(O102&lt;&gt;"",TODAY()&gt;O102),"متأخر التوريد",IF(P102&gt;0,"توريد جزئي","لم يُورد بعد")))))</f>
        <v/>
      </c>
    </row>
    <row r="103">
      <c r="A103" s="39">
        <f>IF(C103="","","PO-"&amp;TEXT(ROW()-4,"0000"))</f>
        <v/>
      </c>
      <c r="B103" s="47" t="n"/>
      <c r="C103" s="50" t="n"/>
      <c r="D103" s="40" t="n"/>
      <c r="E103" s="40" t="n"/>
      <c r="F103" s="49">
        <f>IF(E103="","",IFERROR(INDEX('اعتماد المواد'!$P$5:$P$304,MATCH(E103,'اعتماد المواد'!$A$5:$A$304,0)),""))</f>
        <v/>
      </c>
      <c r="G103" s="50" t="n"/>
      <c r="H103" s="40" t="n"/>
      <c r="I103" s="50" t="n"/>
      <c r="J103" s="41" t="n"/>
      <c r="K103" s="41" t="n"/>
      <c r="L103" s="46">
        <f>IF(J103="","",J103*K103)</f>
        <v/>
      </c>
      <c r="M103" s="46">
        <f>IF(L103="","",L103*S_VAT)</f>
        <v/>
      </c>
      <c r="N103" s="46">
        <f>IF(L103="","",L103+M103)</f>
        <v/>
      </c>
      <c r="O103" s="47" t="n"/>
      <c r="P103" s="46">
        <f>IF(A103="","",SUMIFS('استلام المواد'!$K$5:$K$304,'استلام المواد'!$C$5:$C$304,A103))</f>
        <v/>
      </c>
      <c r="Q103" s="46">
        <f>IF(A103="","",J103-P103)</f>
        <v/>
      </c>
      <c r="R103" s="49">
        <f>IF(A103="","",IF(F103="لا","مادة غير معتمدة!",IF(P103&gt;=J103,"مكتمل",IF(AND(O103&lt;&gt;"",TODAY()&gt;O103),"متأخر التوريد",IF(P103&gt;0,"توريد جزئي","لم يُورد بعد")))))</f>
        <v/>
      </c>
    </row>
    <row r="104">
      <c r="A104" s="39">
        <f>IF(C104="","","PO-"&amp;TEXT(ROW()-4,"0000"))</f>
        <v/>
      </c>
      <c r="B104" s="47" t="n"/>
      <c r="C104" s="50" t="n"/>
      <c r="D104" s="40" t="n"/>
      <c r="E104" s="40" t="n"/>
      <c r="F104" s="49">
        <f>IF(E104="","",IFERROR(INDEX('اعتماد المواد'!$P$5:$P$304,MATCH(E104,'اعتماد المواد'!$A$5:$A$304,0)),""))</f>
        <v/>
      </c>
      <c r="G104" s="50" t="n"/>
      <c r="H104" s="40" t="n"/>
      <c r="I104" s="50" t="n"/>
      <c r="J104" s="41" t="n"/>
      <c r="K104" s="41" t="n"/>
      <c r="L104" s="46">
        <f>IF(J104="","",J104*K104)</f>
        <v/>
      </c>
      <c r="M104" s="46">
        <f>IF(L104="","",L104*S_VAT)</f>
        <v/>
      </c>
      <c r="N104" s="46">
        <f>IF(L104="","",L104+M104)</f>
        <v/>
      </c>
      <c r="O104" s="47" t="n"/>
      <c r="P104" s="46">
        <f>IF(A104="","",SUMIFS('استلام المواد'!$K$5:$K$304,'استلام المواد'!$C$5:$C$304,A104))</f>
        <v/>
      </c>
      <c r="Q104" s="46">
        <f>IF(A104="","",J104-P104)</f>
        <v/>
      </c>
      <c r="R104" s="49">
        <f>IF(A104="","",IF(F104="لا","مادة غير معتمدة!",IF(P104&gt;=J104,"مكتمل",IF(AND(O104&lt;&gt;"",TODAY()&gt;O104),"متأخر التوريد",IF(P104&gt;0,"توريد جزئي","لم يُورد بعد")))))</f>
        <v/>
      </c>
    </row>
    <row r="105">
      <c r="A105" s="39">
        <f>IF(C105="","","PO-"&amp;TEXT(ROW()-4,"0000"))</f>
        <v/>
      </c>
      <c r="B105" s="47" t="n"/>
      <c r="C105" s="50" t="n"/>
      <c r="D105" s="40" t="n"/>
      <c r="E105" s="40" t="n"/>
      <c r="F105" s="49">
        <f>IF(E105="","",IFERROR(INDEX('اعتماد المواد'!$P$5:$P$304,MATCH(E105,'اعتماد المواد'!$A$5:$A$304,0)),""))</f>
        <v/>
      </c>
      <c r="G105" s="50" t="n"/>
      <c r="H105" s="40" t="n"/>
      <c r="I105" s="50" t="n"/>
      <c r="J105" s="41" t="n"/>
      <c r="K105" s="41" t="n"/>
      <c r="L105" s="46">
        <f>IF(J105="","",J105*K105)</f>
        <v/>
      </c>
      <c r="M105" s="46">
        <f>IF(L105="","",L105*S_VAT)</f>
        <v/>
      </c>
      <c r="N105" s="46">
        <f>IF(L105="","",L105+M105)</f>
        <v/>
      </c>
      <c r="O105" s="47" t="n"/>
      <c r="P105" s="46">
        <f>IF(A105="","",SUMIFS('استلام المواد'!$K$5:$K$304,'استلام المواد'!$C$5:$C$304,A105))</f>
        <v/>
      </c>
      <c r="Q105" s="46">
        <f>IF(A105="","",J105-P105)</f>
        <v/>
      </c>
      <c r="R105" s="49">
        <f>IF(A105="","",IF(F105="لا","مادة غير معتمدة!",IF(P105&gt;=J105,"مكتمل",IF(AND(O105&lt;&gt;"",TODAY()&gt;O105),"متأخر التوريد",IF(P105&gt;0,"توريد جزئي","لم يُورد بعد")))))</f>
        <v/>
      </c>
    </row>
    <row r="106">
      <c r="A106" s="39">
        <f>IF(C106="","","PO-"&amp;TEXT(ROW()-4,"0000"))</f>
        <v/>
      </c>
      <c r="B106" s="47" t="n"/>
      <c r="C106" s="50" t="n"/>
      <c r="D106" s="40" t="n"/>
      <c r="E106" s="40" t="n"/>
      <c r="F106" s="49">
        <f>IF(E106="","",IFERROR(INDEX('اعتماد المواد'!$P$5:$P$304,MATCH(E106,'اعتماد المواد'!$A$5:$A$304,0)),""))</f>
        <v/>
      </c>
      <c r="G106" s="50" t="n"/>
      <c r="H106" s="40" t="n"/>
      <c r="I106" s="50" t="n"/>
      <c r="J106" s="41" t="n"/>
      <c r="K106" s="41" t="n"/>
      <c r="L106" s="46">
        <f>IF(J106="","",J106*K106)</f>
        <v/>
      </c>
      <c r="M106" s="46">
        <f>IF(L106="","",L106*S_VAT)</f>
        <v/>
      </c>
      <c r="N106" s="46">
        <f>IF(L106="","",L106+M106)</f>
        <v/>
      </c>
      <c r="O106" s="47" t="n"/>
      <c r="P106" s="46">
        <f>IF(A106="","",SUMIFS('استلام المواد'!$K$5:$K$304,'استلام المواد'!$C$5:$C$304,A106))</f>
        <v/>
      </c>
      <c r="Q106" s="46">
        <f>IF(A106="","",J106-P106)</f>
        <v/>
      </c>
      <c r="R106" s="49">
        <f>IF(A106="","",IF(F106="لا","مادة غير معتمدة!",IF(P106&gt;=J106,"مكتمل",IF(AND(O106&lt;&gt;"",TODAY()&gt;O106),"متأخر التوريد",IF(P106&gt;0,"توريد جزئي","لم يُورد بعد")))))</f>
        <v/>
      </c>
    </row>
    <row r="107">
      <c r="A107" s="39">
        <f>IF(C107="","","PO-"&amp;TEXT(ROW()-4,"0000"))</f>
        <v/>
      </c>
      <c r="B107" s="47" t="n"/>
      <c r="C107" s="50" t="n"/>
      <c r="D107" s="40" t="n"/>
      <c r="E107" s="40" t="n"/>
      <c r="F107" s="49">
        <f>IF(E107="","",IFERROR(INDEX('اعتماد المواد'!$P$5:$P$304,MATCH(E107,'اعتماد المواد'!$A$5:$A$304,0)),""))</f>
        <v/>
      </c>
      <c r="G107" s="50" t="n"/>
      <c r="H107" s="40" t="n"/>
      <c r="I107" s="50" t="n"/>
      <c r="J107" s="41" t="n"/>
      <c r="K107" s="41" t="n"/>
      <c r="L107" s="46">
        <f>IF(J107="","",J107*K107)</f>
        <v/>
      </c>
      <c r="M107" s="46">
        <f>IF(L107="","",L107*S_VAT)</f>
        <v/>
      </c>
      <c r="N107" s="46">
        <f>IF(L107="","",L107+M107)</f>
        <v/>
      </c>
      <c r="O107" s="47" t="n"/>
      <c r="P107" s="46">
        <f>IF(A107="","",SUMIFS('استلام المواد'!$K$5:$K$304,'استلام المواد'!$C$5:$C$304,A107))</f>
        <v/>
      </c>
      <c r="Q107" s="46">
        <f>IF(A107="","",J107-P107)</f>
        <v/>
      </c>
      <c r="R107" s="49">
        <f>IF(A107="","",IF(F107="لا","مادة غير معتمدة!",IF(P107&gt;=J107,"مكتمل",IF(AND(O107&lt;&gt;"",TODAY()&gt;O107),"متأخر التوريد",IF(P107&gt;0,"توريد جزئي","لم يُورد بعد")))))</f>
        <v/>
      </c>
    </row>
    <row r="108">
      <c r="A108" s="39">
        <f>IF(C108="","","PO-"&amp;TEXT(ROW()-4,"0000"))</f>
        <v/>
      </c>
      <c r="B108" s="47" t="n"/>
      <c r="C108" s="50" t="n"/>
      <c r="D108" s="40" t="n"/>
      <c r="E108" s="40" t="n"/>
      <c r="F108" s="49">
        <f>IF(E108="","",IFERROR(INDEX('اعتماد المواد'!$P$5:$P$304,MATCH(E108,'اعتماد المواد'!$A$5:$A$304,0)),""))</f>
        <v/>
      </c>
      <c r="G108" s="50" t="n"/>
      <c r="H108" s="40" t="n"/>
      <c r="I108" s="50" t="n"/>
      <c r="J108" s="41" t="n"/>
      <c r="K108" s="41" t="n"/>
      <c r="L108" s="46">
        <f>IF(J108="","",J108*K108)</f>
        <v/>
      </c>
      <c r="M108" s="46">
        <f>IF(L108="","",L108*S_VAT)</f>
        <v/>
      </c>
      <c r="N108" s="46">
        <f>IF(L108="","",L108+M108)</f>
        <v/>
      </c>
      <c r="O108" s="47" t="n"/>
      <c r="P108" s="46">
        <f>IF(A108="","",SUMIFS('استلام المواد'!$K$5:$K$304,'استلام المواد'!$C$5:$C$304,A108))</f>
        <v/>
      </c>
      <c r="Q108" s="46">
        <f>IF(A108="","",J108-P108)</f>
        <v/>
      </c>
      <c r="R108" s="49">
        <f>IF(A108="","",IF(F108="لا","مادة غير معتمدة!",IF(P108&gt;=J108,"مكتمل",IF(AND(O108&lt;&gt;"",TODAY()&gt;O108),"متأخر التوريد",IF(P108&gt;0,"توريد جزئي","لم يُورد بعد")))))</f>
        <v/>
      </c>
    </row>
    <row r="109">
      <c r="A109" s="39">
        <f>IF(C109="","","PO-"&amp;TEXT(ROW()-4,"0000"))</f>
        <v/>
      </c>
      <c r="B109" s="47" t="n"/>
      <c r="C109" s="50" t="n"/>
      <c r="D109" s="40" t="n"/>
      <c r="E109" s="40" t="n"/>
      <c r="F109" s="49">
        <f>IF(E109="","",IFERROR(INDEX('اعتماد المواد'!$P$5:$P$304,MATCH(E109,'اعتماد المواد'!$A$5:$A$304,0)),""))</f>
        <v/>
      </c>
      <c r="G109" s="50" t="n"/>
      <c r="H109" s="40" t="n"/>
      <c r="I109" s="50" t="n"/>
      <c r="J109" s="41" t="n"/>
      <c r="K109" s="41" t="n"/>
      <c r="L109" s="46">
        <f>IF(J109="","",J109*K109)</f>
        <v/>
      </c>
      <c r="M109" s="46">
        <f>IF(L109="","",L109*S_VAT)</f>
        <v/>
      </c>
      <c r="N109" s="46">
        <f>IF(L109="","",L109+M109)</f>
        <v/>
      </c>
      <c r="O109" s="47" t="n"/>
      <c r="P109" s="46">
        <f>IF(A109="","",SUMIFS('استلام المواد'!$K$5:$K$304,'استلام المواد'!$C$5:$C$304,A109))</f>
        <v/>
      </c>
      <c r="Q109" s="46">
        <f>IF(A109="","",J109-P109)</f>
        <v/>
      </c>
      <c r="R109" s="49">
        <f>IF(A109="","",IF(F109="لا","مادة غير معتمدة!",IF(P109&gt;=J109,"مكتمل",IF(AND(O109&lt;&gt;"",TODAY()&gt;O109),"متأخر التوريد",IF(P109&gt;0,"توريد جزئي","لم يُورد بعد")))))</f>
        <v/>
      </c>
    </row>
    <row r="110">
      <c r="A110" s="39">
        <f>IF(C110="","","PO-"&amp;TEXT(ROW()-4,"0000"))</f>
        <v/>
      </c>
      <c r="B110" s="47" t="n"/>
      <c r="C110" s="50" t="n"/>
      <c r="D110" s="40" t="n"/>
      <c r="E110" s="40" t="n"/>
      <c r="F110" s="49">
        <f>IF(E110="","",IFERROR(INDEX('اعتماد المواد'!$P$5:$P$304,MATCH(E110,'اعتماد المواد'!$A$5:$A$304,0)),""))</f>
        <v/>
      </c>
      <c r="G110" s="50" t="n"/>
      <c r="H110" s="40" t="n"/>
      <c r="I110" s="50" t="n"/>
      <c r="J110" s="41" t="n"/>
      <c r="K110" s="41" t="n"/>
      <c r="L110" s="46">
        <f>IF(J110="","",J110*K110)</f>
        <v/>
      </c>
      <c r="M110" s="46">
        <f>IF(L110="","",L110*S_VAT)</f>
        <v/>
      </c>
      <c r="N110" s="46">
        <f>IF(L110="","",L110+M110)</f>
        <v/>
      </c>
      <c r="O110" s="47" t="n"/>
      <c r="P110" s="46">
        <f>IF(A110="","",SUMIFS('استلام المواد'!$K$5:$K$304,'استلام المواد'!$C$5:$C$304,A110))</f>
        <v/>
      </c>
      <c r="Q110" s="46">
        <f>IF(A110="","",J110-P110)</f>
        <v/>
      </c>
      <c r="R110" s="49">
        <f>IF(A110="","",IF(F110="لا","مادة غير معتمدة!",IF(P110&gt;=J110,"مكتمل",IF(AND(O110&lt;&gt;"",TODAY()&gt;O110),"متأخر التوريد",IF(P110&gt;0,"توريد جزئي","لم يُورد بعد")))))</f>
        <v/>
      </c>
    </row>
    <row r="111">
      <c r="A111" s="39">
        <f>IF(C111="","","PO-"&amp;TEXT(ROW()-4,"0000"))</f>
        <v/>
      </c>
      <c r="B111" s="47" t="n"/>
      <c r="C111" s="50" t="n"/>
      <c r="D111" s="40" t="n"/>
      <c r="E111" s="40" t="n"/>
      <c r="F111" s="49">
        <f>IF(E111="","",IFERROR(INDEX('اعتماد المواد'!$P$5:$P$304,MATCH(E111,'اعتماد المواد'!$A$5:$A$304,0)),""))</f>
        <v/>
      </c>
      <c r="G111" s="50" t="n"/>
      <c r="H111" s="40" t="n"/>
      <c r="I111" s="50" t="n"/>
      <c r="J111" s="41" t="n"/>
      <c r="K111" s="41" t="n"/>
      <c r="L111" s="46">
        <f>IF(J111="","",J111*K111)</f>
        <v/>
      </c>
      <c r="M111" s="46">
        <f>IF(L111="","",L111*S_VAT)</f>
        <v/>
      </c>
      <c r="N111" s="46">
        <f>IF(L111="","",L111+M111)</f>
        <v/>
      </c>
      <c r="O111" s="47" t="n"/>
      <c r="P111" s="46">
        <f>IF(A111="","",SUMIFS('استلام المواد'!$K$5:$K$304,'استلام المواد'!$C$5:$C$304,A111))</f>
        <v/>
      </c>
      <c r="Q111" s="46">
        <f>IF(A111="","",J111-P111)</f>
        <v/>
      </c>
      <c r="R111" s="49">
        <f>IF(A111="","",IF(F111="لا","مادة غير معتمدة!",IF(P111&gt;=J111,"مكتمل",IF(AND(O111&lt;&gt;"",TODAY()&gt;O111),"متأخر التوريد",IF(P111&gt;0,"توريد جزئي","لم يُورد بعد")))))</f>
        <v/>
      </c>
    </row>
    <row r="112">
      <c r="A112" s="39">
        <f>IF(C112="","","PO-"&amp;TEXT(ROW()-4,"0000"))</f>
        <v/>
      </c>
      <c r="B112" s="47" t="n"/>
      <c r="C112" s="50" t="n"/>
      <c r="D112" s="40" t="n"/>
      <c r="E112" s="40" t="n"/>
      <c r="F112" s="49">
        <f>IF(E112="","",IFERROR(INDEX('اعتماد المواد'!$P$5:$P$304,MATCH(E112,'اعتماد المواد'!$A$5:$A$304,0)),""))</f>
        <v/>
      </c>
      <c r="G112" s="50" t="n"/>
      <c r="H112" s="40" t="n"/>
      <c r="I112" s="50" t="n"/>
      <c r="J112" s="41" t="n"/>
      <c r="K112" s="41" t="n"/>
      <c r="L112" s="46">
        <f>IF(J112="","",J112*K112)</f>
        <v/>
      </c>
      <c r="M112" s="46">
        <f>IF(L112="","",L112*S_VAT)</f>
        <v/>
      </c>
      <c r="N112" s="46">
        <f>IF(L112="","",L112+M112)</f>
        <v/>
      </c>
      <c r="O112" s="47" t="n"/>
      <c r="P112" s="46">
        <f>IF(A112="","",SUMIFS('استلام المواد'!$K$5:$K$304,'استلام المواد'!$C$5:$C$304,A112))</f>
        <v/>
      </c>
      <c r="Q112" s="46">
        <f>IF(A112="","",J112-P112)</f>
        <v/>
      </c>
      <c r="R112" s="49">
        <f>IF(A112="","",IF(F112="لا","مادة غير معتمدة!",IF(P112&gt;=J112,"مكتمل",IF(AND(O112&lt;&gt;"",TODAY()&gt;O112),"متأخر التوريد",IF(P112&gt;0,"توريد جزئي","لم يُورد بعد")))))</f>
        <v/>
      </c>
    </row>
    <row r="113">
      <c r="A113" s="39">
        <f>IF(C113="","","PO-"&amp;TEXT(ROW()-4,"0000"))</f>
        <v/>
      </c>
      <c r="B113" s="47" t="n"/>
      <c r="C113" s="50" t="n"/>
      <c r="D113" s="40" t="n"/>
      <c r="E113" s="40" t="n"/>
      <c r="F113" s="49">
        <f>IF(E113="","",IFERROR(INDEX('اعتماد المواد'!$P$5:$P$304,MATCH(E113,'اعتماد المواد'!$A$5:$A$304,0)),""))</f>
        <v/>
      </c>
      <c r="G113" s="50" t="n"/>
      <c r="H113" s="40" t="n"/>
      <c r="I113" s="50" t="n"/>
      <c r="J113" s="41" t="n"/>
      <c r="K113" s="41" t="n"/>
      <c r="L113" s="46">
        <f>IF(J113="","",J113*K113)</f>
        <v/>
      </c>
      <c r="M113" s="46">
        <f>IF(L113="","",L113*S_VAT)</f>
        <v/>
      </c>
      <c r="N113" s="46">
        <f>IF(L113="","",L113+M113)</f>
        <v/>
      </c>
      <c r="O113" s="47" t="n"/>
      <c r="P113" s="46">
        <f>IF(A113="","",SUMIFS('استلام المواد'!$K$5:$K$304,'استلام المواد'!$C$5:$C$304,A113))</f>
        <v/>
      </c>
      <c r="Q113" s="46">
        <f>IF(A113="","",J113-P113)</f>
        <v/>
      </c>
      <c r="R113" s="49">
        <f>IF(A113="","",IF(F113="لا","مادة غير معتمدة!",IF(P113&gt;=J113,"مكتمل",IF(AND(O113&lt;&gt;"",TODAY()&gt;O113),"متأخر التوريد",IF(P113&gt;0,"توريد جزئي","لم يُورد بعد")))))</f>
        <v/>
      </c>
    </row>
    <row r="114">
      <c r="A114" s="39">
        <f>IF(C114="","","PO-"&amp;TEXT(ROW()-4,"0000"))</f>
        <v/>
      </c>
      <c r="B114" s="47" t="n"/>
      <c r="C114" s="50" t="n"/>
      <c r="D114" s="40" t="n"/>
      <c r="E114" s="40" t="n"/>
      <c r="F114" s="49">
        <f>IF(E114="","",IFERROR(INDEX('اعتماد المواد'!$P$5:$P$304,MATCH(E114,'اعتماد المواد'!$A$5:$A$304,0)),""))</f>
        <v/>
      </c>
      <c r="G114" s="50" t="n"/>
      <c r="H114" s="40" t="n"/>
      <c r="I114" s="50" t="n"/>
      <c r="J114" s="41" t="n"/>
      <c r="K114" s="41" t="n"/>
      <c r="L114" s="46">
        <f>IF(J114="","",J114*K114)</f>
        <v/>
      </c>
      <c r="M114" s="46">
        <f>IF(L114="","",L114*S_VAT)</f>
        <v/>
      </c>
      <c r="N114" s="46">
        <f>IF(L114="","",L114+M114)</f>
        <v/>
      </c>
      <c r="O114" s="47" t="n"/>
      <c r="P114" s="46">
        <f>IF(A114="","",SUMIFS('استلام المواد'!$K$5:$K$304,'استلام المواد'!$C$5:$C$304,A114))</f>
        <v/>
      </c>
      <c r="Q114" s="46">
        <f>IF(A114="","",J114-P114)</f>
        <v/>
      </c>
      <c r="R114" s="49">
        <f>IF(A114="","",IF(F114="لا","مادة غير معتمدة!",IF(P114&gt;=J114,"مكتمل",IF(AND(O114&lt;&gt;"",TODAY()&gt;O114),"متأخر التوريد",IF(P114&gt;0,"توريد جزئي","لم يُورد بعد")))))</f>
        <v/>
      </c>
    </row>
    <row r="115">
      <c r="A115" s="39">
        <f>IF(C115="","","PO-"&amp;TEXT(ROW()-4,"0000"))</f>
        <v/>
      </c>
      <c r="B115" s="47" t="n"/>
      <c r="C115" s="50" t="n"/>
      <c r="D115" s="40" t="n"/>
      <c r="E115" s="40" t="n"/>
      <c r="F115" s="49">
        <f>IF(E115="","",IFERROR(INDEX('اعتماد المواد'!$P$5:$P$304,MATCH(E115,'اعتماد المواد'!$A$5:$A$304,0)),""))</f>
        <v/>
      </c>
      <c r="G115" s="50" t="n"/>
      <c r="H115" s="40" t="n"/>
      <c r="I115" s="50" t="n"/>
      <c r="J115" s="41" t="n"/>
      <c r="K115" s="41" t="n"/>
      <c r="L115" s="46">
        <f>IF(J115="","",J115*K115)</f>
        <v/>
      </c>
      <c r="M115" s="46">
        <f>IF(L115="","",L115*S_VAT)</f>
        <v/>
      </c>
      <c r="N115" s="46">
        <f>IF(L115="","",L115+M115)</f>
        <v/>
      </c>
      <c r="O115" s="47" t="n"/>
      <c r="P115" s="46">
        <f>IF(A115="","",SUMIFS('استلام المواد'!$K$5:$K$304,'استلام المواد'!$C$5:$C$304,A115))</f>
        <v/>
      </c>
      <c r="Q115" s="46">
        <f>IF(A115="","",J115-P115)</f>
        <v/>
      </c>
      <c r="R115" s="49">
        <f>IF(A115="","",IF(F115="لا","مادة غير معتمدة!",IF(P115&gt;=J115,"مكتمل",IF(AND(O115&lt;&gt;"",TODAY()&gt;O115),"متأخر التوريد",IF(P115&gt;0,"توريد جزئي","لم يُورد بعد")))))</f>
        <v/>
      </c>
    </row>
    <row r="116">
      <c r="A116" s="39">
        <f>IF(C116="","","PO-"&amp;TEXT(ROW()-4,"0000"))</f>
        <v/>
      </c>
      <c r="B116" s="47" t="n"/>
      <c r="C116" s="50" t="n"/>
      <c r="D116" s="40" t="n"/>
      <c r="E116" s="40" t="n"/>
      <c r="F116" s="49">
        <f>IF(E116="","",IFERROR(INDEX('اعتماد المواد'!$P$5:$P$304,MATCH(E116,'اعتماد المواد'!$A$5:$A$304,0)),""))</f>
        <v/>
      </c>
      <c r="G116" s="50" t="n"/>
      <c r="H116" s="40" t="n"/>
      <c r="I116" s="50" t="n"/>
      <c r="J116" s="41" t="n"/>
      <c r="K116" s="41" t="n"/>
      <c r="L116" s="46">
        <f>IF(J116="","",J116*K116)</f>
        <v/>
      </c>
      <c r="M116" s="46">
        <f>IF(L116="","",L116*S_VAT)</f>
        <v/>
      </c>
      <c r="N116" s="46">
        <f>IF(L116="","",L116+M116)</f>
        <v/>
      </c>
      <c r="O116" s="47" t="n"/>
      <c r="P116" s="46">
        <f>IF(A116="","",SUMIFS('استلام المواد'!$K$5:$K$304,'استلام المواد'!$C$5:$C$304,A116))</f>
        <v/>
      </c>
      <c r="Q116" s="46">
        <f>IF(A116="","",J116-P116)</f>
        <v/>
      </c>
      <c r="R116" s="49">
        <f>IF(A116="","",IF(F116="لا","مادة غير معتمدة!",IF(P116&gt;=J116,"مكتمل",IF(AND(O116&lt;&gt;"",TODAY()&gt;O116),"متأخر التوريد",IF(P116&gt;0,"توريد جزئي","لم يُورد بعد")))))</f>
        <v/>
      </c>
    </row>
    <row r="117">
      <c r="A117" s="39">
        <f>IF(C117="","","PO-"&amp;TEXT(ROW()-4,"0000"))</f>
        <v/>
      </c>
      <c r="B117" s="47" t="n"/>
      <c r="C117" s="50" t="n"/>
      <c r="D117" s="40" t="n"/>
      <c r="E117" s="40" t="n"/>
      <c r="F117" s="49">
        <f>IF(E117="","",IFERROR(INDEX('اعتماد المواد'!$P$5:$P$304,MATCH(E117,'اعتماد المواد'!$A$5:$A$304,0)),""))</f>
        <v/>
      </c>
      <c r="G117" s="50" t="n"/>
      <c r="H117" s="40" t="n"/>
      <c r="I117" s="50" t="n"/>
      <c r="J117" s="41" t="n"/>
      <c r="K117" s="41" t="n"/>
      <c r="L117" s="46">
        <f>IF(J117="","",J117*K117)</f>
        <v/>
      </c>
      <c r="M117" s="46">
        <f>IF(L117="","",L117*S_VAT)</f>
        <v/>
      </c>
      <c r="N117" s="46">
        <f>IF(L117="","",L117+M117)</f>
        <v/>
      </c>
      <c r="O117" s="47" t="n"/>
      <c r="P117" s="46">
        <f>IF(A117="","",SUMIFS('استلام المواد'!$K$5:$K$304,'استلام المواد'!$C$5:$C$304,A117))</f>
        <v/>
      </c>
      <c r="Q117" s="46">
        <f>IF(A117="","",J117-P117)</f>
        <v/>
      </c>
      <c r="R117" s="49">
        <f>IF(A117="","",IF(F117="لا","مادة غير معتمدة!",IF(P117&gt;=J117,"مكتمل",IF(AND(O117&lt;&gt;"",TODAY()&gt;O117),"متأخر التوريد",IF(P117&gt;0,"توريد جزئي","لم يُورد بعد")))))</f>
        <v/>
      </c>
    </row>
    <row r="118">
      <c r="A118" s="39">
        <f>IF(C118="","","PO-"&amp;TEXT(ROW()-4,"0000"))</f>
        <v/>
      </c>
      <c r="B118" s="47" t="n"/>
      <c r="C118" s="50" t="n"/>
      <c r="D118" s="40" t="n"/>
      <c r="E118" s="40" t="n"/>
      <c r="F118" s="49">
        <f>IF(E118="","",IFERROR(INDEX('اعتماد المواد'!$P$5:$P$304,MATCH(E118,'اعتماد المواد'!$A$5:$A$304,0)),""))</f>
        <v/>
      </c>
      <c r="G118" s="50" t="n"/>
      <c r="H118" s="40" t="n"/>
      <c r="I118" s="50" t="n"/>
      <c r="J118" s="41" t="n"/>
      <c r="K118" s="41" t="n"/>
      <c r="L118" s="46">
        <f>IF(J118="","",J118*K118)</f>
        <v/>
      </c>
      <c r="M118" s="46">
        <f>IF(L118="","",L118*S_VAT)</f>
        <v/>
      </c>
      <c r="N118" s="46">
        <f>IF(L118="","",L118+M118)</f>
        <v/>
      </c>
      <c r="O118" s="47" t="n"/>
      <c r="P118" s="46">
        <f>IF(A118="","",SUMIFS('استلام المواد'!$K$5:$K$304,'استلام المواد'!$C$5:$C$304,A118))</f>
        <v/>
      </c>
      <c r="Q118" s="46">
        <f>IF(A118="","",J118-P118)</f>
        <v/>
      </c>
      <c r="R118" s="49">
        <f>IF(A118="","",IF(F118="لا","مادة غير معتمدة!",IF(P118&gt;=J118,"مكتمل",IF(AND(O118&lt;&gt;"",TODAY()&gt;O118),"متأخر التوريد",IF(P118&gt;0,"توريد جزئي","لم يُورد بعد")))))</f>
        <v/>
      </c>
    </row>
    <row r="119">
      <c r="A119" s="39">
        <f>IF(C119="","","PO-"&amp;TEXT(ROW()-4,"0000"))</f>
        <v/>
      </c>
      <c r="B119" s="47" t="n"/>
      <c r="C119" s="50" t="n"/>
      <c r="D119" s="40" t="n"/>
      <c r="E119" s="40" t="n"/>
      <c r="F119" s="49">
        <f>IF(E119="","",IFERROR(INDEX('اعتماد المواد'!$P$5:$P$304,MATCH(E119,'اعتماد المواد'!$A$5:$A$304,0)),""))</f>
        <v/>
      </c>
      <c r="G119" s="50" t="n"/>
      <c r="H119" s="40" t="n"/>
      <c r="I119" s="50" t="n"/>
      <c r="J119" s="41" t="n"/>
      <c r="K119" s="41" t="n"/>
      <c r="L119" s="46">
        <f>IF(J119="","",J119*K119)</f>
        <v/>
      </c>
      <c r="M119" s="46">
        <f>IF(L119="","",L119*S_VAT)</f>
        <v/>
      </c>
      <c r="N119" s="46">
        <f>IF(L119="","",L119+M119)</f>
        <v/>
      </c>
      <c r="O119" s="47" t="n"/>
      <c r="P119" s="46">
        <f>IF(A119="","",SUMIFS('استلام المواد'!$K$5:$K$304,'استلام المواد'!$C$5:$C$304,A119))</f>
        <v/>
      </c>
      <c r="Q119" s="46">
        <f>IF(A119="","",J119-P119)</f>
        <v/>
      </c>
      <c r="R119" s="49">
        <f>IF(A119="","",IF(F119="لا","مادة غير معتمدة!",IF(P119&gt;=J119,"مكتمل",IF(AND(O119&lt;&gt;"",TODAY()&gt;O119),"متأخر التوريد",IF(P119&gt;0,"توريد جزئي","لم يُورد بعد")))))</f>
        <v/>
      </c>
    </row>
    <row r="120">
      <c r="A120" s="39">
        <f>IF(C120="","","PO-"&amp;TEXT(ROW()-4,"0000"))</f>
        <v/>
      </c>
      <c r="B120" s="47" t="n"/>
      <c r="C120" s="50" t="n"/>
      <c r="D120" s="40" t="n"/>
      <c r="E120" s="40" t="n"/>
      <c r="F120" s="49">
        <f>IF(E120="","",IFERROR(INDEX('اعتماد المواد'!$P$5:$P$304,MATCH(E120,'اعتماد المواد'!$A$5:$A$304,0)),""))</f>
        <v/>
      </c>
      <c r="G120" s="50" t="n"/>
      <c r="H120" s="40" t="n"/>
      <c r="I120" s="50" t="n"/>
      <c r="J120" s="41" t="n"/>
      <c r="K120" s="41" t="n"/>
      <c r="L120" s="46">
        <f>IF(J120="","",J120*K120)</f>
        <v/>
      </c>
      <c r="M120" s="46">
        <f>IF(L120="","",L120*S_VAT)</f>
        <v/>
      </c>
      <c r="N120" s="46">
        <f>IF(L120="","",L120+M120)</f>
        <v/>
      </c>
      <c r="O120" s="47" t="n"/>
      <c r="P120" s="46">
        <f>IF(A120="","",SUMIFS('استلام المواد'!$K$5:$K$304,'استلام المواد'!$C$5:$C$304,A120))</f>
        <v/>
      </c>
      <c r="Q120" s="46">
        <f>IF(A120="","",J120-P120)</f>
        <v/>
      </c>
      <c r="R120" s="49">
        <f>IF(A120="","",IF(F120="لا","مادة غير معتمدة!",IF(P120&gt;=J120,"مكتمل",IF(AND(O120&lt;&gt;"",TODAY()&gt;O120),"متأخر التوريد",IF(P120&gt;0,"توريد جزئي","لم يُورد بعد")))))</f>
        <v/>
      </c>
    </row>
    <row r="121">
      <c r="A121" s="39">
        <f>IF(C121="","","PO-"&amp;TEXT(ROW()-4,"0000"))</f>
        <v/>
      </c>
      <c r="B121" s="47" t="n"/>
      <c r="C121" s="50" t="n"/>
      <c r="D121" s="40" t="n"/>
      <c r="E121" s="40" t="n"/>
      <c r="F121" s="49">
        <f>IF(E121="","",IFERROR(INDEX('اعتماد المواد'!$P$5:$P$304,MATCH(E121,'اعتماد المواد'!$A$5:$A$304,0)),""))</f>
        <v/>
      </c>
      <c r="G121" s="50" t="n"/>
      <c r="H121" s="40" t="n"/>
      <c r="I121" s="50" t="n"/>
      <c r="J121" s="41" t="n"/>
      <c r="K121" s="41" t="n"/>
      <c r="L121" s="46">
        <f>IF(J121="","",J121*K121)</f>
        <v/>
      </c>
      <c r="M121" s="46">
        <f>IF(L121="","",L121*S_VAT)</f>
        <v/>
      </c>
      <c r="N121" s="46">
        <f>IF(L121="","",L121+M121)</f>
        <v/>
      </c>
      <c r="O121" s="47" t="n"/>
      <c r="P121" s="46">
        <f>IF(A121="","",SUMIFS('استلام المواد'!$K$5:$K$304,'استلام المواد'!$C$5:$C$304,A121))</f>
        <v/>
      </c>
      <c r="Q121" s="46">
        <f>IF(A121="","",J121-P121)</f>
        <v/>
      </c>
      <c r="R121" s="49">
        <f>IF(A121="","",IF(F121="لا","مادة غير معتمدة!",IF(P121&gt;=J121,"مكتمل",IF(AND(O121&lt;&gt;"",TODAY()&gt;O121),"متأخر التوريد",IF(P121&gt;0,"توريد جزئي","لم يُورد بعد")))))</f>
        <v/>
      </c>
    </row>
    <row r="122">
      <c r="A122" s="39">
        <f>IF(C122="","","PO-"&amp;TEXT(ROW()-4,"0000"))</f>
        <v/>
      </c>
      <c r="B122" s="47" t="n"/>
      <c r="C122" s="50" t="n"/>
      <c r="D122" s="40" t="n"/>
      <c r="E122" s="40" t="n"/>
      <c r="F122" s="49">
        <f>IF(E122="","",IFERROR(INDEX('اعتماد المواد'!$P$5:$P$304,MATCH(E122,'اعتماد المواد'!$A$5:$A$304,0)),""))</f>
        <v/>
      </c>
      <c r="G122" s="50" t="n"/>
      <c r="H122" s="40" t="n"/>
      <c r="I122" s="50" t="n"/>
      <c r="J122" s="41" t="n"/>
      <c r="K122" s="41" t="n"/>
      <c r="L122" s="46">
        <f>IF(J122="","",J122*K122)</f>
        <v/>
      </c>
      <c r="M122" s="46">
        <f>IF(L122="","",L122*S_VAT)</f>
        <v/>
      </c>
      <c r="N122" s="46">
        <f>IF(L122="","",L122+M122)</f>
        <v/>
      </c>
      <c r="O122" s="47" t="n"/>
      <c r="P122" s="46">
        <f>IF(A122="","",SUMIFS('استلام المواد'!$K$5:$K$304,'استلام المواد'!$C$5:$C$304,A122))</f>
        <v/>
      </c>
      <c r="Q122" s="46">
        <f>IF(A122="","",J122-P122)</f>
        <v/>
      </c>
      <c r="R122" s="49">
        <f>IF(A122="","",IF(F122="لا","مادة غير معتمدة!",IF(P122&gt;=J122,"مكتمل",IF(AND(O122&lt;&gt;"",TODAY()&gt;O122),"متأخر التوريد",IF(P122&gt;0,"توريد جزئي","لم يُورد بعد")))))</f>
        <v/>
      </c>
    </row>
    <row r="123">
      <c r="A123" s="39">
        <f>IF(C123="","","PO-"&amp;TEXT(ROW()-4,"0000"))</f>
        <v/>
      </c>
      <c r="B123" s="47" t="n"/>
      <c r="C123" s="50" t="n"/>
      <c r="D123" s="40" t="n"/>
      <c r="E123" s="40" t="n"/>
      <c r="F123" s="49">
        <f>IF(E123="","",IFERROR(INDEX('اعتماد المواد'!$P$5:$P$304,MATCH(E123,'اعتماد المواد'!$A$5:$A$304,0)),""))</f>
        <v/>
      </c>
      <c r="G123" s="50" t="n"/>
      <c r="H123" s="40" t="n"/>
      <c r="I123" s="50" t="n"/>
      <c r="J123" s="41" t="n"/>
      <c r="K123" s="41" t="n"/>
      <c r="L123" s="46">
        <f>IF(J123="","",J123*K123)</f>
        <v/>
      </c>
      <c r="M123" s="46">
        <f>IF(L123="","",L123*S_VAT)</f>
        <v/>
      </c>
      <c r="N123" s="46">
        <f>IF(L123="","",L123+M123)</f>
        <v/>
      </c>
      <c r="O123" s="47" t="n"/>
      <c r="P123" s="46">
        <f>IF(A123="","",SUMIFS('استلام المواد'!$K$5:$K$304,'استلام المواد'!$C$5:$C$304,A123))</f>
        <v/>
      </c>
      <c r="Q123" s="46">
        <f>IF(A123="","",J123-P123)</f>
        <v/>
      </c>
      <c r="R123" s="49">
        <f>IF(A123="","",IF(F123="لا","مادة غير معتمدة!",IF(P123&gt;=J123,"مكتمل",IF(AND(O123&lt;&gt;"",TODAY()&gt;O123),"متأخر التوريد",IF(P123&gt;0,"توريد جزئي","لم يُورد بعد")))))</f>
        <v/>
      </c>
    </row>
    <row r="124">
      <c r="A124" s="39">
        <f>IF(C124="","","PO-"&amp;TEXT(ROW()-4,"0000"))</f>
        <v/>
      </c>
      <c r="B124" s="47" t="n"/>
      <c r="C124" s="50" t="n"/>
      <c r="D124" s="40" t="n"/>
      <c r="E124" s="40" t="n"/>
      <c r="F124" s="49">
        <f>IF(E124="","",IFERROR(INDEX('اعتماد المواد'!$P$5:$P$304,MATCH(E124,'اعتماد المواد'!$A$5:$A$304,0)),""))</f>
        <v/>
      </c>
      <c r="G124" s="50" t="n"/>
      <c r="H124" s="40" t="n"/>
      <c r="I124" s="50" t="n"/>
      <c r="J124" s="41" t="n"/>
      <c r="K124" s="41" t="n"/>
      <c r="L124" s="46">
        <f>IF(J124="","",J124*K124)</f>
        <v/>
      </c>
      <c r="M124" s="46">
        <f>IF(L124="","",L124*S_VAT)</f>
        <v/>
      </c>
      <c r="N124" s="46">
        <f>IF(L124="","",L124+M124)</f>
        <v/>
      </c>
      <c r="O124" s="47" t="n"/>
      <c r="P124" s="46">
        <f>IF(A124="","",SUMIFS('استلام المواد'!$K$5:$K$304,'استلام المواد'!$C$5:$C$304,A124))</f>
        <v/>
      </c>
      <c r="Q124" s="46">
        <f>IF(A124="","",J124-P124)</f>
        <v/>
      </c>
      <c r="R124" s="49">
        <f>IF(A124="","",IF(F124="لا","مادة غير معتمدة!",IF(P124&gt;=J124,"مكتمل",IF(AND(O124&lt;&gt;"",TODAY()&gt;O124),"متأخر التوريد",IF(P124&gt;0,"توريد جزئي","لم يُورد بعد")))))</f>
        <v/>
      </c>
    </row>
    <row r="125">
      <c r="A125" s="39">
        <f>IF(C125="","","PO-"&amp;TEXT(ROW()-4,"0000"))</f>
        <v/>
      </c>
      <c r="B125" s="47" t="n"/>
      <c r="C125" s="50" t="n"/>
      <c r="D125" s="40" t="n"/>
      <c r="E125" s="40" t="n"/>
      <c r="F125" s="49">
        <f>IF(E125="","",IFERROR(INDEX('اعتماد المواد'!$P$5:$P$304,MATCH(E125,'اعتماد المواد'!$A$5:$A$304,0)),""))</f>
        <v/>
      </c>
      <c r="G125" s="50" t="n"/>
      <c r="H125" s="40" t="n"/>
      <c r="I125" s="50" t="n"/>
      <c r="J125" s="41" t="n"/>
      <c r="K125" s="41" t="n"/>
      <c r="L125" s="46">
        <f>IF(J125="","",J125*K125)</f>
        <v/>
      </c>
      <c r="M125" s="46">
        <f>IF(L125="","",L125*S_VAT)</f>
        <v/>
      </c>
      <c r="N125" s="46">
        <f>IF(L125="","",L125+M125)</f>
        <v/>
      </c>
      <c r="O125" s="47" t="n"/>
      <c r="P125" s="46">
        <f>IF(A125="","",SUMIFS('استلام المواد'!$K$5:$K$304,'استلام المواد'!$C$5:$C$304,A125))</f>
        <v/>
      </c>
      <c r="Q125" s="46">
        <f>IF(A125="","",J125-P125)</f>
        <v/>
      </c>
      <c r="R125" s="49">
        <f>IF(A125="","",IF(F125="لا","مادة غير معتمدة!",IF(P125&gt;=J125,"مكتمل",IF(AND(O125&lt;&gt;"",TODAY()&gt;O125),"متأخر التوريد",IF(P125&gt;0,"توريد جزئي","لم يُورد بعد")))))</f>
        <v/>
      </c>
    </row>
    <row r="126">
      <c r="A126" s="39">
        <f>IF(C126="","","PO-"&amp;TEXT(ROW()-4,"0000"))</f>
        <v/>
      </c>
      <c r="B126" s="47" t="n"/>
      <c r="C126" s="50" t="n"/>
      <c r="D126" s="40" t="n"/>
      <c r="E126" s="40" t="n"/>
      <c r="F126" s="49">
        <f>IF(E126="","",IFERROR(INDEX('اعتماد المواد'!$P$5:$P$304,MATCH(E126,'اعتماد المواد'!$A$5:$A$304,0)),""))</f>
        <v/>
      </c>
      <c r="G126" s="50" t="n"/>
      <c r="H126" s="40" t="n"/>
      <c r="I126" s="50" t="n"/>
      <c r="J126" s="41" t="n"/>
      <c r="K126" s="41" t="n"/>
      <c r="L126" s="46">
        <f>IF(J126="","",J126*K126)</f>
        <v/>
      </c>
      <c r="M126" s="46">
        <f>IF(L126="","",L126*S_VAT)</f>
        <v/>
      </c>
      <c r="N126" s="46">
        <f>IF(L126="","",L126+M126)</f>
        <v/>
      </c>
      <c r="O126" s="47" t="n"/>
      <c r="P126" s="46">
        <f>IF(A126="","",SUMIFS('استلام المواد'!$K$5:$K$304,'استلام المواد'!$C$5:$C$304,A126))</f>
        <v/>
      </c>
      <c r="Q126" s="46">
        <f>IF(A126="","",J126-P126)</f>
        <v/>
      </c>
      <c r="R126" s="49">
        <f>IF(A126="","",IF(F126="لا","مادة غير معتمدة!",IF(P126&gt;=J126,"مكتمل",IF(AND(O126&lt;&gt;"",TODAY()&gt;O126),"متأخر التوريد",IF(P126&gt;0,"توريد جزئي","لم يُورد بعد")))))</f>
        <v/>
      </c>
    </row>
    <row r="127">
      <c r="A127" s="39">
        <f>IF(C127="","","PO-"&amp;TEXT(ROW()-4,"0000"))</f>
        <v/>
      </c>
      <c r="B127" s="47" t="n"/>
      <c r="C127" s="50" t="n"/>
      <c r="D127" s="40" t="n"/>
      <c r="E127" s="40" t="n"/>
      <c r="F127" s="49">
        <f>IF(E127="","",IFERROR(INDEX('اعتماد المواد'!$P$5:$P$304,MATCH(E127,'اعتماد المواد'!$A$5:$A$304,0)),""))</f>
        <v/>
      </c>
      <c r="G127" s="50" t="n"/>
      <c r="H127" s="40" t="n"/>
      <c r="I127" s="50" t="n"/>
      <c r="J127" s="41" t="n"/>
      <c r="K127" s="41" t="n"/>
      <c r="L127" s="46">
        <f>IF(J127="","",J127*K127)</f>
        <v/>
      </c>
      <c r="M127" s="46">
        <f>IF(L127="","",L127*S_VAT)</f>
        <v/>
      </c>
      <c r="N127" s="46">
        <f>IF(L127="","",L127+M127)</f>
        <v/>
      </c>
      <c r="O127" s="47" t="n"/>
      <c r="P127" s="46">
        <f>IF(A127="","",SUMIFS('استلام المواد'!$K$5:$K$304,'استلام المواد'!$C$5:$C$304,A127))</f>
        <v/>
      </c>
      <c r="Q127" s="46">
        <f>IF(A127="","",J127-P127)</f>
        <v/>
      </c>
      <c r="R127" s="49">
        <f>IF(A127="","",IF(F127="لا","مادة غير معتمدة!",IF(P127&gt;=J127,"مكتمل",IF(AND(O127&lt;&gt;"",TODAY()&gt;O127),"متأخر التوريد",IF(P127&gt;0,"توريد جزئي","لم يُورد بعد")))))</f>
        <v/>
      </c>
    </row>
    <row r="128">
      <c r="A128" s="39">
        <f>IF(C128="","","PO-"&amp;TEXT(ROW()-4,"0000"))</f>
        <v/>
      </c>
      <c r="B128" s="47" t="n"/>
      <c r="C128" s="50" t="n"/>
      <c r="D128" s="40" t="n"/>
      <c r="E128" s="40" t="n"/>
      <c r="F128" s="49">
        <f>IF(E128="","",IFERROR(INDEX('اعتماد المواد'!$P$5:$P$304,MATCH(E128,'اعتماد المواد'!$A$5:$A$304,0)),""))</f>
        <v/>
      </c>
      <c r="G128" s="50" t="n"/>
      <c r="H128" s="40" t="n"/>
      <c r="I128" s="50" t="n"/>
      <c r="J128" s="41" t="n"/>
      <c r="K128" s="41" t="n"/>
      <c r="L128" s="46">
        <f>IF(J128="","",J128*K128)</f>
        <v/>
      </c>
      <c r="M128" s="46">
        <f>IF(L128="","",L128*S_VAT)</f>
        <v/>
      </c>
      <c r="N128" s="46">
        <f>IF(L128="","",L128+M128)</f>
        <v/>
      </c>
      <c r="O128" s="47" t="n"/>
      <c r="P128" s="46">
        <f>IF(A128="","",SUMIFS('استلام المواد'!$K$5:$K$304,'استلام المواد'!$C$5:$C$304,A128))</f>
        <v/>
      </c>
      <c r="Q128" s="46">
        <f>IF(A128="","",J128-P128)</f>
        <v/>
      </c>
      <c r="R128" s="49">
        <f>IF(A128="","",IF(F128="لا","مادة غير معتمدة!",IF(P128&gt;=J128,"مكتمل",IF(AND(O128&lt;&gt;"",TODAY()&gt;O128),"متأخر التوريد",IF(P128&gt;0,"توريد جزئي","لم يُورد بعد")))))</f>
        <v/>
      </c>
    </row>
    <row r="129">
      <c r="A129" s="39">
        <f>IF(C129="","","PO-"&amp;TEXT(ROW()-4,"0000"))</f>
        <v/>
      </c>
      <c r="B129" s="47" t="n"/>
      <c r="C129" s="50" t="n"/>
      <c r="D129" s="40" t="n"/>
      <c r="E129" s="40" t="n"/>
      <c r="F129" s="49">
        <f>IF(E129="","",IFERROR(INDEX('اعتماد المواد'!$P$5:$P$304,MATCH(E129,'اعتماد المواد'!$A$5:$A$304,0)),""))</f>
        <v/>
      </c>
      <c r="G129" s="50" t="n"/>
      <c r="H129" s="40" t="n"/>
      <c r="I129" s="50" t="n"/>
      <c r="J129" s="41" t="n"/>
      <c r="K129" s="41" t="n"/>
      <c r="L129" s="46">
        <f>IF(J129="","",J129*K129)</f>
        <v/>
      </c>
      <c r="M129" s="46">
        <f>IF(L129="","",L129*S_VAT)</f>
        <v/>
      </c>
      <c r="N129" s="46">
        <f>IF(L129="","",L129+M129)</f>
        <v/>
      </c>
      <c r="O129" s="47" t="n"/>
      <c r="P129" s="46">
        <f>IF(A129="","",SUMIFS('استلام المواد'!$K$5:$K$304,'استلام المواد'!$C$5:$C$304,A129))</f>
        <v/>
      </c>
      <c r="Q129" s="46">
        <f>IF(A129="","",J129-P129)</f>
        <v/>
      </c>
      <c r="R129" s="49">
        <f>IF(A129="","",IF(F129="لا","مادة غير معتمدة!",IF(P129&gt;=J129,"مكتمل",IF(AND(O129&lt;&gt;"",TODAY()&gt;O129),"متأخر التوريد",IF(P129&gt;0,"توريد جزئي","لم يُورد بعد")))))</f>
        <v/>
      </c>
    </row>
    <row r="130">
      <c r="A130" s="39">
        <f>IF(C130="","","PO-"&amp;TEXT(ROW()-4,"0000"))</f>
        <v/>
      </c>
      <c r="B130" s="47" t="n"/>
      <c r="C130" s="50" t="n"/>
      <c r="D130" s="40" t="n"/>
      <c r="E130" s="40" t="n"/>
      <c r="F130" s="49">
        <f>IF(E130="","",IFERROR(INDEX('اعتماد المواد'!$P$5:$P$304,MATCH(E130,'اعتماد المواد'!$A$5:$A$304,0)),""))</f>
        <v/>
      </c>
      <c r="G130" s="50" t="n"/>
      <c r="H130" s="40" t="n"/>
      <c r="I130" s="50" t="n"/>
      <c r="J130" s="41" t="n"/>
      <c r="K130" s="41" t="n"/>
      <c r="L130" s="46">
        <f>IF(J130="","",J130*K130)</f>
        <v/>
      </c>
      <c r="M130" s="46">
        <f>IF(L130="","",L130*S_VAT)</f>
        <v/>
      </c>
      <c r="N130" s="46">
        <f>IF(L130="","",L130+M130)</f>
        <v/>
      </c>
      <c r="O130" s="47" t="n"/>
      <c r="P130" s="46">
        <f>IF(A130="","",SUMIFS('استلام المواد'!$K$5:$K$304,'استلام المواد'!$C$5:$C$304,A130))</f>
        <v/>
      </c>
      <c r="Q130" s="46">
        <f>IF(A130="","",J130-P130)</f>
        <v/>
      </c>
      <c r="R130" s="49">
        <f>IF(A130="","",IF(F130="لا","مادة غير معتمدة!",IF(P130&gt;=J130,"مكتمل",IF(AND(O130&lt;&gt;"",TODAY()&gt;O130),"متأخر التوريد",IF(P130&gt;0,"توريد جزئي","لم يُورد بعد")))))</f>
        <v/>
      </c>
    </row>
    <row r="131">
      <c r="A131" s="39">
        <f>IF(C131="","","PO-"&amp;TEXT(ROW()-4,"0000"))</f>
        <v/>
      </c>
      <c r="B131" s="47" t="n"/>
      <c r="C131" s="50" t="n"/>
      <c r="D131" s="40" t="n"/>
      <c r="E131" s="40" t="n"/>
      <c r="F131" s="49">
        <f>IF(E131="","",IFERROR(INDEX('اعتماد المواد'!$P$5:$P$304,MATCH(E131,'اعتماد المواد'!$A$5:$A$304,0)),""))</f>
        <v/>
      </c>
      <c r="G131" s="50" t="n"/>
      <c r="H131" s="40" t="n"/>
      <c r="I131" s="50" t="n"/>
      <c r="J131" s="41" t="n"/>
      <c r="K131" s="41" t="n"/>
      <c r="L131" s="46">
        <f>IF(J131="","",J131*K131)</f>
        <v/>
      </c>
      <c r="M131" s="46">
        <f>IF(L131="","",L131*S_VAT)</f>
        <v/>
      </c>
      <c r="N131" s="46">
        <f>IF(L131="","",L131+M131)</f>
        <v/>
      </c>
      <c r="O131" s="47" t="n"/>
      <c r="P131" s="46">
        <f>IF(A131="","",SUMIFS('استلام المواد'!$K$5:$K$304,'استلام المواد'!$C$5:$C$304,A131))</f>
        <v/>
      </c>
      <c r="Q131" s="46">
        <f>IF(A131="","",J131-P131)</f>
        <v/>
      </c>
      <c r="R131" s="49">
        <f>IF(A131="","",IF(F131="لا","مادة غير معتمدة!",IF(P131&gt;=J131,"مكتمل",IF(AND(O131&lt;&gt;"",TODAY()&gt;O131),"متأخر التوريد",IF(P131&gt;0,"توريد جزئي","لم يُورد بعد")))))</f>
        <v/>
      </c>
    </row>
    <row r="132">
      <c r="A132" s="39">
        <f>IF(C132="","","PO-"&amp;TEXT(ROW()-4,"0000"))</f>
        <v/>
      </c>
      <c r="B132" s="47" t="n"/>
      <c r="C132" s="50" t="n"/>
      <c r="D132" s="40" t="n"/>
      <c r="E132" s="40" t="n"/>
      <c r="F132" s="49">
        <f>IF(E132="","",IFERROR(INDEX('اعتماد المواد'!$P$5:$P$304,MATCH(E132,'اعتماد المواد'!$A$5:$A$304,0)),""))</f>
        <v/>
      </c>
      <c r="G132" s="50" t="n"/>
      <c r="H132" s="40" t="n"/>
      <c r="I132" s="50" t="n"/>
      <c r="J132" s="41" t="n"/>
      <c r="K132" s="41" t="n"/>
      <c r="L132" s="46">
        <f>IF(J132="","",J132*K132)</f>
        <v/>
      </c>
      <c r="M132" s="46">
        <f>IF(L132="","",L132*S_VAT)</f>
        <v/>
      </c>
      <c r="N132" s="46">
        <f>IF(L132="","",L132+M132)</f>
        <v/>
      </c>
      <c r="O132" s="47" t="n"/>
      <c r="P132" s="46">
        <f>IF(A132="","",SUMIFS('استلام المواد'!$K$5:$K$304,'استلام المواد'!$C$5:$C$304,A132))</f>
        <v/>
      </c>
      <c r="Q132" s="46">
        <f>IF(A132="","",J132-P132)</f>
        <v/>
      </c>
      <c r="R132" s="49">
        <f>IF(A132="","",IF(F132="لا","مادة غير معتمدة!",IF(P132&gt;=J132,"مكتمل",IF(AND(O132&lt;&gt;"",TODAY()&gt;O132),"متأخر التوريد",IF(P132&gt;0,"توريد جزئي","لم يُورد بعد")))))</f>
        <v/>
      </c>
    </row>
    <row r="133">
      <c r="A133" s="39">
        <f>IF(C133="","","PO-"&amp;TEXT(ROW()-4,"0000"))</f>
        <v/>
      </c>
      <c r="B133" s="47" t="n"/>
      <c r="C133" s="50" t="n"/>
      <c r="D133" s="40" t="n"/>
      <c r="E133" s="40" t="n"/>
      <c r="F133" s="49">
        <f>IF(E133="","",IFERROR(INDEX('اعتماد المواد'!$P$5:$P$304,MATCH(E133,'اعتماد المواد'!$A$5:$A$304,0)),""))</f>
        <v/>
      </c>
      <c r="G133" s="50" t="n"/>
      <c r="H133" s="40" t="n"/>
      <c r="I133" s="50" t="n"/>
      <c r="J133" s="41" t="n"/>
      <c r="K133" s="41" t="n"/>
      <c r="L133" s="46">
        <f>IF(J133="","",J133*K133)</f>
        <v/>
      </c>
      <c r="M133" s="46">
        <f>IF(L133="","",L133*S_VAT)</f>
        <v/>
      </c>
      <c r="N133" s="46">
        <f>IF(L133="","",L133+M133)</f>
        <v/>
      </c>
      <c r="O133" s="47" t="n"/>
      <c r="P133" s="46">
        <f>IF(A133="","",SUMIFS('استلام المواد'!$K$5:$K$304,'استلام المواد'!$C$5:$C$304,A133))</f>
        <v/>
      </c>
      <c r="Q133" s="46">
        <f>IF(A133="","",J133-P133)</f>
        <v/>
      </c>
      <c r="R133" s="49">
        <f>IF(A133="","",IF(F133="لا","مادة غير معتمدة!",IF(P133&gt;=J133,"مكتمل",IF(AND(O133&lt;&gt;"",TODAY()&gt;O133),"متأخر التوريد",IF(P133&gt;0,"توريد جزئي","لم يُورد بعد")))))</f>
        <v/>
      </c>
    </row>
    <row r="134">
      <c r="A134" s="39">
        <f>IF(C134="","","PO-"&amp;TEXT(ROW()-4,"0000"))</f>
        <v/>
      </c>
      <c r="B134" s="47" t="n"/>
      <c r="C134" s="50" t="n"/>
      <c r="D134" s="40" t="n"/>
      <c r="E134" s="40" t="n"/>
      <c r="F134" s="49">
        <f>IF(E134="","",IFERROR(INDEX('اعتماد المواد'!$P$5:$P$304,MATCH(E134,'اعتماد المواد'!$A$5:$A$304,0)),""))</f>
        <v/>
      </c>
      <c r="G134" s="50" t="n"/>
      <c r="H134" s="40" t="n"/>
      <c r="I134" s="50" t="n"/>
      <c r="J134" s="41" t="n"/>
      <c r="K134" s="41" t="n"/>
      <c r="L134" s="46">
        <f>IF(J134="","",J134*K134)</f>
        <v/>
      </c>
      <c r="M134" s="46">
        <f>IF(L134="","",L134*S_VAT)</f>
        <v/>
      </c>
      <c r="N134" s="46">
        <f>IF(L134="","",L134+M134)</f>
        <v/>
      </c>
      <c r="O134" s="47" t="n"/>
      <c r="P134" s="46">
        <f>IF(A134="","",SUMIFS('استلام المواد'!$K$5:$K$304,'استلام المواد'!$C$5:$C$304,A134))</f>
        <v/>
      </c>
      <c r="Q134" s="46">
        <f>IF(A134="","",J134-P134)</f>
        <v/>
      </c>
      <c r="R134" s="49">
        <f>IF(A134="","",IF(F134="لا","مادة غير معتمدة!",IF(P134&gt;=J134,"مكتمل",IF(AND(O134&lt;&gt;"",TODAY()&gt;O134),"متأخر التوريد",IF(P134&gt;0,"توريد جزئي","لم يُورد بعد")))))</f>
        <v/>
      </c>
    </row>
    <row r="135">
      <c r="A135" s="39">
        <f>IF(C135="","","PO-"&amp;TEXT(ROW()-4,"0000"))</f>
        <v/>
      </c>
      <c r="B135" s="47" t="n"/>
      <c r="C135" s="50" t="n"/>
      <c r="D135" s="40" t="n"/>
      <c r="E135" s="40" t="n"/>
      <c r="F135" s="49">
        <f>IF(E135="","",IFERROR(INDEX('اعتماد المواد'!$P$5:$P$304,MATCH(E135,'اعتماد المواد'!$A$5:$A$304,0)),""))</f>
        <v/>
      </c>
      <c r="G135" s="50" t="n"/>
      <c r="H135" s="40" t="n"/>
      <c r="I135" s="50" t="n"/>
      <c r="J135" s="41" t="n"/>
      <c r="K135" s="41" t="n"/>
      <c r="L135" s="46">
        <f>IF(J135="","",J135*K135)</f>
        <v/>
      </c>
      <c r="M135" s="46">
        <f>IF(L135="","",L135*S_VAT)</f>
        <v/>
      </c>
      <c r="N135" s="46">
        <f>IF(L135="","",L135+M135)</f>
        <v/>
      </c>
      <c r="O135" s="47" t="n"/>
      <c r="P135" s="46">
        <f>IF(A135="","",SUMIFS('استلام المواد'!$K$5:$K$304,'استلام المواد'!$C$5:$C$304,A135))</f>
        <v/>
      </c>
      <c r="Q135" s="46">
        <f>IF(A135="","",J135-P135)</f>
        <v/>
      </c>
      <c r="R135" s="49">
        <f>IF(A135="","",IF(F135="لا","مادة غير معتمدة!",IF(P135&gt;=J135,"مكتمل",IF(AND(O135&lt;&gt;"",TODAY()&gt;O135),"متأخر التوريد",IF(P135&gt;0,"توريد جزئي","لم يُورد بعد")))))</f>
        <v/>
      </c>
    </row>
    <row r="136">
      <c r="A136" s="39">
        <f>IF(C136="","","PO-"&amp;TEXT(ROW()-4,"0000"))</f>
        <v/>
      </c>
      <c r="B136" s="47" t="n"/>
      <c r="C136" s="50" t="n"/>
      <c r="D136" s="40" t="n"/>
      <c r="E136" s="40" t="n"/>
      <c r="F136" s="49">
        <f>IF(E136="","",IFERROR(INDEX('اعتماد المواد'!$P$5:$P$304,MATCH(E136,'اعتماد المواد'!$A$5:$A$304,0)),""))</f>
        <v/>
      </c>
      <c r="G136" s="50" t="n"/>
      <c r="H136" s="40" t="n"/>
      <c r="I136" s="50" t="n"/>
      <c r="J136" s="41" t="n"/>
      <c r="K136" s="41" t="n"/>
      <c r="L136" s="46">
        <f>IF(J136="","",J136*K136)</f>
        <v/>
      </c>
      <c r="M136" s="46">
        <f>IF(L136="","",L136*S_VAT)</f>
        <v/>
      </c>
      <c r="N136" s="46">
        <f>IF(L136="","",L136+M136)</f>
        <v/>
      </c>
      <c r="O136" s="47" t="n"/>
      <c r="P136" s="46">
        <f>IF(A136="","",SUMIFS('استلام المواد'!$K$5:$K$304,'استلام المواد'!$C$5:$C$304,A136))</f>
        <v/>
      </c>
      <c r="Q136" s="46">
        <f>IF(A136="","",J136-P136)</f>
        <v/>
      </c>
      <c r="R136" s="49">
        <f>IF(A136="","",IF(F136="لا","مادة غير معتمدة!",IF(P136&gt;=J136,"مكتمل",IF(AND(O136&lt;&gt;"",TODAY()&gt;O136),"متأخر التوريد",IF(P136&gt;0,"توريد جزئي","لم يُورد بعد")))))</f>
        <v/>
      </c>
    </row>
    <row r="137">
      <c r="A137" s="39">
        <f>IF(C137="","","PO-"&amp;TEXT(ROW()-4,"0000"))</f>
        <v/>
      </c>
      <c r="B137" s="47" t="n"/>
      <c r="C137" s="50" t="n"/>
      <c r="D137" s="40" t="n"/>
      <c r="E137" s="40" t="n"/>
      <c r="F137" s="49">
        <f>IF(E137="","",IFERROR(INDEX('اعتماد المواد'!$P$5:$P$304,MATCH(E137,'اعتماد المواد'!$A$5:$A$304,0)),""))</f>
        <v/>
      </c>
      <c r="G137" s="50" t="n"/>
      <c r="H137" s="40" t="n"/>
      <c r="I137" s="50" t="n"/>
      <c r="J137" s="41" t="n"/>
      <c r="K137" s="41" t="n"/>
      <c r="L137" s="46">
        <f>IF(J137="","",J137*K137)</f>
        <v/>
      </c>
      <c r="M137" s="46">
        <f>IF(L137="","",L137*S_VAT)</f>
        <v/>
      </c>
      <c r="N137" s="46">
        <f>IF(L137="","",L137+M137)</f>
        <v/>
      </c>
      <c r="O137" s="47" t="n"/>
      <c r="P137" s="46">
        <f>IF(A137="","",SUMIFS('استلام المواد'!$K$5:$K$304,'استلام المواد'!$C$5:$C$304,A137))</f>
        <v/>
      </c>
      <c r="Q137" s="46">
        <f>IF(A137="","",J137-P137)</f>
        <v/>
      </c>
      <c r="R137" s="49">
        <f>IF(A137="","",IF(F137="لا","مادة غير معتمدة!",IF(P137&gt;=J137,"مكتمل",IF(AND(O137&lt;&gt;"",TODAY()&gt;O137),"متأخر التوريد",IF(P137&gt;0,"توريد جزئي","لم يُورد بعد")))))</f>
        <v/>
      </c>
    </row>
    <row r="138">
      <c r="A138" s="39">
        <f>IF(C138="","","PO-"&amp;TEXT(ROW()-4,"0000"))</f>
        <v/>
      </c>
      <c r="B138" s="47" t="n"/>
      <c r="C138" s="50" t="n"/>
      <c r="D138" s="40" t="n"/>
      <c r="E138" s="40" t="n"/>
      <c r="F138" s="49">
        <f>IF(E138="","",IFERROR(INDEX('اعتماد المواد'!$P$5:$P$304,MATCH(E138,'اعتماد المواد'!$A$5:$A$304,0)),""))</f>
        <v/>
      </c>
      <c r="G138" s="50" t="n"/>
      <c r="H138" s="40" t="n"/>
      <c r="I138" s="50" t="n"/>
      <c r="J138" s="41" t="n"/>
      <c r="K138" s="41" t="n"/>
      <c r="L138" s="46">
        <f>IF(J138="","",J138*K138)</f>
        <v/>
      </c>
      <c r="M138" s="46">
        <f>IF(L138="","",L138*S_VAT)</f>
        <v/>
      </c>
      <c r="N138" s="46">
        <f>IF(L138="","",L138+M138)</f>
        <v/>
      </c>
      <c r="O138" s="47" t="n"/>
      <c r="P138" s="46">
        <f>IF(A138="","",SUMIFS('استلام المواد'!$K$5:$K$304,'استلام المواد'!$C$5:$C$304,A138))</f>
        <v/>
      </c>
      <c r="Q138" s="46">
        <f>IF(A138="","",J138-P138)</f>
        <v/>
      </c>
      <c r="R138" s="49">
        <f>IF(A138="","",IF(F138="لا","مادة غير معتمدة!",IF(P138&gt;=J138,"مكتمل",IF(AND(O138&lt;&gt;"",TODAY()&gt;O138),"متأخر التوريد",IF(P138&gt;0,"توريد جزئي","لم يُورد بعد")))))</f>
        <v/>
      </c>
    </row>
    <row r="139">
      <c r="A139" s="39">
        <f>IF(C139="","","PO-"&amp;TEXT(ROW()-4,"0000"))</f>
        <v/>
      </c>
      <c r="B139" s="47" t="n"/>
      <c r="C139" s="50" t="n"/>
      <c r="D139" s="40" t="n"/>
      <c r="E139" s="40" t="n"/>
      <c r="F139" s="49">
        <f>IF(E139="","",IFERROR(INDEX('اعتماد المواد'!$P$5:$P$304,MATCH(E139,'اعتماد المواد'!$A$5:$A$304,0)),""))</f>
        <v/>
      </c>
      <c r="G139" s="50" t="n"/>
      <c r="H139" s="40" t="n"/>
      <c r="I139" s="50" t="n"/>
      <c r="J139" s="41" t="n"/>
      <c r="K139" s="41" t="n"/>
      <c r="L139" s="46">
        <f>IF(J139="","",J139*K139)</f>
        <v/>
      </c>
      <c r="M139" s="46">
        <f>IF(L139="","",L139*S_VAT)</f>
        <v/>
      </c>
      <c r="N139" s="46">
        <f>IF(L139="","",L139+M139)</f>
        <v/>
      </c>
      <c r="O139" s="47" t="n"/>
      <c r="P139" s="46">
        <f>IF(A139="","",SUMIFS('استلام المواد'!$K$5:$K$304,'استلام المواد'!$C$5:$C$304,A139))</f>
        <v/>
      </c>
      <c r="Q139" s="46">
        <f>IF(A139="","",J139-P139)</f>
        <v/>
      </c>
      <c r="R139" s="49">
        <f>IF(A139="","",IF(F139="لا","مادة غير معتمدة!",IF(P139&gt;=J139,"مكتمل",IF(AND(O139&lt;&gt;"",TODAY()&gt;O139),"متأخر التوريد",IF(P139&gt;0,"توريد جزئي","لم يُورد بعد")))))</f>
        <v/>
      </c>
    </row>
    <row r="140">
      <c r="A140" s="39">
        <f>IF(C140="","","PO-"&amp;TEXT(ROW()-4,"0000"))</f>
        <v/>
      </c>
      <c r="B140" s="47" t="n"/>
      <c r="C140" s="50" t="n"/>
      <c r="D140" s="40" t="n"/>
      <c r="E140" s="40" t="n"/>
      <c r="F140" s="49">
        <f>IF(E140="","",IFERROR(INDEX('اعتماد المواد'!$P$5:$P$304,MATCH(E140,'اعتماد المواد'!$A$5:$A$304,0)),""))</f>
        <v/>
      </c>
      <c r="G140" s="50" t="n"/>
      <c r="H140" s="40" t="n"/>
      <c r="I140" s="50" t="n"/>
      <c r="J140" s="41" t="n"/>
      <c r="K140" s="41" t="n"/>
      <c r="L140" s="46">
        <f>IF(J140="","",J140*K140)</f>
        <v/>
      </c>
      <c r="M140" s="46">
        <f>IF(L140="","",L140*S_VAT)</f>
        <v/>
      </c>
      <c r="N140" s="46">
        <f>IF(L140="","",L140+M140)</f>
        <v/>
      </c>
      <c r="O140" s="47" t="n"/>
      <c r="P140" s="46">
        <f>IF(A140="","",SUMIFS('استلام المواد'!$K$5:$K$304,'استلام المواد'!$C$5:$C$304,A140))</f>
        <v/>
      </c>
      <c r="Q140" s="46">
        <f>IF(A140="","",J140-P140)</f>
        <v/>
      </c>
      <c r="R140" s="49">
        <f>IF(A140="","",IF(F140="لا","مادة غير معتمدة!",IF(P140&gt;=J140,"مكتمل",IF(AND(O140&lt;&gt;"",TODAY()&gt;O140),"متأخر التوريد",IF(P140&gt;0,"توريد جزئي","لم يُورد بعد")))))</f>
        <v/>
      </c>
    </row>
    <row r="141">
      <c r="A141" s="39">
        <f>IF(C141="","","PO-"&amp;TEXT(ROW()-4,"0000"))</f>
        <v/>
      </c>
      <c r="B141" s="47" t="n"/>
      <c r="C141" s="50" t="n"/>
      <c r="D141" s="40" t="n"/>
      <c r="E141" s="40" t="n"/>
      <c r="F141" s="49">
        <f>IF(E141="","",IFERROR(INDEX('اعتماد المواد'!$P$5:$P$304,MATCH(E141,'اعتماد المواد'!$A$5:$A$304,0)),""))</f>
        <v/>
      </c>
      <c r="G141" s="50" t="n"/>
      <c r="H141" s="40" t="n"/>
      <c r="I141" s="50" t="n"/>
      <c r="J141" s="41" t="n"/>
      <c r="K141" s="41" t="n"/>
      <c r="L141" s="46">
        <f>IF(J141="","",J141*K141)</f>
        <v/>
      </c>
      <c r="M141" s="46">
        <f>IF(L141="","",L141*S_VAT)</f>
        <v/>
      </c>
      <c r="N141" s="46">
        <f>IF(L141="","",L141+M141)</f>
        <v/>
      </c>
      <c r="O141" s="47" t="n"/>
      <c r="P141" s="46">
        <f>IF(A141="","",SUMIFS('استلام المواد'!$K$5:$K$304,'استلام المواد'!$C$5:$C$304,A141))</f>
        <v/>
      </c>
      <c r="Q141" s="46">
        <f>IF(A141="","",J141-P141)</f>
        <v/>
      </c>
      <c r="R141" s="49">
        <f>IF(A141="","",IF(F141="لا","مادة غير معتمدة!",IF(P141&gt;=J141,"مكتمل",IF(AND(O141&lt;&gt;"",TODAY()&gt;O141),"متأخر التوريد",IF(P141&gt;0,"توريد جزئي","لم يُورد بعد")))))</f>
        <v/>
      </c>
    </row>
    <row r="142">
      <c r="A142" s="39">
        <f>IF(C142="","","PO-"&amp;TEXT(ROW()-4,"0000"))</f>
        <v/>
      </c>
      <c r="B142" s="47" t="n"/>
      <c r="C142" s="50" t="n"/>
      <c r="D142" s="40" t="n"/>
      <c r="E142" s="40" t="n"/>
      <c r="F142" s="49">
        <f>IF(E142="","",IFERROR(INDEX('اعتماد المواد'!$P$5:$P$304,MATCH(E142,'اعتماد المواد'!$A$5:$A$304,0)),""))</f>
        <v/>
      </c>
      <c r="G142" s="50" t="n"/>
      <c r="H142" s="40" t="n"/>
      <c r="I142" s="50" t="n"/>
      <c r="J142" s="41" t="n"/>
      <c r="K142" s="41" t="n"/>
      <c r="L142" s="46">
        <f>IF(J142="","",J142*K142)</f>
        <v/>
      </c>
      <c r="M142" s="46">
        <f>IF(L142="","",L142*S_VAT)</f>
        <v/>
      </c>
      <c r="N142" s="46">
        <f>IF(L142="","",L142+M142)</f>
        <v/>
      </c>
      <c r="O142" s="47" t="n"/>
      <c r="P142" s="46">
        <f>IF(A142="","",SUMIFS('استلام المواد'!$K$5:$K$304,'استلام المواد'!$C$5:$C$304,A142))</f>
        <v/>
      </c>
      <c r="Q142" s="46">
        <f>IF(A142="","",J142-P142)</f>
        <v/>
      </c>
      <c r="R142" s="49">
        <f>IF(A142="","",IF(F142="لا","مادة غير معتمدة!",IF(P142&gt;=J142,"مكتمل",IF(AND(O142&lt;&gt;"",TODAY()&gt;O142),"متأخر التوريد",IF(P142&gt;0,"توريد جزئي","لم يُورد بعد")))))</f>
        <v/>
      </c>
    </row>
    <row r="143">
      <c r="A143" s="39">
        <f>IF(C143="","","PO-"&amp;TEXT(ROW()-4,"0000"))</f>
        <v/>
      </c>
      <c r="B143" s="47" t="n"/>
      <c r="C143" s="50" t="n"/>
      <c r="D143" s="40" t="n"/>
      <c r="E143" s="40" t="n"/>
      <c r="F143" s="49">
        <f>IF(E143="","",IFERROR(INDEX('اعتماد المواد'!$P$5:$P$304,MATCH(E143,'اعتماد المواد'!$A$5:$A$304,0)),""))</f>
        <v/>
      </c>
      <c r="G143" s="50" t="n"/>
      <c r="H143" s="40" t="n"/>
      <c r="I143" s="50" t="n"/>
      <c r="J143" s="41" t="n"/>
      <c r="K143" s="41" t="n"/>
      <c r="L143" s="46">
        <f>IF(J143="","",J143*K143)</f>
        <v/>
      </c>
      <c r="M143" s="46">
        <f>IF(L143="","",L143*S_VAT)</f>
        <v/>
      </c>
      <c r="N143" s="46">
        <f>IF(L143="","",L143+M143)</f>
        <v/>
      </c>
      <c r="O143" s="47" t="n"/>
      <c r="P143" s="46">
        <f>IF(A143="","",SUMIFS('استلام المواد'!$K$5:$K$304,'استلام المواد'!$C$5:$C$304,A143))</f>
        <v/>
      </c>
      <c r="Q143" s="46">
        <f>IF(A143="","",J143-P143)</f>
        <v/>
      </c>
      <c r="R143" s="49">
        <f>IF(A143="","",IF(F143="لا","مادة غير معتمدة!",IF(P143&gt;=J143,"مكتمل",IF(AND(O143&lt;&gt;"",TODAY()&gt;O143),"متأخر التوريد",IF(P143&gt;0,"توريد جزئي","لم يُورد بعد")))))</f>
        <v/>
      </c>
    </row>
    <row r="144">
      <c r="A144" s="39">
        <f>IF(C144="","","PO-"&amp;TEXT(ROW()-4,"0000"))</f>
        <v/>
      </c>
      <c r="B144" s="47" t="n"/>
      <c r="C144" s="50" t="n"/>
      <c r="D144" s="40" t="n"/>
      <c r="E144" s="40" t="n"/>
      <c r="F144" s="49">
        <f>IF(E144="","",IFERROR(INDEX('اعتماد المواد'!$P$5:$P$304,MATCH(E144,'اعتماد المواد'!$A$5:$A$304,0)),""))</f>
        <v/>
      </c>
      <c r="G144" s="50" t="n"/>
      <c r="H144" s="40" t="n"/>
      <c r="I144" s="50" t="n"/>
      <c r="J144" s="41" t="n"/>
      <c r="K144" s="41" t="n"/>
      <c r="L144" s="46">
        <f>IF(J144="","",J144*K144)</f>
        <v/>
      </c>
      <c r="M144" s="46">
        <f>IF(L144="","",L144*S_VAT)</f>
        <v/>
      </c>
      <c r="N144" s="46">
        <f>IF(L144="","",L144+M144)</f>
        <v/>
      </c>
      <c r="O144" s="47" t="n"/>
      <c r="P144" s="46">
        <f>IF(A144="","",SUMIFS('استلام المواد'!$K$5:$K$304,'استلام المواد'!$C$5:$C$304,A144))</f>
        <v/>
      </c>
      <c r="Q144" s="46">
        <f>IF(A144="","",J144-P144)</f>
        <v/>
      </c>
      <c r="R144" s="49">
        <f>IF(A144="","",IF(F144="لا","مادة غير معتمدة!",IF(P144&gt;=J144,"مكتمل",IF(AND(O144&lt;&gt;"",TODAY()&gt;O144),"متأخر التوريد",IF(P144&gt;0,"توريد جزئي","لم يُورد بعد")))))</f>
        <v/>
      </c>
    </row>
    <row r="145">
      <c r="A145" s="39">
        <f>IF(C145="","","PO-"&amp;TEXT(ROW()-4,"0000"))</f>
        <v/>
      </c>
      <c r="B145" s="47" t="n"/>
      <c r="C145" s="50" t="n"/>
      <c r="D145" s="40" t="n"/>
      <c r="E145" s="40" t="n"/>
      <c r="F145" s="49">
        <f>IF(E145="","",IFERROR(INDEX('اعتماد المواد'!$P$5:$P$304,MATCH(E145,'اعتماد المواد'!$A$5:$A$304,0)),""))</f>
        <v/>
      </c>
      <c r="G145" s="50" t="n"/>
      <c r="H145" s="40" t="n"/>
      <c r="I145" s="50" t="n"/>
      <c r="J145" s="41" t="n"/>
      <c r="K145" s="41" t="n"/>
      <c r="L145" s="46">
        <f>IF(J145="","",J145*K145)</f>
        <v/>
      </c>
      <c r="M145" s="46">
        <f>IF(L145="","",L145*S_VAT)</f>
        <v/>
      </c>
      <c r="N145" s="46">
        <f>IF(L145="","",L145+M145)</f>
        <v/>
      </c>
      <c r="O145" s="47" t="n"/>
      <c r="P145" s="46">
        <f>IF(A145="","",SUMIFS('استلام المواد'!$K$5:$K$304,'استلام المواد'!$C$5:$C$304,A145))</f>
        <v/>
      </c>
      <c r="Q145" s="46">
        <f>IF(A145="","",J145-P145)</f>
        <v/>
      </c>
      <c r="R145" s="49">
        <f>IF(A145="","",IF(F145="لا","مادة غير معتمدة!",IF(P145&gt;=J145,"مكتمل",IF(AND(O145&lt;&gt;"",TODAY()&gt;O145),"متأخر التوريد",IF(P145&gt;0,"توريد جزئي","لم يُورد بعد")))))</f>
        <v/>
      </c>
    </row>
    <row r="146">
      <c r="A146" s="39">
        <f>IF(C146="","","PO-"&amp;TEXT(ROW()-4,"0000"))</f>
        <v/>
      </c>
      <c r="B146" s="47" t="n"/>
      <c r="C146" s="50" t="n"/>
      <c r="D146" s="40" t="n"/>
      <c r="E146" s="40" t="n"/>
      <c r="F146" s="49">
        <f>IF(E146="","",IFERROR(INDEX('اعتماد المواد'!$P$5:$P$304,MATCH(E146,'اعتماد المواد'!$A$5:$A$304,0)),""))</f>
        <v/>
      </c>
      <c r="G146" s="50" t="n"/>
      <c r="H146" s="40" t="n"/>
      <c r="I146" s="50" t="n"/>
      <c r="J146" s="41" t="n"/>
      <c r="K146" s="41" t="n"/>
      <c r="L146" s="46">
        <f>IF(J146="","",J146*K146)</f>
        <v/>
      </c>
      <c r="M146" s="46">
        <f>IF(L146="","",L146*S_VAT)</f>
        <v/>
      </c>
      <c r="N146" s="46">
        <f>IF(L146="","",L146+M146)</f>
        <v/>
      </c>
      <c r="O146" s="47" t="n"/>
      <c r="P146" s="46">
        <f>IF(A146="","",SUMIFS('استلام المواد'!$K$5:$K$304,'استلام المواد'!$C$5:$C$304,A146))</f>
        <v/>
      </c>
      <c r="Q146" s="46">
        <f>IF(A146="","",J146-P146)</f>
        <v/>
      </c>
      <c r="R146" s="49">
        <f>IF(A146="","",IF(F146="لا","مادة غير معتمدة!",IF(P146&gt;=J146,"مكتمل",IF(AND(O146&lt;&gt;"",TODAY()&gt;O146),"متأخر التوريد",IF(P146&gt;0,"توريد جزئي","لم يُورد بعد")))))</f>
        <v/>
      </c>
    </row>
    <row r="147">
      <c r="A147" s="39">
        <f>IF(C147="","","PO-"&amp;TEXT(ROW()-4,"0000"))</f>
        <v/>
      </c>
      <c r="B147" s="47" t="n"/>
      <c r="C147" s="50" t="n"/>
      <c r="D147" s="40" t="n"/>
      <c r="E147" s="40" t="n"/>
      <c r="F147" s="49">
        <f>IF(E147="","",IFERROR(INDEX('اعتماد المواد'!$P$5:$P$304,MATCH(E147,'اعتماد المواد'!$A$5:$A$304,0)),""))</f>
        <v/>
      </c>
      <c r="G147" s="50" t="n"/>
      <c r="H147" s="40" t="n"/>
      <c r="I147" s="50" t="n"/>
      <c r="J147" s="41" t="n"/>
      <c r="K147" s="41" t="n"/>
      <c r="L147" s="46">
        <f>IF(J147="","",J147*K147)</f>
        <v/>
      </c>
      <c r="M147" s="46">
        <f>IF(L147="","",L147*S_VAT)</f>
        <v/>
      </c>
      <c r="N147" s="46">
        <f>IF(L147="","",L147+M147)</f>
        <v/>
      </c>
      <c r="O147" s="47" t="n"/>
      <c r="P147" s="46">
        <f>IF(A147="","",SUMIFS('استلام المواد'!$K$5:$K$304,'استلام المواد'!$C$5:$C$304,A147))</f>
        <v/>
      </c>
      <c r="Q147" s="46">
        <f>IF(A147="","",J147-P147)</f>
        <v/>
      </c>
      <c r="R147" s="49">
        <f>IF(A147="","",IF(F147="لا","مادة غير معتمدة!",IF(P147&gt;=J147,"مكتمل",IF(AND(O147&lt;&gt;"",TODAY()&gt;O147),"متأخر التوريد",IF(P147&gt;0,"توريد جزئي","لم يُورد بعد")))))</f>
        <v/>
      </c>
    </row>
    <row r="148">
      <c r="A148" s="39">
        <f>IF(C148="","","PO-"&amp;TEXT(ROW()-4,"0000"))</f>
        <v/>
      </c>
      <c r="B148" s="47" t="n"/>
      <c r="C148" s="50" t="n"/>
      <c r="D148" s="40" t="n"/>
      <c r="E148" s="40" t="n"/>
      <c r="F148" s="49">
        <f>IF(E148="","",IFERROR(INDEX('اعتماد المواد'!$P$5:$P$304,MATCH(E148,'اعتماد المواد'!$A$5:$A$304,0)),""))</f>
        <v/>
      </c>
      <c r="G148" s="50" t="n"/>
      <c r="H148" s="40" t="n"/>
      <c r="I148" s="50" t="n"/>
      <c r="J148" s="41" t="n"/>
      <c r="K148" s="41" t="n"/>
      <c r="L148" s="46">
        <f>IF(J148="","",J148*K148)</f>
        <v/>
      </c>
      <c r="M148" s="46">
        <f>IF(L148="","",L148*S_VAT)</f>
        <v/>
      </c>
      <c r="N148" s="46">
        <f>IF(L148="","",L148+M148)</f>
        <v/>
      </c>
      <c r="O148" s="47" t="n"/>
      <c r="P148" s="46">
        <f>IF(A148="","",SUMIFS('استلام المواد'!$K$5:$K$304,'استلام المواد'!$C$5:$C$304,A148))</f>
        <v/>
      </c>
      <c r="Q148" s="46">
        <f>IF(A148="","",J148-P148)</f>
        <v/>
      </c>
      <c r="R148" s="49">
        <f>IF(A148="","",IF(F148="لا","مادة غير معتمدة!",IF(P148&gt;=J148,"مكتمل",IF(AND(O148&lt;&gt;"",TODAY()&gt;O148),"متأخر التوريد",IF(P148&gt;0,"توريد جزئي","لم يُورد بعد")))))</f>
        <v/>
      </c>
    </row>
    <row r="149">
      <c r="A149" s="39">
        <f>IF(C149="","","PO-"&amp;TEXT(ROW()-4,"0000"))</f>
        <v/>
      </c>
      <c r="B149" s="47" t="n"/>
      <c r="C149" s="50" t="n"/>
      <c r="D149" s="40" t="n"/>
      <c r="E149" s="40" t="n"/>
      <c r="F149" s="49">
        <f>IF(E149="","",IFERROR(INDEX('اعتماد المواد'!$P$5:$P$304,MATCH(E149,'اعتماد المواد'!$A$5:$A$304,0)),""))</f>
        <v/>
      </c>
      <c r="G149" s="50" t="n"/>
      <c r="H149" s="40" t="n"/>
      <c r="I149" s="50" t="n"/>
      <c r="J149" s="41" t="n"/>
      <c r="K149" s="41" t="n"/>
      <c r="L149" s="46">
        <f>IF(J149="","",J149*K149)</f>
        <v/>
      </c>
      <c r="M149" s="46">
        <f>IF(L149="","",L149*S_VAT)</f>
        <v/>
      </c>
      <c r="N149" s="46">
        <f>IF(L149="","",L149+M149)</f>
        <v/>
      </c>
      <c r="O149" s="47" t="n"/>
      <c r="P149" s="46">
        <f>IF(A149="","",SUMIFS('استلام المواد'!$K$5:$K$304,'استلام المواد'!$C$5:$C$304,A149))</f>
        <v/>
      </c>
      <c r="Q149" s="46">
        <f>IF(A149="","",J149-P149)</f>
        <v/>
      </c>
      <c r="R149" s="49">
        <f>IF(A149="","",IF(F149="لا","مادة غير معتمدة!",IF(P149&gt;=J149,"مكتمل",IF(AND(O149&lt;&gt;"",TODAY()&gt;O149),"متأخر التوريد",IF(P149&gt;0,"توريد جزئي","لم يُورد بعد")))))</f>
        <v/>
      </c>
    </row>
    <row r="150">
      <c r="A150" s="39">
        <f>IF(C150="","","PO-"&amp;TEXT(ROW()-4,"0000"))</f>
        <v/>
      </c>
      <c r="B150" s="47" t="n"/>
      <c r="C150" s="50" t="n"/>
      <c r="D150" s="40" t="n"/>
      <c r="E150" s="40" t="n"/>
      <c r="F150" s="49">
        <f>IF(E150="","",IFERROR(INDEX('اعتماد المواد'!$P$5:$P$304,MATCH(E150,'اعتماد المواد'!$A$5:$A$304,0)),""))</f>
        <v/>
      </c>
      <c r="G150" s="50" t="n"/>
      <c r="H150" s="40" t="n"/>
      <c r="I150" s="50" t="n"/>
      <c r="J150" s="41" t="n"/>
      <c r="K150" s="41" t="n"/>
      <c r="L150" s="46">
        <f>IF(J150="","",J150*K150)</f>
        <v/>
      </c>
      <c r="M150" s="46">
        <f>IF(L150="","",L150*S_VAT)</f>
        <v/>
      </c>
      <c r="N150" s="46">
        <f>IF(L150="","",L150+M150)</f>
        <v/>
      </c>
      <c r="O150" s="47" t="n"/>
      <c r="P150" s="46">
        <f>IF(A150="","",SUMIFS('استلام المواد'!$K$5:$K$304,'استلام المواد'!$C$5:$C$304,A150))</f>
        <v/>
      </c>
      <c r="Q150" s="46">
        <f>IF(A150="","",J150-P150)</f>
        <v/>
      </c>
      <c r="R150" s="49">
        <f>IF(A150="","",IF(F150="لا","مادة غير معتمدة!",IF(P150&gt;=J150,"مكتمل",IF(AND(O150&lt;&gt;"",TODAY()&gt;O150),"متأخر التوريد",IF(P150&gt;0,"توريد جزئي","لم يُورد بعد")))))</f>
        <v/>
      </c>
    </row>
    <row r="151">
      <c r="A151" s="39">
        <f>IF(C151="","","PO-"&amp;TEXT(ROW()-4,"0000"))</f>
        <v/>
      </c>
      <c r="B151" s="47" t="n"/>
      <c r="C151" s="50" t="n"/>
      <c r="D151" s="40" t="n"/>
      <c r="E151" s="40" t="n"/>
      <c r="F151" s="49">
        <f>IF(E151="","",IFERROR(INDEX('اعتماد المواد'!$P$5:$P$304,MATCH(E151,'اعتماد المواد'!$A$5:$A$304,0)),""))</f>
        <v/>
      </c>
      <c r="G151" s="50" t="n"/>
      <c r="H151" s="40" t="n"/>
      <c r="I151" s="50" t="n"/>
      <c r="J151" s="41" t="n"/>
      <c r="K151" s="41" t="n"/>
      <c r="L151" s="46">
        <f>IF(J151="","",J151*K151)</f>
        <v/>
      </c>
      <c r="M151" s="46">
        <f>IF(L151="","",L151*S_VAT)</f>
        <v/>
      </c>
      <c r="N151" s="46">
        <f>IF(L151="","",L151+M151)</f>
        <v/>
      </c>
      <c r="O151" s="47" t="n"/>
      <c r="P151" s="46">
        <f>IF(A151="","",SUMIFS('استلام المواد'!$K$5:$K$304,'استلام المواد'!$C$5:$C$304,A151))</f>
        <v/>
      </c>
      <c r="Q151" s="46">
        <f>IF(A151="","",J151-P151)</f>
        <v/>
      </c>
      <c r="R151" s="49">
        <f>IF(A151="","",IF(F151="لا","مادة غير معتمدة!",IF(P151&gt;=J151,"مكتمل",IF(AND(O151&lt;&gt;"",TODAY()&gt;O151),"متأخر التوريد",IF(P151&gt;0,"توريد جزئي","لم يُورد بعد")))))</f>
        <v/>
      </c>
    </row>
    <row r="152">
      <c r="A152" s="39">
        <f>IF(C152="","","PO-"&amp;TEXT(ROW()-4,"0000"))</f>
        <v/>
      </c>
      <c r="B152" s="47" t="n"/>
      <c r="C152" s="50" t="n"/>
      <c r="D152" s="40" t="n"/>
      <c r="E152" s="40" t="n"/>
      <c r="F152" s="49">
        <f>IF(E152="","",IFERROR(INDEX('اعتماد المواد'!$P$5:$P$304,MATCH(E152,'اعتماد المواد'!$A$5:$A$304,0)),""))</f>
        <v/>
      </c>
      <c r="G152" s="50" t="n"/>
      <c r="H152" s="40" t="n"/>
      <c r="I152" s="50" t="n"/>
      <c r="J152" s="41" t="n"/>
      <c r="K152" s="41" t="n"/>
      <c r="L152" s="46">
        <f>IF(J152="","",J152*K152)</f>
        <v/>
      </c>
      <c r="M152" s="46">
        <f>IF(L152="","",L152*S_VAT)</f>
        <v/>
      </c>
      <c r="N152" s="46">
        <f>IF(L152="","",L152+M152)</f>
        <v/>
      </c>
      <c r="O152" s="47" t="n"/>
      <c r="P152" s="46">
        <f>IF(A152="","",SUMIFS('استلام المواد'!$K$5:$K$304,'استلام المواد'!$C$5:$C$304,A152))</f>
        <v/>
      </c>
      <c r="Q152" s="46">
        <f>IF(A152="","",J152-P152)</f>
        <v/>
      </c>
      <c r="R152" s="49">
        <f>IF(A152="","",IF(F152="لا","مادة غير معتمدة!",IF(P152&gt;=J152,"مكتمل",IF(AND(O152&lt;&gt;"",TODAY()&gt;O152),"متأخر التوريد",IF(P152&gt;0,"توريد جزئي","لم يُورد بعد")))))</f>
        <v/>
      </c>
    </row>
    <row r="153">
      <c r="A153" s="39">
        <f>IF(C153="","","PO-"&amp;TEXT(ROW()-4,"0000"))</f>
        <v/>
      </c>
      <c r="B153" s="47" t="n"/>
      <c r="C153" s="50" t="n"/>
      <c r="D153" s="40" t="n"/>
      <c r="E153" s="40" t="n"/>
      <c r="F153" s="49">
        <f>IF(E153="","",IFERROR(INDEX('اعتماد المواد'!$P$5:$P$304,MATCH(E153,'اعتماد المواد'!$A$5:$A$304,0)),""))</f>
        <v/>
      </c>
      <c r="G153" s="50" t="n"/>
      <c r="H153" s="40" t="n"/>
      <c r="I153" s="50" t="n"/>
      <c r="J153" s="41" t="n"/>
      <c r="K153" s="41" t="n"/>
      <c r="L153" s="46">
        <f>IF(J153="","",J153*K153)</f>
        <v/>
      </c>
      <c r="M153" s="46">
        <f>IF(L153="","",L153*S_VAT)</f>
        <v/>
      </c>
      <c r="N153" s="46">
        <f>IF(L153="","",L153+M153)</f>
        <v/>
      </c>
      <c r="O153" s="47" t="n"/>
      <c r="P153" s="46">
        <f>IF(A153="","",SUMIFS('استلام المواد'!$K$5:$K$304,'استلام المواد'!$C$5:$C$304,A153))</f>
        <v/>
      </c>
      <c r="Q153" s="46">
        <f>IF(A153="","",J153-P153)</f>
        <v/>
      </c>
      <c r="R153" s="49">
        <f>IF(A153="","",IF(F153="لا","مادة غير معتمدة!",IF(P153&gt;=J153,"مكتمل",IF(AND(O153&lt;&gt;"",TODAY()&gt;O153),"متأخر التوريد",IF(P153&gt;0,"توريد جزئي","لم يُورد بعد")))))</f>
        <v/>
      </c>
    </row>
    <row r="154">
      <c r="A154" s="39">
        <f>IF(C154="","","PO-"&amp;TEXT(ROW()-4,"0000"))</f>
        <v/>
      </c>
      <c r="B154" s="47" t="n"/>
      <c r="C154" s="50" t="n"/>
      <c r="D154" s="40" t="n"/>
      <c r="E154" s="40" t="n"/>
      <c r="F154" s="49">
        <f>IF(E154="","",IFERROR(INDEX('اعتماد المواد'!$P$5:$P$304,MATCH(E154,'اعتماد المواد'!$A$5:$A$304,0)),""))</f>
        <v/>
      </c>
      <c r="G154" s="50" t="n"/>
      <c r="H154" s="40" t="n"/>
      <c r="I154" s="50" t="n"/>
      <c r="J154" s="41" t="n"/>
      <c r="K154" s="41" t="n"/>
      <c r="L154" s="46">
        <f>IF(J154="","",J154*K154)</f>
        <v/>
      </c>
      <c r="M154" s="46">
        <f>IF(L154="","",L154*S_VAT)</f>
        <v/>
      </c>
      <c r="N154" s="46">
        <f>IF(L154="","",L154+M154)</f>
        <v/>
      </c>
      <c r="O154" s="47" t="n"/>
      <c r="P154" s="46">
        <f>IF(A154="","",SUMIFS('استلام المواد'!$K$5:$K$304,'استلام المواد'!$C$5:$C$304,A154))</f>
        <v/>
      </c>
      <c r="Q154" s="46">
        <f>IF(A154="","",J154-P154)</f>
        <v/>
      </c>
      <c r="R154" s="49">
        <f>IF(A154="","",IF(F154="لا","مادة غير معتمدة!",IF(P154&gt;=J154,"مكتمل",IF(AND(O154&lt;&gt;"",TODAY()&gt;O154),"متأخر التوريد",IF(P154&gt;0,"توريد جزئي","لم يُورد بعد")))))</f>
        <v/>
      </c>
    </row>
    <row r="155">
      <c r="A155" s="39">
        <f>IF(C155="","","PO-"&amp;TEXT(ROW()-4,"0000"))</f>
        <v/>
      </c>
      <c r="B155" s="47" t="n"/>
      <c r="C155" s="50" t="n"/>
      <c r="D155" s="40" t="n"/>
      <c r="E155" s="40" t="n"/>
      <c r="F155" s="49">
        <f>IF(E155="","",IFERROR(INDEX('اعتماد المواد'!$P$5:$P$304,MATCH(E155,'اعتماد المواد'!$A$5:$A$304,0)),""))</f>
        <v/>
      </c>
      <c r="G155" s="50" t="n"/>
      <c r="H155" s="40" t="n"/>
      <c r="I155" s="50" t="n"/>
      <c r="J155" s="41" t="n"/>
      <c r="K155" s="41" t="n"/>
      <c r="L155" s="46">
        <f>IF(J155="","",J155*K155)</f>
        <v/>
      </c>
      <c r="M155" s="46">
        <f>IF(L155="","",L155*S_VAT)</f>
        <v/>
      </c>
      <c r="N155" s="46">
        <f>IF(L155="","",L155+M155)</f>
        <v/>
      </c>
      <c r="O155" s="47" t="n"/>
      <c r="P155" s="46">
        <f>IF(A155="","",SUMIFS('استلام المواد'!$K$5:$K$304,'استلام المواد'!$C$5:$C$304,A155))</f>
        <v/>
      </c>
      <c r="Q155" s="46">
        <f>IF(A155="","",J155-P155)</f>
        <v/>
      </c>
      <c r="R155" s="49">
        <f>IF(A155="","",IF(F155="لا","مادة غير معتمدة!",IF(P155&gt;=J155,"مكتمل",IF(AND(O155&lt;&gt;"",TODAY()&gt;O155),"متأخر التوريد",IF(P155&gt;0,"توريد جزئي","لم يُورد بعد")))))</f>
        <v/>
      </c>
    </row>
    <row r="156">
      <c r="A156" s="39">
        <f>IF(C156="","","PO-"&amp;TEXT(ROW()-4,"0000"))</f>
        <v/>
      </c>
      <c r="B156" s="47" t="n"/>
      <c r="C156" s="50" t="n"/>
      <c r="D156" s="40" t="n"/>
      <c r="E156" s="40" t="n"/>
      <c r="F156" s="49">
        <f>IF(E156="","",IFERROR(INDEX('اعتماد المواد'!$P$5:$P$304,MATCH(E156,'اعتماد المواد'!$A$5:$A$304,0)),""))</f>
        <v/>
      </c>
      <c r="G156" s="50" t="n"/>
      <c r="H156" s="40" t="n"/>
      <c r="I156" s="50" t="n"/>
      <c r="J156" s="41" t="n"/>
      <c r="K156" s="41" t="n"/>
      <c r="L156" s="46">
        <f>IF(J156="","",J156*K156)</f>
        <v/>
      </c>
      <c r="M156" s="46">
        <f>IF(L156="","",L156*S_VAT)</f>
        <v/>
      </c>
      <c r="N156" s="46">
        <f>IF(L156="","",L156+M156)</f>
        <v/>
      </c>
      <c r="O156" s="47" t="n"/>
      <c r="P156" s="46">
        <f>IF(A156="","",SUMIFS('استلام المواد'!$K$5:$K$304,'استلام المواد'!$C$5:$C$304,A156))</f>
        <v/>
      </c>
      <c r="Q156" s="46">
        <f>IF(A156="","",J156-P156)</f>
        <v/>
      </c>
      <c r="R156" s="49">
        <f>IF(A156="","",IF(F156="لا","مادة غير معتمدة!",IF(P156&gt;=J156,"مكتمل",IF(AND(O156&lt;&gt;"",TODAY()&gt;O156),"متأخر التوريد",IF(P156&gt;0,"توريد جزئي","لم يُورد بعد")))))</f>
        <v/>
      </c>
    </row>
    <row r="157">
      <c r="A157" s="39">
        <f>IF(C157="","","PO-"&amp;TEXT(ROW()-4,"0000"))</f>
        <v/>
      </c>
      <c r="B157" s="47" t="n"/>
      <c r="C157" s="50" t="n"/>
      <c r="D157" s="40" t="n"/>
      <c r="E157" s="40" t="n"/>
      <c r="F157" s="49">
        <f>IF(E157="","",IFERROR(INDEX('اعتماد المواد'!$P$5:$P$304,MATCH(E157,'اعتماد المواد'!$A$5:$A$304,0)),""))</f>
        <v/>
      </c>
      <c r="G157" s="50" t="n"/>
      <c r="H157" s="40" t="n"/>
      <c r="I157" s="50" t="n"/>
      <c r="J157" s="41" t="n"/>
      <c r="K157" s="41" t="n"/>
      <c r="L157" s="46">
        <f>IF(J157="","",J157*K157)</f>
        <v/>
      </c>
      <c r="M157" s="46">
        <f>IF(L157="","",L157*S_VAT)</f>
        <v/>
      </c>
      <c r="N157" s="46">
        <f>IF(L157="","",L157+M157)</f>
        <v/>
      </c>
      <c r="O157" s="47" t="n"/>
      <c r="P157" s="46">
        <f>IF(A157="","",SUMIFS('استلام المواد'!$K$5:$K$304,'استلام المواد'!$C$5:$C$304,A157))</f>
        <v/>
      </c>
      <c r="Q157" s="46">
        <f>IF(A157="","",J157-P157)</f>
        <v/>
      </c>
      <c r="R157" s="49">
        <f>IF(A157="","",IF(F157="لا","مادة غير معتمدة!",IF(P157&gt;=J157,"مكتمل",IF(AND(O157&lt;&gt;"",TODAY()&gt;O157),"متأخر التوريد",IF(P157&gt;0,"توريد جزئي","لم يُورد بعد")))))</f>
        <v/>
      </c>
    </row>
    <row r="158">
      <c r="A158" s="39">
        <f>IF(C158="","","PO-"&amp;TEXT(ROW()-4,"0000"))</f>
        <v/>
      </c>
      <c r="B158" s="47" t="n"/>
      <c r="C158" s="50" t="n"/>
      <c r="D158" s="40" t="n"/>
      <c r="E158" s="40" t="n"/>
      <c r="F158" s="49">
        <f>IF(E158="","",IFERROR(INDEX('اعتماد المواد'!$P$5:$P$304,MATCH(E158,'اعتماد المواد'!$A$5:$A$304,0)),""))</f>
        <v/>
      </c>
      <c r="G158" s="50" t="n"/>
      <c r="H158" s="40" t="n"/>
      <c r="I158" s="50" t="n"/>
      <c r="J158" s="41" t="n"/>
      <c r="K158" s="41" t="n"/>
      <c r="L158" s="46">
        <f>IF(J158="","",J158*K158)</f>
        <v/>
      </c>
      <c r="M158" s="46">
        <f>IF(L158="","",L158*S_VAT)</f>
        <v/>
      </c>
      <c r="N158" s="46">
        <f>IF(L158="","",L158+M158)</f>
        <v/>
      </c>
      <c r="O158" s="47" t="n"/>
      <c r="P158" s="46">
        <f>IF(A158="","",SUMIFS('استلام المواد'!$K$5:$K$304,'استلام المواد'!$C$5:$C$304,A158))</f>
        <v/>
      </c>
      <c r="Q158" s="46">
        <f>IF(A158="","",J158-P158)</f>
        <v/>
      </c>
      <c r="R158" s="49">
        <f>IF(A158="","",IF(F158="لا","مادة غير معتمدة!",IF(P158&gt;=J158,"مكتمل",IF(AND(O158&lt;&gt;"",TODAY()&gt;O158),"متأخر التوريد",IF(P158&gt;0,"توريد جزئي","لم يُورد بعد")))))</f>
        <v/>
      </c>
    </row>
    <row r="159">
      <c r="A159" s="39">
        <f>IF(C159="","","PO-"&amp;TEXT(ROW()-4,"0000"))</f>
        <v/>
      </c>
      <c r="B159" s="47" t="n"/>
      <c r="C159" s="50" t="n"/>
      <c r="D159" s="40" t="n"/>
      <c r="E159" s="40" t="n"/>
      <c r="F159" s="49">
        <f>IF(E159="","",IFERROR(INDEX('اعتماد المواد'!$P$5:$P$304,MATCH(E159,'اعتماد المواد'!$A$5:$A$304,0)),""))</f>
        <v/>
      </c>
      <c r="G159" s="50" t="n"/>
      <c r="H159" s="40" t="n"/>
      <c r="I159" s="50" t="n"/>
      <c r="J159" s="41" t="n"/>
      <c r="K159" s="41" t="n"/>
      <c r="L159" s="46">
        <f>IF(J159="","",J159*K159)</f>
        <v/>
      </c>
      <c r="M159" s="46">
        <f>IF(L159="","",L159*S_VAT)</f>
        <v/>
      </c>
      <c r="N159" s="46">
        <f>IF(L159="","",L159+M159)</f>
        <v/>
      </c>
      <c r="O159" s="47" t="n"/>
      <c r="P159" s="46">
        <f>IF(A159="","",SUMIFS('استلام المواد'!$K$5:$K$304,'استلام المواد'!$C$5:$C$304,A159))</f>
        <v/>
      </c>
      <c r="Q159" s="46">
        <f>IF(A159="","",J159-P159)</f>
        <v/>
      </c>
      <c r="R159" s="49">
        <f>IF(A159="","",IF(F159="لا","مادة غير معتمدة!",IF(P159&gt;=J159,"مكتمل",IF(AND(O159&lt;&gt;"",TODAY()&gt;O159),"متأخر التوريد",IF(P159&gt;0,"توريد جزئي","لم يُورد بعد")))))</f>
        <v/>
      </c>
    </row>
    <row r="160">
      <c r="A160" s="39">
        <f>IF(C160="","","PO-"&amp;TEXT(ROW()-4,"0000"))</f>
        <v/>
      </c>
      <c r="B160" s="47" t="n"/>
      <c r="C160" s="50" t="n"/>
      <c r="D160" s="40" t="n"/>
      <c r="E160" s="40" t="n"/>
      <c r="F160" s="49">
        <f>IF(E160="","",IFERROR(INDEX('اعتماد المواد'!$P$5:$P$304,MATCH(E160,'اعتماد المواد'!$A$5:$A$304,0)),""))</f>
        <v/>
      </c>
      <c r="G160" s="50" t="n"/>
      <c r="H160" s="40" t="n"/>
      <c r="I160" s="50" t="n"/>
      <c r="J160" s="41" t="n"/>
      <c r="K160" s="41" t="n"/>
      <c r="L160" s="46">
        <f>IF(J160="","",J160*K160)</f>
        <v/>
      </c>
      <c r="M160" s="46">
        <f>IF(L160="","",L160*S_VAT)</f>
        <v/>
      </c>
      <c r="N160" s="46">
        <f>IF(L160="","",L160+M160)</f>
        <v/>
      </c>
      <c r="O160" s="47" t="n"/>
      <c r="P160" s="46">
        <f>IF(A160="","",SUMIFS('استلام المواد'!$K$5:$K$304,'استلام المواد'!$C$5:$C$304,A160))</f>
        <v/>
      </c>
      <c r="Q160" s="46">
        <f>IF(A160="","",J160-P160)</f>
        <v/>
      </c>
      <c r="R160" s="49">
        <f>IF(A160="","",IF(F160="لا","مادة غير معتمدة!",IF(P160&gt;=J160,"مكتمل",IF(AND(O160&lt;&gt;"",TODAY()&gt;O160),"متأخر التوريد",IF(P160&gt;0,"توريد جزئي","لم يُورد بعد")))))</f>
        <v/>
      </c>
    </row>
    <row r="161">
      <c r="A161" s="39">
        <f>IF(C161="","","PO-"&amp;TEXT(ROW()-4,"0000"))</f>
        <v/>
      </c>
      <c r="B161" s="47" t="n"/>
      <c r="C161" s="50" t="n"/>
      <c r="D161" s="40" t="n"/>
      <c r="E161" s="40" t="n"/>
      <c r="F161" s="49">
        <f>IF(E161="","",IFERROR(INDEX('اعتماد المواد'!$P$5:$P$304,MATCH(E161,'اعتماد المواد'!$A$5:$A$304,0)),""))</f>
        <v/>
      </c>
      <c r="G161" s="50" t="n"/>
      <c r="H161" s="40" t="n"/>
      <c r="I161" s="50" t="n"/>
      <c r="J161" s="41" t="n"/>
      <c r="K161" s="41" t="n"/>
      <c r="L161" s="46">
        <f>IF(J161="","",J161*K161)</f>
        <v/>
      </c>
      <c r="M161" s="46">
        <f>IF(L161="","",L161*S_VAT)</f>
        <v/>
      </c>
      <c r="N161" s="46">
        <f>IF(L161="","",L161+M161)</f>
        <v/>
      </c>
      <c r="O161" s="47" t="n"/>
      <c r="P161" s="46">
        <f>IF(A161="","",SUMIFS('استلام المواد'!$K$5:$K$304,'استلام المواد'!$C$5:$C$304,A161))</f>
        <v/>
      </c>
      <c r="Q161" s="46">
        <f>IF(A161="","",J161-P161)</f>
        <v/>
      </c>
      <c r="R161" s="49">
        <f>IF(A161="","",IF(F161="لا","مادة غير معتمدة!",IF(P161&gt;=J161,"مكتمل",IF(AND(O161&lt;&gt;"",TODAY()&gt;O161),"متأخر التوريد",IF(P161&gt;0,"توريد جزئي","لم يُورد بعد")))))</f>
        <v/>
      </c>
    </row>
    <row r="162">
      <c r="A162" s="39">
        <f>IF(C162="","","PO-"&amp;TEXT(ROW()-4,"0000"))</f>
        <v/>
      </c>
      <c r="B162" s="47" t="n"/>
      <c r="C162" s="50" t="n"/>
      <c r="D162" s="40" t="n"/>
      <c r="E162" s="40" t="n"/>
      <c r="F162" s="49">
        <f>IF(E162="","",IFERROR(INDEX('اعتماد المواد'!$P$5:$P$304,MATCH(E162,'اعتماد المواد'!$A$5:$A$304,0)),""))</f>
        <v/>
      </c>
      <c r="G162" s="50" t="n"/>
      <c r="H162" s="40" t="n"/>
      <c r="I162" s="50" t="n"/>
      <c r="J162" s="41" t="n"/>
      <c r="K162" s="41" t="n"/>
      <c r="L162" s="46">
        <f>IF(J162="","",J162*K162)</f>
        <v/>
      </c>
      <c r="M162" s="46">
        <f>IF(L162="","",L162*S_VAT)</f>
        <v/>
      </c>
      <c r="N162" s="46">
        <f>IF(L162="","",L162+M162)</f>
        <v/>
      </c>
      <c r="O162" s="47" t="n"/>
      <c r="P162" s="46">
        <f>IF(A162="","",SUMIFS('استلام المواد'!$K$5:$K$304,'استلام المواد'!$C$5:$C$304,A162))</f>
        <v/>
      </c>
      <c r="Q162" s="46">
        <f>IF(A162="","",J162-P162)</f>
        <v/>
      </c>
      <c r="R162" s="49">
        <f>IF(A162="","",IF(F162="لا","مادة غير معتمدة!",IF(P162&gt;=J162,"مكتمل",IF(AND(O162&lt;&gt;"",TODAY()&gt;O162),"متأخر التوريد",IF(P162&gt;0,"توريد جزئي","لم يُورد بعد")))))</f>
        <v/>
      </c>
    </row>
    <row r="163">
      <c r="A163" s="39">
        <f>IF(C163="","","PO-"&amp;TEXT(ROW()-4,"0000"))</f>
        <v/>
      </c>
      <c r="B163" s="47" t="n"/>
      <c r="C163" s="50" t="n"/>
      <c r="D163" s="40" t="n"/>
      <c r="E163" s="40" t="n"/>
      <c r="F163" s="49">
        <f>IF(E163="","",IFERROR(INDEX('اعتماد المواد'!$P$5:$P$304,MATCH(E163,'اعتماد المواد'!$A$5:$A$304,0)),""))</f>
        <v/>
      </c>
      <c r="G163" s="50" t="n"/>
      <c r="H163" s="40" t="n"/>
      <c r="I163" s="50" t="n"/>
      <c r="J163" s="41" t="n"/>
      <c r="K163" s="41" t="n"/>
      <c r="L163" s="46">
        <f>IF(J163="","",J163*K163)</f>
        <v/>
      </c>
      <c r="M163" s="46">
        <f>IF(L163="","",L163*S_VAT)</f>
        <v/>
      </c>
      <c r="N163" s="46">
        <f>IF(L163="","",L163+M163)</f>
        <v/>
      </c>
      <c r="O163" s="47" t="n"/>
      <c r="P163" s="46">
        <f>IF(A163="","",SUMIFS('استلام المواد'!$K$5:$K$304,'استلام المواد'!$C$5:$C$304,A163))</f>
        <v/>
      </c>
      <c r="Q163" s="46">
        <f>IF(A163="","",J163-P163)</f>
        <v/>
      </c>
      <c r="R163" s="49">
        <f>IF(A163="","",IF(F163="لا","مادة غير معتمدة!",IF(P163&gt;=J163,"مكتمل",IF(AND(O163&lt;&gt;"",TODAY()&gt;O163),"متأخر التوريد",IF(P163&gt;0,"توريد جزئي","لم يُورد بعد")))))</f>
        <v/>
      </c>
    </row>
    <row r="164">
      <c r="A164" s="39">
        <f>IF(C164="","","PO-"&amp;TEXT(ROW()-4,"0000"))</f>
        <v/>
      </c>
      <c r="B164" s="47" t="n"/>
      <c r="C164" s="50" t="n"/>
      <c r="D164" s="40" t="n"/>
      <c r="E164" s="40" t="n"/>
      <c r="F164" s="49">
        <f>IF(E164="","",IFERROR(INDEX('اعتماد المواد'!$P$5:$P$304,MATCH(E164,'اعتماد المواد'!$A$5:$A$304,0)),""))</f>
        <v/>
      </c>
      <c r="G164" s="50" t="n"/>
      <c r="H164" s="40" t="n"/>
      <c r="I164" s="50" t="n"/>
      <c r="J164" s="41" t="n"/>
      <c r="K164" s="41" t="n"/>
      <c r="L164" s="46">
        <f>IF(J164="","",J164*K164)</f>
        <v/>
      </c>
      <c r="M164" s="46">
        <f>IF(L164="","",L164*S_VAT)</f>
        <v/>
      </c>
      <c r="N164" s="46">
        <f>IF(L164="","",L164+M164)</f>
        <v/>
      </c>
      <c r="O164" s="47" t="n"/>
      <c r="P164" s="46">
        <f>IF(A164="","",SUMIFS('استلام المواد'!$K$5:$K$304,'استلام المواد'!$C$5:$C$304,A164))</f>
        <v/>
      </c>
      <c r="Q164" s="46">
        <f>IF(A164="","",J164-P164)</f>
        <v/>
      </c>
      <c r="R164" s="49">
        <f>IF(A164="","",IF(F164="لا","مادة غير معتمدة!",IF(P164&gt;=J164,"مكتمل",IF(AND(O164&lt;&gt;"",TODAY()&gt;O164),"متأخر التوريد",IF(P164&gt;0,"توريد جزئي","لم يُورد بعد")))))</f>
        <v/>
      </c>
    </row>
    <row r="165">
      <c r="A165" s="39">
        <f>IF(C165="","","PO-"&amp;TEXT(ROW()-4,"0000"))</f>
        <v/>
      </c>
      <c r="B165" s="47" t="n"/>
      <c r="C165" s="50" t="n"/>
      <c r="D165" s="40" t="n"/>
      <c r="E165" s="40" t="n"/>
      <c r="F165" s="49">
        <f>IF(E165="","",IFERROR(INDEX('اعتماد المواد'!$P$5:$P$304,MATCH(E165,'اعتماد المواد'!$A$5:$A$304,0)),""))</f>
        <v/>
      </c>
      <c r="G165" s="50" t="n"/>
      <c r="H165" s="40" t="n"/>
      <c r="I165" s="50" t="n"/>
      <c r="J165" s="41" t="n"/>
      <c r="K165" s="41" t="n"/>
      <c r="L165" s="46">
        <f>IF(J165="","",J165*K165)</f>
        <v/>
      </c>
      <c r="M165" s="46">
        <f>IF(L165="","",L165*S_VAT)</f>
        <v/>
      </c>
      <c r="N165" s="46">
        <f>IF(L165="","",L165+M165)</f>
        <v/>
      </c>
      <c r="O165" s="47" t="n"/>
      <c r="P165" s="46">
        <f>IF(A165="","",SUMIFS('استلام المواد'!$K$5:$K$304,'استلام المواد'!$C$5:$C$304,A165))</f>
        <v/>
      </c>
      <c r="Q165" s="46">
        <f>IF(A165="","",J165-P165)</f>
        <v/>
      </c>
      <c r="R165" s="49">
        <f>IF(A165="","",IF(F165="لا","مادة غير معتمدة!",IF(P165&gt;=J165,"مكتمل",IF(AND(O165&lt;&gt;"",TODAY()&gt;O165),"متأخر التوريد",IF(P165&gt;0,"توريد جزئي","لم يُورد بعد")))))</f>
        <v/>
      </c>
    </row>
    <row r="166">
      <c r="A166" s="39">
        <f>IF(C166="","","PO-"&amp;TEXT(ROW()-4,"0000"))</f>
        <v/>
      </c>
      <c r="B166" s="47" t="n"/>
      <c r="C166" s="50" t="n"/>
      <c r="D166" s="40" t="n"/>
      <c r="E166" s="40" t="n"/>
      <c r="F166" s="49">
        <f>IF(E166="","",IFERROR(INDEX('اعتماد المواد'!$P$5:$P$304,MATCH(E166,'اعتماد المواد'!$A$5:$A$304,0)),""))</f>
        <v/>
      </c>
      <c r="G166" s="50" t="n"/>
      <c r="H166" s="40" t="n"/>
      <c r="I166" s="50" t="n"/>
      <c r="J166" s="41" t="n"/>
      <c r="K166" s="41" t="n"/>
      <c r="L166" s="46">
        <f>IF(J166="","",J166*K166)</f>
        <v/>
      </c>
      <c r="M166" s="46">
        <f>IF(L166="","",L166*S_VAT)</f>
        <v/>
      </c>
      <c r="N166" s="46">
        <f>IF(L166="","",L166+M166)</f>
        <v/>
      </c>
      <c r="O166" s="47" t="n"/>
      <c r="P166" s="46">
        <f>IF(A166="","",SUMIFS('استلام المواد'!$K$5:$K$304,'استلام المواد'!$C$5:$C$304,A166))</f>
        <v/>
      </c>
      <c r="Q166" s="46">
        <f>IF(A166="","",J166-P166)</f>
        <v/>
      </c>
      <c r="R166" s="49">
        <f>IF(A166="","",IF(F166="لا","مادة غير معتمدة!",IF(P166&gt;=J166,"مكتمل",IF(AND(O166&lt;&gt;"",TODAY()&gt;O166),"متأخر التوريد",IF(P166&gt;0,"توريد جزئي","لم يُورد بعد")))))</f>
        <v/>
      </c>
    </row>
    <row r="167">
      <c r="A167" s="39">
        <f>IF(C167="","","PO-"&amp;TEXT(ROW()-4,"0000"))</f>
        <v/>
      </c>
      <c r="B167" s="47" t="n"/>
      <c r="C167" s="50" t="n"/>
      <c r="D167" s="40" t="n"/>
      <c r="E167" s="40" t="n"/>
      <c r="F167" s="49">
        <f>IF(E167="","",IFERROR(INDEX('اعتماد المواد'!$P$5:$P$304,MATCH(E167,'اعتماد المواد'!$A$5:$A$304,0)),""))</f>
        <v/>
      </c>
      <c r="G167" s="50" t="n"/>
      <c r="H167" s="40" t="n"/>
      <c r="I167" s="50" t="n"/>
      <c r="J167" s="41" t="n"/>
      <c r="K167" s="41" t="n"/>
      <c r="L167" s="46">
        <f>IF(J167="","",J167*K167)</f>
        <v/>
      </c>
      <c r="M167" s="46">
        <f>IF(L167="","",L167*S_VAT)</f>
        <v/>
      </c>
      <c r="N167" s="46">
        <f>IF(L167="","",L167+M167)</f>
        <v/>
      </c>
      <c r="O167" s="47" t="n"/>
      <c r="P167" s="46">
        <f>IF(A167="","",SUMIFS('استلام المواد'!$K$5:$K$304,'استلام المواد'!$C$5:$C$304,A167))</f>
        <v/>
      </c>
      <c r="Q167" s="46">
        <f>IF(A167="","",J167-P167)</f>
        <v/>
      </c>
      <c r="R167" s="49">
        <f>IF(A167="","",IF(F167="لا","مادة غير معتمدة!",IF(P167&gt;=J167,"مكتمل",IF(AND(O167&lt;&gt;"",TODAY()&gt;O167),"متأخر التوريد",IF(P167&gt;0,"توريد جزئي","لم يُورد بعد")))))</f>
        <v/>
      </c>
    </row>
    <row r="168">
      <c r="A168" s="39">
        <f>IF(C168="","","PO-"&amp;TEXT(ROW()-4,"0000"))</f>
        <v/>
      </c>
      <c r="B168" s="47" t="n"/>
      <c r="C168" s="50" t="n"/>
      <c r="D168" s="40" t="n"/>
      <c r="E168" s="40" t="n"/>
      <c r="F168" s="49">
        <f>IF(E168="","",IFERROR(INDEX('اعتماد المواد'!$P$5:$P$304,MATCH(E168,'اعتماد المواد'!$A$5:$A$304,0)),""))</f>
        <v/>
      </c>
      <c r="G168" s="50" t="n"/>
      <c r="H168" s="40" t="n"/>
      <c r="I168" s="50" t="n"/>
      <c r="J168" s="41" t="n"/>
      <c r="K168" s="41" t="n"/>
      <c r="L168" s="46">
        <f>IF(J168="","",J168*K168)</f>
        <v/>
      </c>
      <c r="M168" s="46">
        <f>IF(L168="","",L168*S_VAT)</f>
        <v/>
      </c>
      <c r="N168" s="46">
        <f>IF(L168="","",L168+M168)</f>
        <v/>
      </c>
      <c r="O168" s="47" t="n"/>
      <c r="P168" s="46">
        <f>IF(A168="","",SUMIFS('استلام المواد'!$K$5:$K$304,'استلام المواد'!$C$5:$C$304,A168))</f>
        <v/>
      </c>
      <c r="Q168" s="46">
        <f>IF(A168="","",J168-P168)</f>
        <v/>
      </c>
      <c r="R168" s="49">
        <f>IF(A168="","",IF(F168="لا","مادة غير معتمدة!",IF(P168&gt;=J168,"مكتمل",IF(AND(O168&lt;&gt;"",TODAY()&gt;O168),"متأخر التوريد",IF(P168&gt;0,"توريد جزئي","لم يُورد بعد")))))</f>
        <v/>
      </c>
    </row>
    <row r="169">
      <c r="A169" s="39">
        <f>IF(C169="","","PO-"&amp;TEXT(ROW()-4,"0000"))</f>
        <v/>
      </c>
      <c r="B169" s="47" t="n"/>
      <c r="C169" s="50" t="n"/>
      <c r="D169" s="40" t="n"/>
      <c r="E169" s="40" t="n"/>
      <c r="F169" s="49">
        <f>IF(E169="","",IFERROR(INDEX('اعتماد المواد'!$P$5:$P$304,MATCH(E169,'اعتماد المواد'!$A$5:$A$304,0)),""))</f>
        <v/>
      </c>
      <c r="G169" s="50" t="n"/>
      <c r="H169" s="40" t="n"/>
      <c r="I169" s="50" t="n"/>
      <c r="J169" s="41" t="n"/>
      <c r="K169" s="41" t="n"/>
      <c r="L169" s="46">
        <f>IF(J169="","",J169*K169)</f>
        <v/>
      </c>
      <c r="M169" s="46">
        <f>IF(L169="","",L169*S_VAT)</f>
        <v/>
      </c>
      <c r="N169" s="46">
        <f>IF(L169="","",L169+M169)</f>
        <v/>
      </c>
      <c r="O169" s="47" t="n"/>
      <c r="P169" s="46">
        <f>IF(A169="","",SUMIFS('استلام المواد'!$K$5:$K$304,'استلام المواد'!$C$5:$C$304,A169))</f>
        <v/>
      </c>
      <c r="Q169" s="46">
        <f>IF(A169="","",J169-P169)</f>
        <v/>
      </c>
      <c r="R169" s="49">
        <f>IF(A169="","",IF(F169="لا","مادة غير معتمدة!",IF(P169&gt;=J169,"مكتمل",IF(AND(O169&lt;&gt;"",TODAY()&gt;O169),"متأخر التوريد",IF(P169&gt;0,"توريد جزئي","لم يُورد بعد")))))</f>
        <v/>
      </c>
    </row>
    <row r="170">
      <c r="A170" s="39">
        <f>IF(C170="","","PO-"&amp;TEXT(ROW()-4,"0000"))</f>
        <v/>
      </c>
      <c r="B170" s="47" t="n"/>
      <c r="C170" s="50" t="n"/>
      <c r="D170" s="40" t="n"/>
      <c r="E170" s="40" t="n"/>
      <c r="F170" s="49">
        <f>IF(E170="","",IFERROR(INDEX('اعتماد المواد'!$P$5:$P$304,MATCH(E170,'اعتماد المواد'!$A$5:$A$304,0)),""))</f>
        <v/>
      </c>
      <c r="G170" s="50" t="n"/>
      <c r="H170" s="40" t="n"/>
      <c r="I170" s="50" t="n"/>
      <c r="J170" s="41" t="n"/>
      <c r="K170" s="41" t="n"/>
      <c r="L170" s="46">
        <f>IF(J170="","",J170*K170)</f>
        <v/>
      </c>
      <c r="M170" s="46">
        <f>IF(L170="","",L170*S_VAT)</f>
        <v/>
      </c>
      <c r="N170" s="46">
        <f>IF(L170="","",L170+M170)</f>
        <v/>
      </c>
      <c r="O170" s="47" t="n"/>
      <c r="P170" s="46">
        <f>IF(A170="","",SUMIFS('استلام المواد'!$K$5:$K$304,'استلام المواد'!$C$5:$C$304,A170))</f>
        <v/>
      </c>
      <c r="Q170" s="46">
        <f>IF(A170="","",J170-P170)</f>
        <v/>
      </c>
      <c r="R170" s="49">
        <f>IF(A170="","",IF(F170="لا","مادة غير معتمدة!",IF(P170&gt;=J170,"مكتمل",IF(AND(O170&lt;&gt;"",TODAY()&gt;O170),"متأخر التوريد",IF(P170&gt;0,"توريد جزئي","لم يُورد بعد")))))</f>
        <v/>
      </c>
    </row>
    <row r="171">
      <c r="A171" s="39">
        <f>IF(C171="","","PO-"&amp;TEXT(ROW()-4,"0000"))</f>
        <v/>
      </c>
      <c r="B171" s="47" t="n"/>
      <c r="C171" s="50" t="n"/>
      <c r="D171" s="40" t="n"/>
      <c r="E171" s="40" t="n"/>
      <c r="F171" s="49">
        <f>IF(E171="","",IFERROR(INDEX('اعتماد المواد'!$P$5:$P$304,MATCH(E171,'اعتماد المواد'!$A$5:$A$304,0)),""))</f>
        <v/>
      </c>
      <c r="G171" s="50" t="n"/>
      <c r="H171" s="40" t="n"/>
      <c r="I171" s="50" t="n"/>
      <c r="J171" s="41" t="n"/>
      <c r="K171" s="41" t="n"/>
      <c r="L171" s="46">
        <f>IF(J171="","",J171*K171)</f>
        <v/>
      </c>
      <c r="M171" s="46">
        <f>IF(L171="","",L171*S_VAT)</f>
        <v/>
      </c>
      <c r="N171" s="46">
        <f>IF(L171="","",L171+M171)</f>
        <v/>
      </c>
      <c r="O171" s="47" t="n"/>
      <c r="P171" s="46">
        <f>IF(A171="","",SUMIFS('استلام المواد'!$K$5:$K$304,'استلام المواد'!$C$5:$C$304,A171))</f>
        <v/>
      </c>
      <c r="Q171" s="46">
        <f>IF(A171="","",J171-P171)</f>
        <v/>
      </c>
      <c r="R171" s="49">
        <f>IF(A171="","",IF(F171="لا","مادة غير معتمدة!",IF(P171&gt;=J171,"مكتمل",IF(AND(O171&lt;&gt;"",TODAY()&gt;O171),"متأخر التوريد",IF(P171&gt;0,"توريد جزئي","لم يُورد بعد")))))</f>
        <v/>
      </c>
    </row>
    <row r="172">
      <c r="A172" s="39">
        <f>IF(C172="","","PO-"&amp;TEXT(ROW()-4,"0000"))</f>
        <v/>
      </c>
      <c r="B172" s="47" t="n"/>
      <c r="C172" s="50" t="n"/>
      <c r="D172" s="40" t="n"/>
      <c r="E172" s="40" t="n"/>
      <c r="F172" s="49">
        <f>IF(E172="","",IFERROR(INDEX('اعتماد المواد'!$P$5:$P$304,MATCH(E172,'اعتماد المواد'!$A$5:$A$304,0)),""))</f>
        <v/>
      </c>
      <c r="G172" s="50" t="n"/>
      <c r="H172" s="40" t="n"/>
      <c r="I172" s="50" t="n"/>
      <c r="J172" s="41" t="n"/>
      <c r="K172" s="41" t="n"/>
      <c r="L172" s="46">
        <f>IF(J172="","",J172*K172)</f>
        <v/>
      </c>
      <c r="M172" s="46">
        <f>IF(L172="","",L172*S_VAT)</f>
        <v/>
      </c>
      <c r="N172" s="46">
        <f>IF(L172="","",L172+M172)</f>
        <v/>
      </c>
      <c r="O172" s="47" t="n"/>
      <c r="P172" s="46">
        <f>IF(A172="","",SUMIFS('استلام المواد'!$K$5:$K$304,'استلام المواد'!$C$5:$C$304,A172))</f>
        <v/>
      </c>
      <c r="Q172" s="46">
        <f>IF(A172="","",J172-P172)</f>
        <v/>
      </c>
      <c r="R172" s="49">
        <f>IF(A172="","",IF(F172="لا","مادة غير معتمدة!",IF(P172&gt;=J172,"مكتمل",IF(AND(O172&lt;&gt;"",TODAY()&gt;O172),"متأخر التوريد",IF(P172&gt;0,"توريد جزئي","لم يُورد بعد")))))</f>
        <v/>
      </c>
    </row>
    <row r="173">
      <c r="A173" s="39">
        <f>IF(C173="","","PO-"&amp;TEXT(ROW()-4,"0000"))</f>
        <v/>
      </c>
      <c r="B173" s="47" t="n"/>
      <c r="C173" s="50" t="n"/>
      <c r="D173" s="40" t="n"/>
      <c r="E173" s="40" t="n"/>
      <c r="F173" s="49">
        <f>IF(E173="","",IFERROR(INDEX('اعتماد المواد'!$P$5:$P$304,MATCH(E173,'اعتماد المواد'!$A$5:$A$304,0)),""))</f>
        <v/>
      </c>
      <c r="G173" s="50" t="n"/>
      <c r="H173" s="40" t="n"/>
      <c r="I173" s="50" t="n"/>
      <c r="J173" s="41" t="n"/>
      <c r="K173" s="41" t="n"/>
      <c r="L173" s="46">
        <f>IF(J173="","",J173*K173)</f>
        <v/>
      </c>
      <c r="M173" s="46">
        <f>IF(L173="","",L173*S_VAT)</f>
        <v/>
      </c>
      <c r="N173" s="46">
        <f>IF(L173="","",L173+M173)</f>
        <v/>
      </c>
      <c r="O173" s="47" t="n"/>
      <c r="P173" s="46">
        <f>IF(A173="","",SUMIFS('استلام المواد'!$K$5:$K$304,'استلام المواد'!$C$5:$C$304,A173))</f>
        <v/>
      </c>
      <c r="Q173" s="46">
        <f>IF(A173="","",J173-P173)</f>
        <v/>
      </c>
      <c r="R173" s="49">
        <f>IF(A173="","",IF(F173="لا","مادة غير معتمدة!",IF(P173&gt;=J173,"مكتمل",IF(AND(O173&lt;&gt;"",TODAY()&gt;O173),"متأخر التوريد",IF(P173&gt;0,"توريد جزئي","لم يُورد بعد")))))</f>
        <v/>
      </c>
    </row>
    <row r="174">
      <c r="A174" s="39">
        <f>IF(C174="","","PO-"&amp;TEXT(ROW()-4,"0000"))</f>
        <v/>
      </c>
      <c r="B174" s="47" t="n"/>
      <c r="C174" s="50" t="n"/>
      <c r="D174" s="40" t="n"/>
      <c r="E174" s="40" t="n"/>
      <c r="F174" s="49">
        <f>IF(E174="","",IFERROR(INDEX('اعتماد المواد'!$P$5:$P$304,MATCH(E174,'اعتماد المواد'!$A$5:$A$304,0)),""))</f>
        <v/>
      </c>
      <c r="G174" s="50" t="n"/>
      <c r="H174" s="40" t="n"/>
      <c r="I174" s="50" t="n"/>
      <c r="J174" s="41" t="n"/>
      <c r="K174" s="41" t="n"/>
      <c r="L174" s="46">
        <f>IF(J174="","",J174*K174)</f>
        <v/>
      </c>
      <c r="M174" s="46">
        <f>IF(L174="","",L174*S_VAT)</f>
        <v/>
      </c>
      <c r="N174" s="46">
        <f>IF(L174="","",L174+M174)</f>
        <v/>
      </c>
      <c r="O174" s="47" t="n"/>
      <c r="P174" s="46">
        <f>IF(A174="","",SUMIFS('استلام المواد'!$K$5:$K$304,'استلام المواد'!$C$5:$C$304,A174))</f>
        <v/>
      </c>
      <c r="Q174" s="46">
        <f>IF(A174="","",J174-P174)</f>
        <v/>
      </c>
      <c r="R174" s="49">
        <f>IF(A174="","",IF(F174="لا","مادة غير معتمدة!",IF(P174&gt;=J174,"مكتمل",IF(AND(O174&lt;&gt;"",TODAY()&gt;O174),"متأخر التوريد",IF(P174&gt;0,"توريد جزئي","لم يُورد بعد")))))</f>
        <v/>
      </c>
    </row>
    <row r="175">
      <c r="A175" s="39">
        <f>IF(C175="","","PO-"&amp;TEXT(ROW()-4,"0000"))</f>
        <v/>
      </c>
      <c r="B175" s="47" t="n"/>
      <c r="C175" s="50" t="n"/>
      <c r="D175" s="40" t="n"/>
      <c r="E175" s="40" t="n"/>
      <c r="F175" s="49">
        <f>IF(E175="","",IFERROR(INDEX('اعتماد المواد'!$P$5:$P$304,MATCH(E175,'اعتماد المواد'!$A$5:$A$304,0)),""))</f>
        <v/>
      </c>
      <c r="G175" s="50" t="n"/>
      <c r="H175" s="40" t="n"/>
      <c r="I175" s="50" t="n"/>
      <c r="J175" s="41" t="n"/>
      <c r="K175" s="41" t="n"/>
      <c r="L175" s="46">
        <f>IF(J175="","",J175*K175)</f>
        <v/>
      </c>
      <c r="M175" s="46">
        <f>IF(L175="","",L175*S_VAT)</f>
        <v/>
      </c>
      <c r="N175" s="46">
        <f>IF(L175="","",L175+M175)</f>
        <v/>
      </c>
      <c r="O175" s="47" t="n"/>
      <c r="P175" s="46">
        <f>IF(A175="","",SUMIFS('استلام المواد'!$K$5:$K$304,'استلام المواد'!$C$5:$C$304,A175))</f>
        <v/>
      </c>
      <c r="Q175" s="46">
        <f>IF(A175="","",J175-P175)</f>
        <v/>
      </c>
      <c r="R175" s="49">
        <f>IF(A175="","",IF(F175="لا","مادة غير معتمدة!",IF(P175&gt;=J175,"مكتمل",IF(AND(O175&lt;&gt;"",TODAY()&gt;O175),"متأخر التوريد",IF(P175&gt;0,"توريد جزئي","لم يُورد بعد")))))</f>
        <v/>
      </c>
    </row>
    <row r="176">
      <c r="A176" s="39">
        <f>IF(C176="","","PO-"&amp;TEXT(ROW()-4,"0000"))</f>
        <v/>
      </c>
      <c r="B176" s="47" t="n"/>
      <c r="C176" s="50" t="n"/>
      <c r="D176" s="40" t="n"/>
      <c r="E176" s="40" t="n"/>
      <c r="F176" s="49">
        <f>IF(E176="","",IFERROR(INDEX('اعتماد المواد'!$P$5:$P$304,MATCH(E176,'اعتماد المواد'!$A$5:$A$304,0)),""))</f>
        <v/>
      </c>
      <c r="G176" s="50" t="n"/>
      <c r="H176" s="40" t="n"/>
      <c r="I176" s="50" t="n"/>
      <c r="J176" s="41" t="n"/>
      <c r="K176" s="41" t="n"/>
      <c r="L176" s="46">
        <f>IF(J176="","",J176*K176)</f>
        <v/>
      </c>
      <c r="M176" s="46">
        <f>IF(L176="","",L176*S_VAT)</f>
        <v/>
      </c>
      <c r="N176" s="46">
        <f>IF(L176="","",L176+M176)</f>
        <v/>
      </c>
      <c r="O176" s="47" t="n"/>
      <c r="P176" s="46">
        <f>IF(A176="","",SUMIFS('استلام المواد'!$K$5:$K$304,'استلام المواد'!$C$5:$C$304,A176))</f>
        <v/>
      </c>
      <c r="Q176" s="46">
        <f>IF(A176="","",J176-P176)</f>
        <v/>
      </c>
      <c r="R176" s="49">
        <f>IF(A176="","",IF(F176="لا","مادة غير معتمدة!",IF(P176&gt;=J176,"مكتمل",IF(AND(O176&lt;&gt;"",TODAY()&gt;O176),"متأخر التوريد",IF(P176&gt;0,"توريد جزئي","لم يُورد بعد")))))</f>
        <v/>
      </c>
    </row>
    <row r="177">
      <c r="A177" s="39">
        <f>IF(C177="","","PO-"&amp;TEXT(ROW()-4,"0000"))</f>
        <v/>
      </c>
      <c r="B177" s="47" t="n"/>
      <c r="C177" s="50" t="n"/>
      <c r="D177" s="40" t="n"/>
      <c r="E177" s="40" t="n"/>
      <c r="F177" s="49">
        <f>IF(E177="","",IFERROR(INDEX('اعتماد المواد'!$P$5:$P$304,MATCH(E177,'اعتماد المواد'!$A$5:$A$304,0)),""))</f>
        <v/>
      </c>
      <c r="G177" s="50" t="n"/>
      <c r="H177" s="40" t="n"/>
      <c r="I177" s="50" t="n"/>
      <c r="J177" s="41" t="n"/>
      <c r="K177" s="41" t="n"/>
      <c r="L177" s="46">
        <f>IF(J177="","",J177*K177)</f>
        <v/>
      </c>
      <c r="M177" s="46">
        <f>IF(L177="","",L177*S_VAT)</f>
        <v/>
      </c>
      <c r="N177" s="46">
        <f>IF(L177="","",L177+M177)</f>
        <v/>
      </c>
      <c r="O177" s="47" t="n"/>
      <c r="P177" s="46">
        <f>IF(A177="","",SUMIFS('استلام المواد'!$K$5:$K$304,'استلام المواد'!$C$5:$C$304,A177))</f>
        <v/>
      </c>
      <c r="Q177" s="46">
        <f>IF(A177="","",J177-P177)</f>
        <v/>
      </c>
      <c r="R177" s="49">
        <f>IF(A177="","",IF(F177="لا","مادة غير معتمدة!",IF(P177&gt;=J177,"مكتمل",IF(AND(O177&lt;&gt;"",TODAY()&gt;O177),"متأخر التوريد",IF(P177&gt;0,"توريد جزئي","لم يُورد بعد")))))</f>
        <v/>
      </c>
    </row>
    <row r="178">
      <c r="A178" s="39">
        <f>IF(C178="","","PO-"&amp;TEXT(ROW()-4,"0000"))</f>
        <v/>
      </c>
      <c r="B178" s="47" t="n"/>
      <c r="C178" s="50" t="n"/>
      <c r="D178" s="40" t="n"/>
      <c r="E178" s="40" t="n"/>
      <c r="F178" s="49">
        <f>IF(E178="","",IFERROR(INDEX('اعتماد المواد'!$P$5:$P$304,MATCH(E178,'اعتماد المواد'!$A$5:$A$304,0)),""))</f>
        <v/>
      </c>
      <c r="G178" s="50" t="n"/>
      <c r="H178" s="40" t="n"/>
      <c r="I178" s="50" t="n"/>
      <c r="J178" s="41" t="n"/>
      <c r="K178" s="41" t="n"/>
      <c r="L178" s="46">
        <f>IF(J178="","",J178*K178)</f>
        <v/>
      </c>
      <c r="M178" s="46">
        <f>IF(L178="","",L178*S_VAT)</f>
        <v/>
      </c>
      <c r="N178" s="46">
        <f>IF(L178="","",L178+M178)</f>
        <v/>
      </c>
      <c r="O178" s="47" t="n"/>
      <c r="P178" s="46">
        <f>IF(A178="","",SUMIFS('استلام المواد'!$K$5:$K$304,'استلام المواد'!$C$5:$C$304,A178))</f>
        <v/>
      </c>
      <c r="Q178" s="46">
        <f>IF(A178="","",J178-P178)</f>
        <v/>
      </c>
      <c r="R178" s="49">
        <f>IF(A178="","",IF(F178="لا","مادة غير معتمدة!",IF(P178&gt;=J178,"مكتمل",IF(AND(O178&lt;&gt;"",TODAY()&gt;O178),"متأخر التوريد",IF(P178&gt;0,"توريد جزئي","لم يُورد بعد")))))</f>
        <v/>
      </c>
    </row>
    <row r="179">
      <c r="A179" s="39">
        <f>IF(C179="","","PO-"&amp;TEXT(ROW()-4,"0000"))</f>
        <v/>
      </c>
      <c r="B179" s="47" t="n"/>
      <c r="C179" s="50" t="n"/>
      <c r="D179" s="40" t="n"/>
      <c r="E179" s="40" t="n"/>
      <c r="F179" s="49">
        <f>IF(E179="","",IFERROR(INDEX('اعتماد المواد'!$P$5:$P$304,MATCH(E179,'اعتماد المواد'!$A$5:$A$304,0)),""))</f>
        <v/>
      </c>
      <c r="G179" s="50" t="n"/>
      <c r="H179" s="40" t="n"/>
      <c r="I179" s="50" t="n"/>
      <c r="J179" s="41" t="n"/>
      <c r="K179" s="41" t="n"/>
      <c r="L179" s="46">
        <f>IF(J179="","",J179*K179)</f>
        <v/>
      </c>
      <c r="M179" s="46">
        <f>IF(L179="","",L179*S_VAT)</f>
        <v/>
      </c>
      <c r="N179" s="46">
        <f>IF(L179="","",L179+M179)</f>
        <v/>
      </c>
      <c r="O179" s="47" t="n"/>
      <c r="P179" s="46">
        <f>IF(A179="","",SUMIFS('استلام المواد'!$K$5:$K$304,'استلام المواد'!$C$5:$C$304,A179))</f>
        <v/>
      </c>
      <c r="Q179" s="46">
        <f>IF(A179="","",J179-P179)</f>
        <v/>
      </c>
      <c r="R179" s="49">
        <f>IF(A179="","",IF(F179="لا","مادة غير معتمدة!",IF(P179&gt;=J179,"مكتمل",IF(AND(O179&lt;&gt;"",TODAY()&gt;O179),"متأخر التوريد",IF(P179&gt;0,"توريد جزئي","لم يُورد بعد")))))</f>
        <v/>
      </c>
    </row>
    <row r="180">
      <c r="A180" s="39">
        <f>IF(C180="","","PO-"&amp;TEXT(ROW()-4,"0000"))</f>
        <v/>
      </c>
      <c r="B180" s="47" t="n"/>
      <c r="C180" s="50" t="n"/>
      <c r="D180" s="40" t="n"/>
      <c r="E180" s="40" t="n"/>
      <c r="F180" s="49">
        <f>IF(E180="","",IFERROR(INDEX('اعتماد المواد'!$P$5:$P$304,MATCH(E180,'اعتماد المواد'!$A$5:$A$304,0)),""))</f>
        <v/>
      </c>
      <c r="G180" s="50" t="n"/>
      <c r="H180" s="40" t="n"/>
      <c r="I180" s="50" t="n"/>
      <c r="J180" s="41" t="n"/>
      <c r="K180" s="41" t="n"/>
      <c r="L180" s="46">
        <f>IF(J180="","",J180*K180)</f>
        <v/>
      </c>
      <c r="M180" s="46">
        <f>IF(L180="","",L180*S_VAT)</f>
        <v/>
      </c>
      <c r="N180" s="46">
        <f>IF(L180="","",L180+M180)</f>
        <v/>
      </c>
      <c r="O180" s="47" t="n"/>
      <c r="P180" s="46">
        <f>IF(A180="","",SUMIFS('استلام المواد'!$K$5:$K$304,'استلام المواد'!$C$5:$C$304,A180))</f>
        <v/>
      </c>
      <c r="Q180" s="46">
        <f>IF(A180="","",J180-P180)</f>
        <v/>
      </c>
      <c r="R180" s="49">
        <f>IF(A180="","",IF(F180="لا","مادة غير معتمدة!",IF(P180&gt;=J180,"مكتمل",IF(AND(O180&lt;&gt;"",TODAY()&gt;O180),"متأخر التوريد",IF(P180&gt;0,"توريد جزئي","لم يُورد بعد")))))</f>
        <v/>
      </c>
    </row>
    <row r="181">
      <c r="A181" s="39">
        <f>IF(C181="","","PO-"&amp;TEXT(ROW()-4,"0000"))</f>
        <v/>
      </c>
      <c r="B181" s="47" t="n"/>
      <c r="C181" s="50" t="n"/>
      <c r="D181" s="40" t="n"/>
      <c r="E181" s="40" t="n"/>
      <c r="F181" s="49">
        <f>IF(E181="","",IFERROR(INDEX('اعتماد المواد'!$P$5:$P$304,MATCH(E181,'اعتماد المواد'!$A$5:$A$304,0)),""))</f>
        <v/>
      </c>
      <c r="G181" s="50" t="n"/>
      <c r="H181" s="40" t="n"/>
      <c r="I181" s="50" t="n"/>
      <c r="J181" s="41" t="n"/>
      <c r="K181" s="41" t="n"/>
      <c r="L181" s="46">
        <f>IF(J181="","",J181*K181)</f>
        <v/>
      </c>
      <c r="M181" s="46">
        <f>IF(L181="","",L181*S_VAT)</f>
        <v/>
      </c>
      <c r="N181" s="46">
        <f>IF(L181="","",L181+M181)</f>
        <v/>
      </c>
      <c r="O181" s="47" t="n"/>
      <c r="P181" s="46">
        <f>IF(A181="","",SUMIFS('استلام المواد'!$K$5:$K$304,'استلام المواد'!$C$5:$C$304,A181))</f>
        <v/>
      </c>
      <c r="Q181" s="46">
        <f>IF(A181="","",J181-P181)</f>
        <v/>
      </c>
      <c r="R181" s="49">
        <f>IF(A181="","",IF(F181="لا","مادة غير معتمدة!",IF(P181&gt;=J181,"مكتمل",IF(AND(O181&lt;&gt;"",TODAY()&gt;O181),"متأخر التوريد",IF(P181&gt;0,"توريد جزئي","لم يُورد بعد")))))</f>
        <v/>
      </c>
    </row>
    <row r="182">
      <c r="A182" s="39">
        <f>IF(C182="","","PO-"&amp;TEXT(ROW()-4,"0000"))</f>
        <v/>
      </c>
      <c r="B182" s="47" t="n"/>
      <c r="C182" s="50" t="n"/>
      <c r="D182" s="40" t="n"/>
      <c r="E182" s="40" t="n"/>
      <c r="F182" s="49">
        <f>IF(E182="","",IFERROR(INDEX('اعتماد المواد'!$P$5:$P$304,MATCH(E182,'اعتماد المواد'!$A$5:$A$304,0)),""))</f>
        <v/>
      </c>
      <c r="G182" s="50" t="n"/>
      <c r="H182" s="40" t="n"/>
      <c r="I182" s="50" t="n"/>
      <c r="J182" s="41" t="n"/>
      <c r="K182" s="41" t="n"/>
      <c r="L182" s="46">
        <f>IF(J182="","",J182*K182)</f>
        <v/>
      </c>
      <c r="M182" s="46">
        <f>IF(L182="","",L182*S_VAT)</f>
        <v/>
      </c>
      <c r="N182" s="46">
        <f>IF(L182="","",L182+M182)</f>
        <v/>
      </c>
      <c r="O182" s="47" t="n"/>
      <c r="P182" s="46">
        <f>IF(A182="","",SUMIFS('استلام المواد'!$K$5:$K$304,'استلام المواد'!$C$5:$C$304,A182))</f>
        <v/>
      </c>
      <c r="Q182" s="46">
        <f>IF(A182="","",J182-P182)</f>
        <v/>
      </c>
      <c r="R182" s="49">
        <f>IF(A182="","",IF(F182="لا","مادة غير معتمدة!",IF(P182&gt;=J182,"مكتمل",IF(AND(O182&lt;&gt;"",TODAY()&gt;O182),"متأخر التوريد",IF(P182&gt;0,"توريد جزئي","لم يُورد بعد")))))</f>
        <v/>
      </c>
    </row>
    <row r="183">
      <c r="A183" s="39">
        <f>IF(C183="","","PO-"&amp;TEXT(ROW()-4,"0000"))</f>
        <v/>
      </c>
      <c r="B183" s="47" t="n"/>
      <c r="C183" s="50" t="n"/>
      <c r="D183" s="40" t="n"/>
      <c r="E183" s="40" t="n"/>
      <c r="F183" s="49">
        <f>IF(E183="","",IFERROR(INDEX('اعتماد المواد'!$P$5:$P$304,MATCH(E183,'اعتماد المواد'!$A$5:$A$304,0)),""))</f>
        <v/>
      </c>
      <c r="G183" s="50" t="n"/>
      <c r="H183" s="40" t="n"/>
      <c r="I183" s="50" t="n"/>
      <c r="J183" s="41" t="n"/>
      <c r="K183" s="41" t="n"/>
      <c r="L183" s="46">
        <f>IF(J183="","",J183*K183)</f>
        <v/>
      </c>
      <c r="M183" s="46">
        <f>IF(L183="","",L183*S_VAT)</f>
        <v/>
      </c>
      <c r="N183" s="46">
        <f>IF(L183="","",L183+M183)</f>
        <v/>
      </c>
      <c r="O183" s="47" t="n"/>
      <c r="P183" s="46">
        <f>IF(A183="","",SUMIFS('استلام المواد'!$K$5:$K$304,'استلام المواد'!$C$5:$C$304,A183))</f>
        <v/>
      </c>
      <c r="Q183" s="46">
        <f>IF(A183="","",J183-P183)</f>
        <v/>
      </c>
      <c r="R183" s="49">
        <f>IF(A183="","",IF(F183="لا","مادة غير معتمدة!",IF(P183&gt;=J183,"مكتمل",IF(AND(O183&lt;&gt;"",TODAY()&gt;O183),"متأخر التوريد",IF(P183&gt;0,"توريد جزئي","لم يُورد بعد")))))</f>
        <v/>
      </c>
    </row>
    <row r="184">
      <c r="A184" s="39">
        <f>IF(C184="","","PO-"&amp;TEXT(ROW()-4,"0000"))</f>
        <v/>
      </c>
      <c r="B184" s="47" t="n"/>
      <c r="C184" s="50" t="n"/>
      <c r="D184" s="40" t="n"/>
      <c r="E184" s="40" t="n"/>
      <c r="F184" s="49">
        <f>IF(E184="","",IFERROR(INDEX('اعتماد المواد'!$P$5:$P$304,MATCH(E184,'اعتماد المواد'!$A$5:$A$304,0)),""))</f>
        <v/>
      </c>
      <c r="G184" s="50" t="n"/>
      <c r="H184" s="40" t="n"/>
      <c r="I184" s="50" t="n"/>
      <c r="J184" s="41" t="n"/>
      <c r="K184" s="41" t="n"/>
      <c r="L184" s="46">
        <f>IF(J184="","",J184*K184)</f>
        <v/>
      </c>
      <c r="M184" s="46">
        <f>IF(L184="","",L184*S_VAT)</f>
        <v/>
      </c>
      <c r="N184" s="46">
        <f>IF(L184="","",L184+M184)</f>
        <v/>
      </c>
      <c r="O184" s="47" t="n"/>
      <c r="P184" s="46">
        <f>IF(A184="","",SUMIFS('استلام المواد'!$K$5:$K$304,'استلام المواد'!$C$5:$C$304,A184))</f>
        <v/>
      </c>
      <c r="Q184" s="46">
        <f>IF(A184="","",J184-P184)</f>
        <v/>
      </c>
      <c r="R184" s="49">
        <f>IF(A184="","",IF(F184="لا","مادة غير معتمدة!",IF(P184&gt;=J184,"مكتمل",IF(AND(O184&lt;&gt;"",TODAY()&gt;O184),"متأخر التوريد",IF(P184&gt;0,"توريد جزئي","لم يُورد بعد")))))</f>
        <v/>
      </c>
    </row>
    <row r="185">
      <c r="A185" s="39">
        <f>IF(C185="","","PO-"&amp;TEXT(ROW()-4,"0000"))</f>
        <v/>
      </c>
      <c r="B185" s="47" t="n"/>
      <c r="C185" s="50" t="n"/>
      <c r="D185" s="40" t="n"/>
      <c r="E185" s="40" t="n"/>
      <c r="F185" s="49">
        <f>IF(E185="","",IFERROR(INDEX('اعتماد المواد'!$P$5:$P$304,MATCH(E185,'اعتماد المواد'!$A$5:$A$304,0)),""))</f>
        <v/>
      </c>
      <c r="G185" s="50" t="n"/>
      <c r="H185" s="40" t="n"/>
      <c r="I185" s="50" t="n"/>
      <c r="J185" s="41" t="n"/>
      <c r="K185" s="41" t="n"/>
      <c r="L185" s="46">
        <f>IF(J185="","",J185*K185)</f>
        <v/>
      </c>
      <c r="M185" s="46">
        <f>IF(L185="","",L185*S_VAT)</f>
        <v/>
      </c>
      <c r="N185" s="46">
        <f>IF(L185="","",L185+M185)</f>
        <v/>
      </c>
      <c r="O185" s="47" t="n"/>
      <c r="P185" s="46">
        <f>IF(A185="","",SUMIFS('استلام المواد'!$K$5:$K$304,'استلام المواد'!$C$5:$C$304,A185))</f>
        <v/>
      </c>
      <c r="Q185" s="46">
        <f>IF(A185="","",J185-P185)</f>
        <v/>
      </c>
      <c r="R185" s="49">
        <f>IF(A185="","",IF(F185="لا","مادة غير معتمدة!",IF(P185&gt;=J185,"مكتمل",IF(AND(O185&lt;&gt;"",TODAY()&gt;O185),"متأخر التوريد",IF(P185&gt;0,"توريد جزئي","لم يُورد بعد")))))</f>
        <v/>
      </c>
    </row>
    <row r="186">
      <c r="A186" s="39">
        <f>IF(C186="","","PO-"&amp;TEXT(ROW()-4,"0000"))</f>
        <v/>
      </c>
      <c r="B186" s="47" t="n"/>
      <c r="C186" s="50" t="n"/>
      <c r="D186" s="40" t="n"/>
      <c r="E186" s="40" t="n"/>
      <c r="F186" s="49">
        <f>IF(E186="","",IFERROR(INDEX('اعتماد المواد'!$P$5:$P$304,MATCH(E186,'اعتماد المواد'!$A$5:$A$304,0)),""))</f>
        <v/>
      </c>
      <c r="G186" s="50" t="n"/>
      <c r="H186" s="40" t="n"/>
      <c r="I186" s="50" t="n"/>
      <c r="J186" s="41" t="n"/>
      <c r="K186" s="41" t="n"/>
      <c r="L186" s="46">
        <f>IF(J186="","",J186*K186)</f>
        <v/>
      </c>
      <c r="M186" s="46">
        <f>IF(L186="","",L186*S_VAT)</f>
        <v/>
      </c>
      <c r="N186" s="46">
        <f>IF(L186="","",L186+M186)</f>
        <v/>
      </c>
      <c r="O186" s="47" t="n"/>
      <c r="P186" s="46">
        <f>IF(A186="","",SUMIFS('استلام المواد'!$K$5:$K$304,'استلام المواد'!$C$5:$C$304,A186))</f>
        <v/>
      </c>
      <c r="Q186" s="46">
        <f>IF(A186="","",J186-P186)</f>
        <v/>
      </c>
      <c r="R186" s="49">
        <f>IF(A186="","",IF(F186="لا","مادة غير معتمدة!",IF(P186&gt;=J186,"مكتمل",IF(AND(O186&lt;&gt;"",TODAY()&gt;O186),"متأخر التوريد",IF(P186&gt;0,"توريد جزئي","لم يُورد بعد")))))</f>
        <v/>
      </c>
    </row>
    <row r="187">
      <c r="A187" s="39">
        <f>IF(C187="","","PO-"&amp;TEXT(ROW()-4,"0000"))</f>
        <v/>
      </c>
      <c r="B187" s="47" t="n"/>
      <c r="C187" s="50" t="n"/>
      <c r="D187" s="40" t="n"/>
      <c r="E187" s="40" t="n"/>
      <c r="F187" s="49">
        <f>IF(E187="","",IFERROR(INDEX('اعتماد المواد'!$P$5:$P$304,MATCH(E187,'اعتماد المواد'!$A$5:$A$304,0)),""))</f>
        <v/>
      </c>
      <c r="G187" s="50" t="n"/>
      <c r="H187" s="40" t="n"/>
      <c r="I187" s="50" t="n"/>
      <c r="J187" s="41" t="n"/>
      <c r="K187" s="41" t="n"/>
      <c r="L187" s="46">
        <f>IF(J187="","",J187*K187)</f>
        <v/>
      </c>
      <c r="M187" s="46">
        <f>IF(L187="","",L187*S_VAT)</f>
        <v/>
      </c>
      <c r="N187" s="46">
        <f>IF(L187="","",L187+M187)</f>
        <v/>
      </c>
      <c r="O187" s="47" t="n"/>
      <c r="P187" s="46">
        <f>IF(A187="","",SUMIFS('استلام المواد'!$K$5:$K$304,'استلام المواد'!$C$5:$C$304,A187))</f>
        <v/>
      </c>
      <c r="Q187" s="46">
        <f>IF(A187="","",J187-P187)</f>
        <v/>
      </c>
      <c r="R187" s="49">
        <f>IF(A187="","",IF(F187="لا","مادة غير معتمدة!",IF(P187&gt;=J187,"مكتمل",IF(AND(O187&lt;&gt;"",TODAY()&gt;O187),"متأخر التوريد",IF(P187&gt;0,"توريد جزئي","لم يُورد بعد")))))</f>
        <v/>
      </c>
    </row>
    <row r="188">
      <c r="A188" s="39">
        <f>IF(C188="","","PO-"&amp;TEXT(ROW()-4,"0000"))</f>
        <v/>
      </c>
      <c r="B188" s="47" t="n"/>
      <c r="C188" s="50" t="n"/>
      <c r="D188" s="40" t="n"/>
      <c r="E188" s="40" t="n"/>
      <c r="F188" s="49">
        <f>IF(E188="","",IFERROR(INDEX('اعتماد المواد'!$P$5:$P$304,MATCH(E188,'اعتماد المواد'!$A$5:$A$304,0)),""))</f>
        <v/>
      </c>
      <c r="G188" s="50" t="n"/>
      <c r="H188" s="40" t="n"/>
      <c r="I188" s="50" t="n"/>
      <c r="J188" s="41" t="n"/>
      <c r="K188" s="41" t="n"/>
      <c r="L188" s="46">
        <f>IF(J188="","",J188*K188)</f>
        <v/>
      </c>
      <c r="M188" s="46">
        <f>IF(L188="","",L188*S_VAT)</f>
        <v/>
      </c>
      <c r="N188" s="46">
        <f>IF(L188="","",L188+M188)</f>
        <v/>
      </c>
      <c r="O188" s="47" t="n"/>
      <c r="P188" s="46">
        <f>IF(A188="","",SUMIFS('استلام المواد'!$K$5:$K$304,'استلام المواد'!$C$5:$C$304,A188))</f>
        <v/>
      </c>
      <c r="Q188" s="46">
        <f>IF(A188="","",J188-P188)</f>
        <v/>
      </c>
      <c r="R188" s="49">
        <f>IF(A188="","",IF(F188="لا","مادة غير معتمدة!",IF(P188&gt;=J188,"مكتمل",IF(AND(O188&lt;&gt;"",TODAY()&gt;O188),"متأخر التوريد",IF(P188&gt;0,"توريد جزئي","لم يُورد بعد")))))</f>
        <v/>
      </c>
    </row>
    <row r="189">
      <c r="A189" s="39">
        <f>IF(C189="","","PO-"&amp;TEXT(ROW()-4,"0000"))</f>
        <v/>
      </c>
      <c r="B189" s="47" t="n"/>
      <c r="C189" s="50" t="n"/>
      <c r="D189" s="40" t="n"/>
      <c r="E189" s="40" t="n"/>
      <c r="F189" s="49">
        <f>IF(E189="","",IFERROR(INDEX('اعتماد المواد'!$P$5:$P$304,MATCH(E189,'اعتماد المواد'!$A$5:$A$304,0)),""))</f>
        <v/>
      </c>
      <c r="G189" s="50" t="n"/>
      <c r="H189" s="40" t="n"/>
      <c r="I189" s="50" t="n"/>
      <c r="J189" s="41" t="n"/>
      <c r="K189" s="41" t="n"/>
      <c r="L189" s="46">
        <f>IF(J189="","",J189*K189)</f>
        <v/>
      </c>
      <c r="M189" s="46">
        <f>IF(L189="","",L189*S_VAT)</f>
        <v/>
      </c>
      <c r="N189" s="46">
        <f>IF(L189="","",L189+M189)</f>
        <v/>
      </c>
      <c r="O189" s="47" t="n"/>
      <c r="P189" s="46">
        <f>IF(A189="","",SUMIFS('استلام المواد'!$K$5:$K$304,'استلام المواد'!$C$5:$C$304,A189))</f>
        <v/>
      </c>
      <c r="Q189" s="46">
        <f>IF(A189="","",J189-P189)</f>
        <v/>
      </c>
      <c r="R189" s="49">
        <f>IF(A189="","",IF(F189="لا","مادة غير معتمدة!",IF(P189&gt;=J189,"مكتمل",IF(AND(O189&lt;&gt;"",TODAY()&gt;O189),"متأخر التوريد",IF(P189&gt;0,"توريد جزئي","لم يُورد بعد")))))</f>
        <v/>
      </c>
    </row>
    <row r="190">
      <c r="A190" s="39">
        <f>IF(C190="","","PO-"&amp;TEXT(ROW()-4,"0000"))</f>
        <v/>
      </c>
      <c r="B190" s="47" t="n"/>
      <c r="C190" s="50" t="n"/>
      <c r="D190" s="40" t="n"/>
      <c r="E190" s="40" t="n"/>
      <c r="F190" s="49">
        <f>IF(E190="","",IFERROR(INDEX('اعتماد المواد'!$P$5:$P$304,MATCH(E190,'اعتماد المواد'!$A$5:$A$304,0)),""))</f>
        <v/>
      </c>
      <c r="G190" s="50" t="n"/>
      <c r="H190" s="40" t="n"/>
      <c r="I190" s="50" t="n"/>
      <c r="J190" s="41" t="n"/>
      <c r="K190" s="41" t="n"/>
      <c r="L190" s="46">
        <f>IF(J190="","",J190*K190)</f>
        <v/>
      </c>
      <c r="M190" s="46">
        <f>IF(L190="","",L190*S_VAT)</f>
        <v/>
      </c>
      <c r="N190" s="46">
        <f>IF(L190="","",L190+M190)</f>
        <v/>
      </c>
      <c r="O190" s="47" t="n"/>
      <c r="P190" s="46">
        <f>IF(A190="","",SUMIFS('استلام المواد'!$K$5:$K$304,'استلام المواد'!$C$5:$C$304,A190))</f>
        <v/>
      </c>
      <c r="Q190" s="46">
        <f>IF(A190="","",J190-P190)</f>
        <v/>
      </c>
      <c r="R190" s="49">
        <f>IF(A190="","",IF(F190="لا","مادة غير معتمدة!",IF(P190&gt;=J190,"مكتمل",IF(AND(O190&lt;&gt;"",TODAY()&gt;O190),"متأخر التوريد",IF(P190&gt;0,"توريد جزئي","لم يُورد بعد")))))</f>
        <v/>
      </c>
    </row>
    <row r="191">
      <c r="A191" s="39">
        <f>IF(C191="","","PO-"&amp;TEXT(ROW()-4,"0000"))</f>
        <v/>
      </c>
      <c r="B191" s="47" t="n"/>
      <c r="C191" s="50" t="n"/>
      <c r="D191" s="40" t="n"/>
      <c r="E191" s="40" t="n"/>
      <c r="F191" s="49">
        <f>IF(E191="","",IFERROR(INDEX('اعتماد المواد'!$P$5:$P$304,MATCH(E191,'اعتماد المواد'!$A$5:$A$304,0)),""))</f>
        <v/>
      </c>
      <c r="G191" s="50" t="n"/>
      <c r="H191" s="40" t="n"/>
      <c r="I191" s="50" t="n"/>
      <c r="J191" s="41" t="n"/>
      <c r="K191" s="41" t="n"/>
      <c r="L191" s="46">
        <f>IF(J191="","",J191*K191)</f>
        <v/>
      </c>
      <c r="M191" s="46">
        <f>IF(L191="","",L191*S_VAT)</f>
        <v/>
      </c>
      <c r="N191" s="46">
        <f>IF(L191="","",L191+M191)</f>
        <v/>
      </c>
      <c r="O191" s="47" t="n"/>
      <c r="P191" s="46">
        <f>IF(A191="","",SUMIFS('استلام المواد'!$K$5:$K$304,'استلام المواد'!$C$5:$C$304,A191))</f>
        <v/>
      </c>
      <c r="Q191" s="46">
        <f>IF(A191="","",J191-P191)</f>
        <v/>
      </c>
      <c r="R191" s="49">
        <f>IF(A191="","",IF(F191="لا","مادة غير معتمدة!",IF(P191&gt;=J191,"مكتمل",IF(AND(O191&lt;&gt;"",TODAY()&gt;O191),"متأخر التوريد",IF(P191&gt;0,"توريد جزئي","لم يُورد بعد")))))</f>
        <v/>
      </c>
    </row>
    <row r="192">
      <c r="A192" s="39">
        <f>IF(C192="","","PO-"&amp;TEXT(ROW()-4,"0000"))</f>
        <v/>
      </c>
      <c r="B192" s="47" t="n"/>
      <c r="C192" s="50" t="n"/>
      <c r="D192" s="40" t="n"/>
      <c r="E192" s="40" t="n"/>
      <c r="F192" s="49">
        <f>IF(E192="","",IFERROR(INDEX('اعتماد المواد'!$P$5:$P$304,MATCH(E192,'اعتماد المواد'!$A$5:$A$304,0)),""))</f>
        <v/>
      </c>
      <c r="G192" s="50" t="n"/>
      <c r="H192" s="40" t="n"/>
      <c r="I192" s="50" t="n"/>
      <c r="J192" s="41" t="n"/>
      <c r="K192" s="41" t="n"/>
      <c r="L192" s="46">
        <f>IF(J192="","",J192*K192)</f>
        <v/>
      </c>
      <c r="M192" s="46">
        <f>IF(L192="","",L192*S_VAT)</f>
        <v/>
      </c>
      <c r="N192" s="46">
        <f>IF(L192="","",L192+M192)</f>
        <v/>
      </c>
      <c r="O192" s="47" t="n"/>
      <c r="P192" s="46">
        <f>IF(A192="","",SUMIFS('استلام المواد'!$K$5:$K$304,'استلام المواد'!$C$5:$C$304,A192))</f>
        <v/>
      </c>
      <c r="Q192" s="46">
        <f>IF(A192="","",J192-P192)</f>
        <v/>
      </c>
      <c r="R192" s="49">
        <f>IF(A192="","",IF(F192="لا","مادة غير معتمدة!",IF(P192&gt;=J192,"مكتمل",IF(AND(O192&lt;&gt;"",TODAY()&gt;O192),"متأخر التوريد",IF(P192&gt;0,"توريد جزئي","لم يُورد بعد")))))</f>
        <v/>
      </c>
    </row>
    <row r="193">
      <c r="A193" s="39">
        <f>IF(C193="","","PO-"&amp;TEXT(ROW()-4,"0000"))</f>
        <v/>
      </c>
      <c r="B193" s="47" t="n"/>
      <c r="C193" s="50" t="n"/>
      <c r="D193" s="40" t="n"/>
      <c r="E193" s="40" t="n"/>
      <c r="F193" s="49">
        <f>IF(E193="","",IFERROR(INDEX('اعتماد المواد'!$P$5:$P$304,MATCH(E193,'اعتماد المواد'!$A$5:$A$304,0)),""))</f>
        <v/>
      </c>
      <c r="G193" s="50" t="n"/>
      <c r="H193" s="40" t="n"/>
      <c r="I193" s="50" t="n"/>
      <c r="J193" s="41" t="n"/>
      <c r="K193" s="41" t="n"/>
      <c r="L193" s="46">
        <f>IF(J193="","",J193*K193)</f>
        <v/>
      </c>
      <c r="M193" s="46">
        <f>IF(L193="","",L193*S_VAT)</f>
        <v/>
      </c>
      <c r="N193" s="46">
        <f>IF(L193="","",L193+M193)</f>
        <v/>
      </c>
      <c r="O193" s="47" t="n"/>
      <c r="P193" s="46">
        <f>IF(A193="","",SUMIFS('استلام المواد'!$K$5:$K$304,'استلام المواد'!$C$5:$C$304,A193))</f>
        <v/>
      </c>
      <c r="Q193" s="46">
        <f>IF(A193="","",J193-P193)</f>
        <v/>
      </c>
      <c r="R193" s="49">
        <f>IF(A193="","",IF(F193="لا","مادة غير معتمدة!",IF(P193&gt;=J193,"مكتمل",IF(AND(O193&lt;&gt;"",TODAY()&gt;O193),"متأخر التوريد",IF(P193&gt;0,"توريد جزئي","لم يُورد بعد")))))</f>
        <v/>
      </c>
    </row>
    <row r="194">
      <c r="A194" s="39">
        <f>IF(C194="","","PO-"&amp;TEXT(ROW()-4,"0000"))</f>
        <v/>
      </c>
      <c r="B194" s="47" t="n"/>
      <c r="C194" s="50" t="n"/>
      <c r="D194" s="40" t="n"/>
      <c r="E194" s="40" t="n"/>
      <c r="F194" s="49">
        <f>IF(E194="","",IFERROR(INDEX('اعتماد المواد'!$P$5:$P$304,MATCH(E194,'اعتماد المواد'!$A$5:$A$304,0)),""))</f>
        <v/>
      </c>
      <c r="G194" s="50" t="n"/>
      <c r="H194" s="40" t="n"/>
      <c r="I194" s="50" t="n"/>
      <c r="J194" s="41" t="n"/>
      <c r="K194" s="41" t="n"/>
      <c r="L194" s="46">
        <f>IF(J194="","",J194*K194)</f>
        <v/>
      </c>
      <c r="M194" s="46">
        <f>IF(L194="","",L194*S_VAT)</f>
        <v/>
      </c>
      <c r="N194" s="46">
        <f>IF(L194="","",L194+M194)</f>
        <v/>
      </c>
      <c r="O194" s="47" t="n"/>
      <c r="P194" s="46">
        <f>IF(A194="","",SUMIFS('استلام المواد'!$K$5:$K$304,'استلام المواد'!$C$5:$C$304,A194))</f>
        <v/>
      </c>
      <c r="Q194" s="46">
        <f>IF(A194="","",J194-P194)</f>
        <v/>
      </c>
      <c r="R194" s="49">
        <f>IF(A194="","",IF(F194="لا","مادة غير معتمدة!",IF(P194&gt;=J194,"مكتمل",IF(AND(O194&lt;&gt;"",TODAY()&gt;O194),"متأخر التوريد",IF(P194&gt;0,"توريد جزئي","لم يُورد بعد")))))</f>
        <v/>
      </c>
    </row>
    <row r="195">
      <c r="A195" s="39">
        <f>IF(C195="","","PO-"&amp;TEXT(ROW()-4,"0000"))</f>
        <v/>
      </c>
      <c r="B195" s="47" t="n"/>
      <c r="C195" s="50" t="n"/>
      <c r="D195" s="40" t="n"/>
      <c r="E195" s="40" t="n"/>
      <c r="F195" s="49">
        <f>IF(E195="","",IFERROR(INDEX('اعتماد المواد'!$P$5:$P$304,MATCH(E195,'اعتماد المواد'!$A$5:$A$304,0)),""))</f>
        <v/>
      </c>
      <c r="G195" s="50" t="n"/>
      <c r="H195" s="40" t="n"/>
      <c r="I195" s="50" t="n"/>
      <c r="J195" s="41" t="n"/>
      <c r="K195" s="41" t="n"/>
      <c r="L195" s="46">
        <f>IF(J195="","",J195*K195)</f>
        <v/>
      </c>
      <c r="M195" s="46">
        <f>IF(L195="","",L195*S_VAT)</f>
        <v/>
      </c>
      <c r="N195" s="46">
        <f>IF(L195="","",L195+M195)</f>
        <v/>
      </c>
      <c r="O195" s="47" t="n"/>
      <c r="P195" s="46">
        <f>IF(A195="","",SUMIFS('استلام المواد'!$K$5:$K$304,'استلام المواد'!$C$5:$C$304,A195))</f>
        <v/>
      </c>
      <c r="Q195" s="46">
        <f>IF(A195="","",J195-P195)</f>
        <v/>
      </c>
      <c r="R195" s="49">
        <f>IF(A195="","",IF(F195="لا","مادة غير معتمدة!",IF(P195&gt;=J195,"مكتمل",IF(AND(O195&lt;&gt;"",TODAY()&gt;O195),"متأخر التوريد",IF(P195&gt;0,"توريد جزئي","لم يُورد بعد")))))</f>
        <v/>
      </c>
    </row>
    <row r="196">
      <c r="A196" s="39">
        <f>IF(C196="","","PO-"&amp;TEXT(ROW()-4,"0000"))</f>
        <v/>
      </c>
      <c r="B196" s="47" t="n"/>
      <c r="C196" s="50" t="n"/>
      <c r="D196" s="40" t="n"/>
      <c r="E196" s="40" t="n"/>
      <c r="F196" s="49">
        <f>IF(E196="","",IFERROR(INDEX('اعتماد المواد'!$P$5:$P$304,MATCH(E196,'اعتماد المواد'!$A$5:$A$304,0)),""))</f>
        <v/>
      </c>
      <c r="G196" s="50" t="n"/>
      <c r="H196" s="40" t="n"/>
      <c r="I196" s="50" t="n"/>
      <c r="J196" s="41" t="n"/>
      <c r="K196" s="41" t="n"/>
      <c r="L196" s="46">
        <f>IF(J196="","",J196*K196)</f>
        <v/>
      </c>
      <c r="M196" s="46">
        <f>IF(L196="","",L196*S_VAT)</f>
        <v/>
      </c>
      <c r="N196" s="46">
        <f>IF(L196="","",L196+M196)</f>
        <v/>
      </c>
      <c r="O196" s="47" t="n"/>
      <c r="P196" s="46">
        <f>IF(A196="","",SUMIFS('استلام المواد'!$K$5:$K$304,'استلام المواد'!$C$5:$C$304,A196))</f>
        <v/>
      </c>
      <c r="Q196" s="46">
        <f>IF(A196="","",J196-P196)</f>
        <v/>
      </c>
      <c r="R196" s="49">
        <f>IF(A196="","",IF(F196="لا","مادة غير معتمدة!",IF(P196&gt;=J196,"مكتمل",IF(AND(O196&lt;&gt;"",TODAY()&gt;O196),"متأخر التوريد",IF(P196&gt;0,"توريد جزئي","لم يُورد بعد")))))</f>
        <v/>
      </c>
    </row>
    <row r="197">
      <c r="A197" s="39">
        <f>IF(C197="","","PO-"&amp;TEXT(ROW()-4,"0000"))</f>
        <v/>
      </c>
      <c r="B197" s="47" t="n"/>
      <c r="C197" s="50" t="n"/>
      <c r="D197" s="40" t="n"/>
      <c r="E197" s="40" t="n"/>
      <c r="F197" s="49">
        <f>IF(E197="","",IFERROR(INDEX('اعتماد المواد'!$P$5:$P$304,MATCH(E197,'اعتماد المواد'!$A$5:$A$304,0)),""))</f>
        <v/>
      </c>
      <c r="G197" s="50" t="n"/>
      <c r="H197" s="40" t="n"/>
      <c r="I197" s="50" t="n"/>
      <c r="J197" s="41" t="n"/>
      <c r="K197" s="41" t="n"/>
      <c r="L197" s="46">
        <f>IF(J197="","",J197*K197)</f>
        <v/>
      </c>
      <c r="M197" s="46">
        <f>IF(L197="","",L197*S_VAT)</f>
        <v/>
      </c>
      <c r="N197" s="46">
        <f>IF(L197="","",L197+M197)</f>
        <v/>
      </c>
      <c r="O197" s="47" t="n"/>
      <c r="P197" s="46">
        <f>IF(A197="","",SUMIFS('استلام المواد'!$K$5:$K$304,'استلام المواد'!$C$5:$C$304,A197))</f>
        <v/>
      </c>
      <c r="Q197" s="46">
        <f>IF(A197="","",J197-P197)</f>
        <v/>
      </c>
      <c r="R197" s="49">
        <f>IF(A197="","",IF(F197="لا","مادة غير معتمدة!",IF(P197&gt;=J197,"مكتمل",IF(AND(O197&lt;&gt;"",TODAY()&gt;O197),"متأخر التوريد",IF(P197&gt;0,"توريد جزئي","لم يُورد بعد")))))</f>
        <v/>
      </c>
    </row>
    <row r="198">
      <c r="A198" s="39">
        <f>IF(C198="","","PO-"&amp;TEXT(ROW()-4,"0000"))</f>
        <v/>
      </c>
      <c r="B198" s="47" t="n"/>
      <c r="C198" s="50" t="n"/>
      <c r="D198" s="40" t="n"/>
      <c r="E198" s="40" t="n"/>
      <c r="F198" s="49">
        <f>IF(E198="","",IFERROR(INDEX('اعتماد المواد'!$P$5:$P$304,MATCH(E198,'اعتماد المواد'!$A$5:$A$304,0)),""))</f>
        <v/>
      </c>
      <c r="G198" s="50" t="n"/>
      <c r="H198" s="40" t="n"/>
      <c r="I198" s="50" t="n"/>
      <c r="J198" s="41" t="n"/>
      <c r="K198" s="41" t="n"/>
      <c r="L198" s="46">
        <f>IF(J198="","",J198*K198)</f>
        <v/>
      </c>
      <c r="M198" s="46">
        <f>IF(L198="","",L198*S_VAT)</f>
        <v/>
      </c>
      <c r="N198" s="46">
        <f>IF(L198="","",L198+M198)</f>
        <v/>
      </c>
      <c r="O198" s="47" t="n"/>
      <c r="P198" s="46">
        <f>IF(A198="","",SUMIFS('استلام المواد'!$K$5:$K$304,'استلام المواد'!$C$5:$C$304,A198))</f>
        <v/>
      </c>
      <c r="Q198" s="46">
        <f>IF(A198="","",J198-P198)</f>
        <v/>
      </c>
      <c r="R198" s="49">
        <f>IF(A198="","",IF(F198="لا","مادة غير معتمدة!",IF(P198&gt;=J198,"مكتمل",IF(AND(O198&lt;&gt;"",TODAY()&gt;O198),"متأخر التوريد",IF(P198&gt;0,"توريد جزئي","لم يُورد بعد")))))</f>
        <v/>
      </c>
    </row>
    <row r="199">
      <c r="A199" s="39">
        <f>IF(C199="","","PO-"&amp;TEXT(ROW()-4,"0000"))</f>
        <v/>
      </c>
      <c r="B199" s="47" t="n"/>
      <c r="C199" s="50" t="n"/>
      <c r="D199" s="40" t="n"/>
      <c r="E199" s="40" t="n"/>
      <c r="F199" s="49">
        <f>IF(E199="","",IFERROR(INDEX('اعتماد المواد'!$P$5:$P$304,MATCH(E199,'اعتماد المواد'!$A$5:$A$304,0)),""))</f>
        <v/>
      </c>
      <c r="G199" s="50" t="n"/>
      <c r="H199" s="40" t="n"/>
      <c r="I199" s="50" t="n"/>
      <c r="J199" s="41" t="n"/>
      <c r="K199" s="41" t="n"/>
      <c r="L199" s="46">
        <f>IF(J199="","",J199*K199)</f>
        <v/>
      </c>
      <c r="M199" s="46">
        <f>IF(L199="","",L199*S_VAT)</f>
        <v/>
      </c>
      <c r="N199" s="46">
        <f>IF(L199="","",L199+M199)</f>
        <v/>
      </c>
      <c r="O199" s="47" t="n"/>
      <c r="P199" s="46">
        <f>IF(A199="","",SUMIFS('استلام المواد'!$K$5:$K$304,'استلام المواد'!$C$5:$C$304,A199))</f>
        <v/>
      </c>
      <c r="Q199" s="46">
        <f>IF(A199="","",J199-P199)</f>
        <v/>
      </c>
      <c r="R199" s="49">
        <f>IF(A199="","",IF(F199="لا","مادة غير معتمدة!",IF(P199&gt;=J199,"مكتمل",IF(AND(O199&lt;&gt;"",TODAY()&gt;O199),"متأخر التوريد",IF(P199&gt;0,"توريد جزئي","لم يُورد بعد")))))</f>
        <v/>
      </c>
    </row>
    <row r="200">
      <c r="A200" s="39">
        <f>IF(C200="","","PO-"&amp;TEXT(ROW()-4,"0000"))</f>
        <v/>
      </c>
      <c r="B200" s="47" t="n"/>
      <c r="C200" s="50" t="n"/>
      <c r="D200" s="40" t="n"/>
      <c r="E200" s="40" t="n"/>
      <c r="F200" s="49">
        <f>IF(E200="","",IFERROR(INDEX('اعتماد المواد'!$P$5:$P$304,MATCH(E200,'اعتماد المواد'!$A$5:$A$304,0)),""))</f>
        <v/>
      </c>
      <c r="G200" s="50" t="n"/>
      <c r="H200" s="40" t="n"/>
      <c r="I200" s="50" t="n"/>
      <c r="J200" s="41" t="n"/>
      <c r="K200" s="41" t="n"/>
      <c r="L200" s="46">
        <f>IF(J200="","",J200*K200)</f>
        <v/>
      </c>
      <c r="M200" s="46">
        <f>IF(L200="","",L200*S_VAT)</f>
        <v/>
      </c>
      <c r="N200" s="46">
        <f>IF(L200="","",L200+M200)</f>
        <v/>
      </c>
      <c r="O200" s="47" t="n"/>
      <c r="P200" s="46">
        <f>IF(A200="","",SUMIFS('استلام المواد'!$K$5:$K$304,'استلام المواد'!$C$5:$C$304,A200))</f>
        <v/>
      </c>
      <c r="Q200" s="46">
        <f>IF(A200="","",J200-P200)</f>
        <v/>
      </c>
      <c r="R200" s="49">
        <f>IF(A200="","",IF(F200="لا","مادة غير معتمدة!",IF(P200&gt;=J200,"مكتمل",IF(AND(O200&lt;&gt;"",TODAY()&gt;O200),"متأخر التوريد",IF(P200&gt;0,"توريد جزئي","لم يُورد بعد")))))</f>
        <v/>
      </c>
    </row>
    <row r="201">
      <c r="A201" s="39">
        <f>IF(C201="","","PO-"&amp;TEXT(ROW()-4,"0000"))</f>
        <v/>
      </c>
      <c r="B201" s="47" t="n"/>
      <c r="C201" s="50" t="n"/>
      <c r="D201" s="40" t="n"/>
      <c r="E201" s="40" t="n"/>
      <c r="F201" s="49">
        <f>IF(E201="","",IFERROR(INDEX('اعتماد المواد'!$P$5:$P$304,MATCH(E201,'اعتماد المواد'!$A$5:$A$304,0)),""))</f>
        <v/>
      </c>
      <c r="G201" s="50" t="n"/>
      <c r="H201" s="40" t="n"/>
      <c r="I201" s="50" t="n"/>
      <c r="J201" s="41" t="n"/>
      <c r="K201" s="41" t="n"/>
      <c r="L201" s="46">
        <f>IF(J201="","",J201*K201)</f>
        <v/>
      </c>
      <c r="M201" s="46">
        <f>IF(L201="","",L201*S_VAT)</f>
        <v/>
      </c>
      <c r="N201" s="46">
        <f>IF(L201="","",L201+M201)</f>
        <v/>
      </c>
      <c r="O201" s="47" t="n"/>
      <c r="P201" s="46">
        <f>IF(A201="","",SUMIFS('استلام المواد'!$K$5:$K$304,'استلام المواد'!$C$5:$C$304,A201))</f>
        <v/>
      </c>
      <c r="Q201" s="46">
        <f>IF(A201="","",J201-P201)</f>
        <v/>
      </c>
      <c r="R201" s="49">
        <f>IF(A201="","",IF(F201="لا","مادة غير معتمدة!",IF(P201&gt;=J201,"مكتمل",IF(AND(O201&lt;&gt;"",TODAY()&gt;O201),"متأخر التوريد",IF(P201&gt;0,"توريد جزئي","لم يُورد بعد")))))</f>
        <v/>
      </c>
    </row>
    <row r="202">
      <c r="A202" s="39">
        <f>IF(C202="","","PO-"&amp;TEXT(ROW()-4,"0000"))</f>
        <v/>
      </c>
      <c r="B202" s="47" t="n"/>
      <c r="C202" s="50" t="n"/>
      <c r="D202" s="40" t="n"/>
      <c r="E202" s="40" t="n"/>
      <c r="F202" s="49">
        <f>IF(E202="","",IFERROR(INDEX('اعتماد المواد'!$P$5:$P$304,MATCH(E202,'اعتماد المواد'!$A$5:$A$304,0)),""))</f>
        <v/>
      </c>
      <c r="G202" s="50" t="n"/>
      <c r="H202" s="40" t="n"/>
      <c r="I202" s="50" t="n"/>
      <c r="J202" s="41" t="n"/>
      <c r="K202" s="41" t="n"/>
      <c r="L202" s="46">
        <f>IF(J202="","",J202*K202)</f>
        <v/>
      </c>
      <c r="M202" s="46">
        <f>IF(L202="","",L202*S_VAT)</f>
        <v/>
      </c>
      <c r="N202" s="46">
        <f>IF(L202="","",L202+M202)</f>
        <v/>
      </c>
      <c r="O202" s="47" t="n"/>
      <c r="P202" s="46">
        <f>IF(A202="","",SUMIFS('استلام المواد'!$K$5:$K$304,'استلام المواد'!$C$5:$C$304,A202))</f>
        <v/>
      </c>
      <c r="Q202" s="46">
        <f>IF(A202="","",J202-P202)</f>
        <v/>
      </c>
      <c r="R202" s="49">
        <f>IF(A202="","",IF(F202="لا","مادة غير معتمدة!",IF(P202&gt;=J202,"مكتمل",IF(AND(O202&lt;&gt;"",TODAY()&gt;O202),"متأخر التوريد",IF(P202&gt;0,"توريد جزئي","لم يُورد بعد")))))</f>
        <v/>
      </c>
    </row>
    <row r="203">
      <c r="A203" s="39">
        <f>IF(C203="","","PO-"&amp;TEXT(ROW()-4,"0000"))</f>
        <v/>
      </c>
      <c r="B203" s="47" t="n"/>
      <c r="C203" s="50" t="n"/>
      <c r="D203" s="40" t="n"/>
      <c r="E203" s="40" t="n"/>
      <c r="F203" s="49">
        <f>IF(E203="","",IFERROR(INDEX('اعتماد المواد'!$P$5:$P$304,MATCH(E203,'اعتماد المواد'!$A$5:$A$304,0)),""))</f>
        <v/>
      </c>
      <c r="G203" s="50" t="n"/>
      <c r="H203" s="40" t="n"/>
      <c r="I203" s="50" t="n"/>
      <c r="J203" s="41" t="n"/>
      <c r="K203" s="41" t="n"/>
      <c r="L203" s="46">
        <f>IF(J203="","",J203*K203)</f>
        <v/>
      </c>
      <c r="M203" s="46">
        <f>IF(L203="","",L203*S_VAT)</f>
        <v/>
      </c>
      <c r="N203" s="46">
        <f>IF(L203="","",L203+M203)</f>
        <v/>
      </c>
      <c r="O203" s="47" t="n"/>
      <c r="P203" s="46">
        <f>IF(A203="","",SUMIFS('استلام المواد'!$K$5:$K$304,'استلام المواد'!$C$5:$C$304,A203))</f>
        <v/>
      </c>
      <c r="Q203" s="46">
        <f>IF(A203="","",J203-P203)</f>
        <v/>
      </c>
      <c r="R203" s="49">
        <f>IF(A203="","",IF(F203="لا","مادة غير معتمدة!",IF(P203&gt;=J203,"مكتمل",IF(AND(O203&lt;&gt;"",TODAY()&gt;O203),"متأخر التوريد",IF(P203&gt;0,"توريد جزئي","لم يُورد بعد")))))</f>
        <v/>
      </c>
    </row>
    <row r="204">
      <c r="A204" s="39">
        <f>IF(C204="","","PO-"&amp;TEXT(ROW()-4,"0000"))</f>
        <v/>
      </c>
      <c r="B204" s="47" t="n"/>
      <c r="C204" s="50" t="n"/>
      <c r="D204" s="40" t="n"/>
      <c r="E204" s="40" t="n"/>
      <c r="F204" s="49">
        <f>IF(E204="","",IFERROR(INDEX('اعتماد المواد'!$P$5:$P$304,MATCH(E204,'اعتماد المواد'!$A$5:$A$304,0)),""))</f>
        <v/>
      </c>
      <c r="G204" s="50" t="n"/>
      <c r="H204" s="40" t="n"/>
      <c r="I204" s="50" t="n"/>
      <c r="J204" s="41" t="n"/>
      <c r="K204" s="41" t="n"/>
      <c r="L204" s="46">
        <f>IF(J204="","",J204*K204)</f>
        <v/>
      </c>
      <c r="M204" s="46">
        <f>IF(L204="","",L204*S_VAT)</f>
        <v/>
      </c>
      <c r="N204" s="46">
        <f>IF(L204="","",L204+M204)</f>
        <v/>
      </c>
      <c r="O204" s="47" t="n"/>
      <c r="P204" s="46">
        <f>IF(A204="","",SUMIFS('استلام المواد'!$K$5:$K$304,'استلام المواد'!$C$5:$C$304,A204))</f>
        <v/>
      </c>
      <c r="Q204" s="46">
        <f>IF(A204="","",J204-P204)</f>
        <v/>
      </c>
      <c r="R204" s="49">
        <f>IF(A204="","",IF(F204="لا","مادة غير معتمدة!",IF(P204&gt;=J204,"مكتمل",IF(AND(O204&lt;&gt;"",TODAY()&gt;O204),"متأخر التوريد",IF(P204&gt;0,"توريد جزئي","لم يُورد بعد")))))</f>
        <v/>
      </c>
    </row>
    <row r="205">
      <c r="A205" s="39">
        <f>IF(C205="","","PO-"&amp;TEXT(ROW()-4,"0000"))</f>
        <v/>
      </c>
      <c r="B205" s="47" t="n"/>
      <c r="C205" s="50" t="n"/>
      <c r="D205" s="40" t="n"/>
      <c r="E205" s="40" t="n"/>
      <c r="F205" s="49">
        <f>IF(E205="","",IFERROR(INDEX('اعتماد المواد'!$P$5:$P$304,MATCH(E205,'اعتماد المواد'!$A$5:$A$304,0)),""))</f>
        <v/>
      </c>
      <c r="G205" s="50" t="n"/>
      <c r="H205" s="40" t="n"/>
      <c r="I205" s="50" t="n"/>
      <c r="J205" s="41" t="n"/>
      <c r="K205" s="41" t="n"/>
      <c r="L205" s="46">
        <f>IF(J205="","",J205*K205)</f>
        <v/>
      </c>
      <c r="M205" s="46">
        <f>IF(L205="","",L205*S_VAT)</f>
        <v/>
      </c>
      <c r="N205" s="46">
        <f>IF(L205="","",L205+M205)</f>
        <v/>
      </c>
      <c r="O205" s="47" t="n"/>
      <c r="P205" s="46">
        <f>IF(A205="","",SUMIFS('استلام المواد'!$K$5:$K$304,'استلام المواد'!$C$5:$C$304,A205))</f>
        <v/>
      </c>
      <c r="Q205" s="46">
        <f>IF(A205="","",J205-P205)</f>
        <v/>
      </c>
      <c r="R205" s="49">
        <f>IF(A205="","",IF(F205="لا","مادة غير معتمدة!",IF(P205&gt;=J205,"مكتمل",IF(AND(O205&lt;&gt;"",TODAY()&gt;O205),"متأخر التوريد",IF(P205&gt;0,"توريد جزئي","لم يُورد بعد")))))</f>
        <v/>
      </c>
    </row>
    <row r="206">
      <c r="A206" s="39">
        <f>IF(C206="","","PO-"&amp;TEXT(ROW()-4,"0000"))</f>
        <v/>
      </c>
      <c r="B206" s="47" t="n"/>
      <c r="C206" s="50" t="n"/>
      <c r="D206" s="40" t="n"/>
      <c r="E206" s="40" t="n"/>
      <c r="F206" s="49">
        <f>IF(E206="","",IFERROR(INDEX('اعتماد المواد'!$P$5:$P$304,MATCH(E206,'اعتماد المواد'!$A$5:$A$304,0)),""))</f>
        <v/>
      </c>
      <c r="G206" s="50" t="n"/>
      <c r="H206" s="40" t="n"/>
      <c r="I206" s="50" t="n"/>
      <c r="J206" s="41" t="n"/>
      <c r="K206" s="41" t="n"/>
      <c r="L206" s="46">
        <f>IF(J206="","",J206*K206)</f>
        <v/>
      </c>
      <c r="M206" s="46">
        <f>IF(L206="","",L206*S_VAT)</f>
        <v/>
      </c>
      <c r="N206" s="46">
        <f>IF(L206="","",L206+M206)</f>
        <v/>
      </c>
      <c r="O206" s="47" t="n"/>
      <c r="P206" s="46">
        <f>IF(A206="","",SUMIFS('استلام المواد'!$K$5:$K$304,'استلام المواد'!$C$5:$C$304,A206))</f>
        <v/>
      </c>
      <c r="Q206" s="46">
        <f>IF(A206="","",J206-P206)</f>
        <v/>
      </c>
      <c r="R206" s="49">
        <f>IF(A206="","",IF(F206="لا","مادة غير معتمدة!",IF(P206&gt;=J206,"مكتمل",IF(AND(O206&lt;&gt;"",TODAY()&gt;O206),"متأخر التوريد",IF(P206&gt;0,"توريد جزئي","لم يُورد بعد")))))</f>
        <v/>
      </c>
    </row>
    <row r="207">
      <c r="A207" s="39">
        <f>IF(C207="","","PO-"&amp;TEXT(ROW()-4,"0000"))</f>
        <v/>
      </c>
      <c r="B207" s="47" t="n"/>
      <c r="C207" s="50" t="n"/>
      <c r="D207" s="40" t="n"/>
      <c r="E207" s="40" t="n"/>
      <c r="F207" s="49">
        <f>IF(E207="","",IFERROR(INDEX('اعتماد المواد'!$P$5:$P$304,MATCH(E207,'اعتماد المواد'!$A$5:$A$304,0)),""))</f>
        <v/>
      </c>
      <c r="G207" s="50" t="n"/>
      <c r="H207" s="40" t="n"/>
      <c r="I207" s="50" t="n"/>
      <c r="J207" s="41" t="n"/>
      <c r="K207" s="41" t="n"/>
      <c r="L207" s="46">
        <f>IF(J207="","",J207*K207)</f>
        <v/>
      </c>
      <c r="M207" s="46">
        <f>IF(L207="","",L207*S_VAT)</f>
        <v/>
      </c>
      <c r="N207" s="46">
        <f>IF(L207="","",L207+M207)</f>
        <v/>
      </c>
      <c r="O207" s="47" t="n"/>
      <c r="P207" s="46">
        <f>IF(A207="","",SUMIFS('استلام المواد'!$K$5:$K$304,'استلام المواد'!$C$5:$C$304,A207))</f>
        <v/>
      </c>
      <c r="Q207" s="46">
        <f>IF(A207="","",J207-P207)</f>
        <v/>
      </c>
      <c r="R207" s="49">
        <f>IF(A207="","",IF(F207="لا","مادة غير معتمدة!",IF(P207&gt;=J207,"مكتمل",IF(AND(O207&lt;&gt;"",TODAY()&gt;O207),"متأخر التوريد",IF(P207&gt;0,"توريد جزئي","لم يُورد بعد")))))</f>
        <v/>
      </c>
    </row>
    <row r="208">
      <c r="A208" s="39">
        <f>IF(C208="","","PO-"&amp;TEXT(ROW()-4,"0000"))</f>
        <v/>
      </c>
      <c r="B208" s="47" t="n"/>
      <c r="C208" s="50" t="n"/>
      <c r="D208" s="40" t="n"/>
      <c r="E208" s="40" t="n"/>
      <c r="F208" s="49">
        <f>IF(E208="","",IFERROR(INDEX('اعتماد المواد'!$P$5:$P$304,MATCH(E208,'اعتماد المواد'!$A$5:$A$304,0)),""))</f>
        <v/>
      </c>
      <c r="G208" s="50" t="n"/>
      <c r="H208" s="40" t="n"/>
      <c r="I208" s="50" t="n"/>
      <c r="J208" s="41" t="n"/>
      <c r="K208" s="41" t="n"/>
      <c r="L208" s="46">
        <f>IF(J208="","",J208*K208)</f>
        <v/>
      </c>
      <c r="M208" s="46">
        <f>IF(L208="","",L208*S_VAT)</f>
        <v/>
      </c>
      <c r="N208" s="46">
        <f>IF(L208="","",L208+M208)</f>
        <v/>
      </c>
      <c r="O208" s="47" t="n"/>
      <c r="P208" s="46">
        <f>IF(A208="","",SUMIFS('استلام المواد'!$K$5:$K$304,'استلام المواد'!$C$5:$C$304,A208))</f>
        <v/>
      </c>
      <c r="Q208" s="46">
        <f>IF(A208="","",J208-P208)</f>
        <v/>
      </c>
      <c r="R208" s="49">
        <f>IF(A208="","",IF(F208="لا","مادة غير معتمدة!",IF(P208&gt;=J208,"مكتمل",IF(AND(O208&lt;&gt;"",TODAY()&gt;O208),"متأخر التوريد",IF(P208&gt;0,"توريد جزئي","لم يُورد بعد")))))</f>
        <v/>
      </c>
    </row>
    <row r="209">
      <c r="A209" s="39">
        <f>IF(C209="","","PO-"&amp;TEXT(ROW()-4,"0000"))</f>
        <v/>
      </c>
      <c r="B209" s="47" t="n"/>
      <c r="C209" s="50" t="n"/>
      <c r="D209" s="40" t="n"/>
      <c r="E209" s="40" t="n"/>
      <c r="F209" s="49">
        <f>IF(E209="","",IFERROR(INDEX('اعتماد المواد'!$P$5:$P$304,MATCH(E209,'اعتماد المواد'!$A$5:$A$304,0)),""))</f>
        <v/>
      </c>
      <c r="G209" s="50" t="n"/>
      <c r="H209" s="40" t="n"/>
      <c r="I209" s="50" t="n"/>
      <c r="J209" s="41" t="n"/>
      <c r="K209" s="41" t="n"/>
      <c r="L209" s="46">
        <f>IF(J209="","",J209*K209)</f>
        <v/>
      </c>
      <c r="M209" s="46">
        <f>IF(L209="","",L209*S_VAT)</f>
        <v/>
      </c>
      <c r="N209" s="46">
        <f>IF(L209="","",L209+M209)</f>
        <v/>
      </c>
      <c r="O209" s="47" t="n"/>
      <c r="P209" s="46">
        <f>IF(A209="","",SUMIFS('استلام المواد'!$K$5:$K$304,'استلام المواد'!$C$5:$C$304,A209))</f>
        <v/>
      </c>
      <c r="Q209" s="46">
        <f>IF(A209="","",J209-P209)</f>
        <v/>
      </c>
      <c r="R209" s="49">
        <f>IF(A209="","",IF(F209="لا","مادة غير معتمدة!",IF(P209&gt;=J209,"مكتمل",IF(AND(O209&lt;&gt;"",TODAY()&gt;O209),"متأخر التوريد",IF(P209&gt;0,"توريد جزئي","لم يُورد بعد")))))</f>
        <v/>
      </c>
    </row>
    <row r="210">
      <c r="A210" s="39">
        <f>IF(C210="","","PO-"&amp;TEXT(ROW()-4,"0000"))</f>
        <v/>
      </c>
      <c r="B210" s="47" t="n"/>
      <c r="C210" s="50" t="n"/>
      <c r="D210" s="40" t="n"/>
      <c r="E210" s="40" t="n"/>
      <c r="F210" s="49">
        <f>IF(E210="","",IFERROR(INDEX('اعتماد المواد'!$P$5:$P$304,MATCH(E210,'اعتماد المواد'!$A$5:$A$304,0)),""))</f>
        <v/>
      </c>
      <c r="G210" s="50" t="n"/>
      <c r="H210" s="40" t="n"/>
      <c r="I210" s="50" t="n"/>
      <c r="J210" s="41" t="n"/>
      <c r="K210" s="41" t="n"/>
      <c r="L210" s="46">
        <f>IF(J210="","",J210*K210)</f>
        <v/>
      </c>
      <c r="M210" s="46">
        <f>IF(L210="","",L210*S_VAT)</f>
        <v/>
      </c>
      <c r="N210" s="46">
        <f>IF(L210="","",L210+M210)</f>
        <v/>
      </c>
      <c r="O210" s="47" t="n"/>
      <c r="P210" s="46">
        <f>IF(A210="","",SUMIFS('استلام المواد'!$K$5:$K$304,'استلام المواد'!$C$5:$C$304,A210))</f>
        <v/>
      </c>
      <c r="Q210" s="46">
        <f>IF(A210="","",J210-P210)</f>
        <v/>
      </c>
      <c r="R210" s="49">
        <f>IF(A210="","",IF(F210="لا","مادة غير معتمدة!",IF(P210&gt;=J210,"مكتمل",IF(AND(O210&lt;&gt;"",TODAY()&gt;O210),"متأخر التوريد",IF(P210&gt;0,"توريد جزئي","لم يُورد بعد")))))</f>
        <v/>
      </c>
    </row>
    <row r="211">
      <c r="A211" s="39">
        <f>IF(C211="","","PO-"&amp;TEXT(ROW()-4,"0000"))</f>
        <v/>
      </c>
      <c r="B211" s="47" t="n"/>
      <c r="C211" s="50" t="n"/>
      <c r="D211" s="40" t="n"/>
      <c r="E211" s="40" t="n"/>
      <c r="F211" s="49">
        <f>IF(E211="","",IFERROR(INDEX('اعتماد المواد'!$P$5:$P$304,MATCH(E211,'اعتماد المواد'!$A$5:$A$304,0)),""))</f>
        <v/>
      </c>
      <c r="G211" s="50" t="n"/>
      <c r="H211" s="40" t="n"/>
      <c r="I211" s="50" t="n"/>
      <c r="J211" s="41" t="n"/>
      <c r="K211" s="41" t="n"/>
      <c r="L211" s="46">
        <f>IF(J211="","",J211*K211)</f>
        <v/>
      </c>
      <c r="M211" s="46">
        <f>IF(L211="","",L211*S_VAT)</f>
        <v/>
      </c>
      <c r="N211" s="46">
        <f>IF(L211="","",L211+M211)</f>
        <v/>
      </c>
      <c r="O211" s="47" t="n"/>
      <c r="P211" s="46">
        <f>IF(A211="","",SUMIFS('استلام المواد'!$K$5:$K$304,'استلام المواد'!$C$5:$C$304,A211))</f>
        <v/>
      </c>
      <c r="Q211" s="46">
        <f>IF(A211="","",J211-P211)</f>
        <v/>
      </c>
      <c r="R211" s="49">
        <f>IF(A211="","",IF(F211="لا","مادة غير معتمدة!",IF(P211&gt;=J211,"مكتمل",IF(AND(O211&lt;&gt;"",TODAY()&gt;O211),"متأخر التوريد",IF(P211&gt;0,"توريد جزئي","لم يُورد بعد")))))</f>
        <v/>
      </c>
    </row>
    <row r="212">
      <c r="A212" s="39">
        <f>IF(C212="","","PO-"&amp;TEXT(ROW()-4,"0000"))</f>
        <v/>
      </c>
      <c r="B212" s="47" t="n"/>
      <c r="C212" s="50" t="n"/>
      <c r="D212" s="40" t="n"/>
      <c r="E212" s="40" t="n"/>
      <c r="F212" s="49">
        <f>IF(E212="","",IFERROR(INDEX('اعتماد المواد'!$P$5:$P$304,MATCH(E212,'اعتماد المواد'!$A$5:$A$304,0)),""))</f>
        <v/>
      </c>
      <c r="G212" s="50" t="n"/>
      <c r="H212" s="40" t="n"/>
      <c r="I212" s="50" t="n"/>
      <c r="J212" s="41" t="n"/>
      <c r="K212" s="41" t="n"/>
      <c r="L212" s="46">
        <f>IF(J212="","",J212*K212)</f>
        <v/>
      </c>
      <c r="M212" s="46">
        <f>IF(L212="","",L212*S_VAT)</f>
        <v/>
      </c>
      <c r="N212" s="46">
        <f>IF(L212="","",L212+M212)</f>
        <v/>
      </c>
      <c r="O212" s="47" t="n"/>
      <c r="P212" s="46">
        <f>IF(A212="","",SUMIFS('استلام المواد'!$K$5:$K$304,'استلام المواد'!$C$5:$C$304,A212))</f>
        <v/>
      </c>
      <c r="Q212" s="46">
        <f>IF(A212="","",J212-P212)</f>
        <v/>
      </c>
      <c r="R212" s="49">
        <f>IF(A212="","",IF(F212="لا","مادة غير معتمدة!",IF(P212&gt;=J212,"مكتمل",IF(AND(O212&lt;&gt;"",TODAY()&gt;O212),"متأخر التوريد",IF(P212&gt;0,"توريد جزئي","لم يُورد بعد")))))</f>
        <v/>
      </c>
    </row>
    <row r="213">
      <c r="A213" s="39">
        <f>IF(C213="","","PO-"&amp;TEXT(ROW()-4,"0000"))</f>
        <v/>
      </c>
      <c r="B213" s="47" t="n"/>
      <c r="C213" s="50" t="n"/>
      <c r="D213" s="40" t="n"/>
      <c r="E213" s="40" t="n"/>
      <c r="F213" s="49">
        <f>IF(E213="","",IFERROR(INDEX('اعتماد المواد'!$P$5:$P$304,MATCH(E213,'اعتماد المواد'!$A$5:$A$304,0)),""))</f>
        <v/>
      </c>
      <c r="G213" s="50" t="n"/>
      <c r="H213" s="40" t="n"/>
      <c r="I213" s="50" t="n"/>
      <c r="J213" s="41" t="n"/>
      <c r="K213" s="41" t="n"/>
      <c r="L213" s="46">
        <f>IF(J213="","",J213*K213)</f>
        <v/>
      </c>
      <c r="M213" s="46">
        <f>IF(L213="","",L213*S_VAT)</f>
        <v/>
      </c>
      <c r="N213" s="46">
        <f>IF(L213="","",L213+M213)</f>
        <v/>
      </c>
      <c r="O213" s="47" t="n"/>
      <c r="P213" s="46">
        <f>IF(A213="","",SUMIFS('استلام المواد'!$K$5:$K$304,'استلام المواد'!$C$5:$C$304,A213))</f>
        <v/>
      </c>
      <c r="Q213" s="46">
        <f>IF(A213="","",J213-P213)</f>
        <v/>
      </c>
      <c r="R213" s="49">
        <f>IF(A213="","",IF(F213="لا","مادة غير معتمدة!",IF(P213&gt;=J213,"مكتمل",IF(AND(O213&lt;&gt;"",TODAY()&gt;O213),"متأخر التوريد",IF(P213&gt;0,"توريد جزئي","لم يُورد بعد")))))</f>
        <v/>
      </c>
    </row>
    <row r="214">
      <c r="A214" s="39">
        <f>IF(C214="","","PO-"&amp;TEXT(ROW()-4,"0000"))</f>
        <v/>
      </c>
      <c r="B214" s="47" t="n"/>
      <c r="C214" s="50" t="n"/>
      <c r="D214" s="40" t="n"/>
      <c r="E214" s="40" t="n"/>
      <c r="F214" s="49">
        <f>IF(E214="","",IFERROR(INDEX('اعتماد المواد'!$P$5:$P$304,MATCH(E214,'اعتماد المواد'!$A$5:$A$304,0)),""))</f>
        <v/>
      </c>
      <c r="G214" s="50" t="n"/>
      <c r="H214" s="40" t="n"/>
      <c r="I214" s="50" t="n"/>
      <c r="J214" s="41" t="n"/>
      <c r="K214" s="41" t="n"/>
      <c r="L214" s="46">
        <f>IF(J214="","",J214*K214)</f>
        <v/>
      </c>
      <c r="M214" s="46">
        <f>IF(L214="","",L214*S_VAT)</f>
        <v/>
      </c>
      <c r="N214" s="46">
        <f>IF(L214="","",L214+M214)</f>
        <v/>
      </c>
      <c r="O214" s="47" t="n"/>
      <c r="P214" s="46">
        <f>IF(A214="","",SUMIFS('استلام المواد'!$K$5:$K$304,'استلام المواد'!$C$5:$C$304,A214))</f>
        <v/>
      </c>
      <c r="Q214" s="46">
        <f>IF(A214="","",J214-P214)</f>
        <v/>
      </c>
      <c r="R214" s="49">
        <f>IF(A214="","",IF(F214="لا","مادة غير معتمدة!",IF(P214&gt;=J214,"مكتمل",IF(AND(O214&lt;&gt;"",TODAY()&gt;O214),"متأخر التوريد",IF(P214&gt;0,"توريد جزئي","لم يُورد بعد")))))</f>
        <v/>
      </c>
    </row>
    <row r="215">
      <c r="A215" s="39">
        <f>IF(C215="","","PO-"&amp;TEXT(ROW()-4,"0000"))</f>
        <v/>
      </c>
      <c r="B215" s="47" t="n"/>
      <c r="C215" s="50" t="n"/>
      <c r="D215" s="40" t="n"/>
      <c r="E215" s="40" t="n"/>
      <c r="F215" s="49">
        <f>IF(E215="","",IFERROR(INDEX('اعتماد المواد'!$P$5:$P$304,MATCH(E215,'اعتماد المواد'!$A$5:$A$304,0)),""))</f>
        <v/>
      </c>
      <c r="G215" s="50" t="n"/>
      <c r="H215" s="40" t="n"/>
      <c r="I215" s="50" t="n"/>
      <c r="J215" s="41" t="n"/>
      <c r="K215" s="41" t="n"/>
      <c r="L215" s="46">
        <f>IF(J215="","",J215*K215)</f>
        <v/>
      </c>
      <c r="M215" s="46">
        <f>IF(L215="","",L215*S_VAT)</f>
        <v/>
      </c>
      <c r="N215" s="46">
        <f>IF(L215="","",L215+M215)</f>
        <v/>
      </c>
      <c r="O215" s="47" t="n"/>
      <c r="P215" s="46">
        <f>IF(A215="","",SUMIFS('استلام المواد'!$K$5:$K$304,'استلام المواد'!$C$5:$C$304,A215))</f>
        <v/>
      </c>
      <c r="Q215" s="46">
        <f>IF(A215="","",J215-P215)</f>
        <v/>
      </c>
      <c r="R215" s="49">
        <f>IF(A215="","",IF(F215="لا","مادة غير معتمدة!",IF(P215&gt;=J215,"مكتمل",IF(AND(O215&lt;&gt;"",TODAY()&gt;O215),"متأخر التوريد",IF(P215&gt;0,"توريد جزئي","لم يُورد بعد")))))</f>
        <v/>
      </c>
    </row>
    <row r="216">
      <c r="A216" s="39">
        <f>IF(C216="","","PO-"&amp;TEXT(ROW()-4,"0000"))</f>
        <v/>
      </c>
      <c r="B216" s="47" t="n"/>
      <c r="C216" s="50" t="n"/>
      <c r="D216" s="40" t="n"/>
      <c r="E216" s="40" t="n"/>
      <c r="F216" s="49">
        <f>IF(E216="","",IFERROR(INDEX('اعتماد المواد'!$P$5:$P$304,MATCH(E216,'اعتماد المواد'!$A$5:$A$304,0)),""))</f>
        <v/>
      </c>
      <c r="G216" s="50" t="n"/>
      <c r="H216" s="40" t="n"/>
      <c r="I216" s="50" t="n"/>
      <c r="J216" s="41" t="n"/>
      <c r="K216" s="41" t="n"/>
      <c r="L216" s="46">
        <f>IF(J216="","",J216*K216)</f>
        <v/>
      </c>
      <c r="M216" s="46">
        <f>IF(L216="","",L216*S_VAT)</f>
        <v/>
      </c>
      <c r="N216" s="46">
        <f>IF(L216="","",L216+M216)</f>
        <v/>
      </c>
      <c r="O216" s="47" t="n"/>
      <c r="P216" s="46">
        <f>IF(A216="","",SUMIFS('استلام المواد'!$K$5:$K$304,'استلام المواد'!$C$5:$C$304,A216))</f>
        <v/>
      </c>
      <c r="Q216" s="46">
        <f>IF(A216="","",J216-P216)</f>
        <v/>
      </c>
      <c r="R216" s="49">
        <f>IF(A216="","",IF(F216="لا","مادة غير معتمدة!",IF(P216&gt;=J216,"مكتمل",IF(AND(O216&lt;&gt;"",TODAY()&gt;O216),"متأخر التوريد",IF(P216&gt;0,"توريد جزئي","لم يُورد بعد")))))</f>
        <v/>
      </c>
    </row>
    <row r="217">
      <c r="A217" s="39">
        <f>IF(C217="","","PO-"&amp;TEXT(ROW()-4,"0000"))</f>
        <v/>
      </c>
      <c r="B217" s="47" t="n"/>
      <c r="C217" s="50" t="n"/>
      <c r="D217" s="40" t="n"/>
      <c r="E217" s="40" t="n"/>
      <c r="F217" s="49">
        <f>IF(E217="","",IFERROR(INDEX('اعتماد المواد'!$P$5:$P$304,MATCH(E217,'اعتماد المواد'!$A$5:$A$304,0)),""))</f>
        <v/>
      </c>
      <c r="G217" s="50" t="n"/>
      <c r="H217" s="40" t="n"/>
      <c r="I217" s="50" t="n"/>
      <c r="J217" s="41" t="n"/>
      <c r="K217" s="41" t="n"/>
      <c r="L217" s="46">
        <f>IF(J217="","",J217*K217)</f>
        <v/>
      </c>
      <c r="M217" s="46">
        <f>IF(L217="","",L217*S_VAT)</f>
        <v/>
      </c>
      <c r="N217" s="46">
        <f>IF(L217="","",L217+M217)</f>
        <v/>
      </c>
      <c r="O217" s="47" t="n"/>
      <c r="P217" s="46">
        <f>IF(A217="","",SUMIFS('استلام المواد'!$K$5:$K$304,'استلام المواد'!$C$5:$C$304,A217))</f>
        <v/>
      </c>
      <c r="Q217" s="46">
        <f>IF(A217="","",J217-P217)</f>
        <v/>
      </c>
      <c r="R217" s="49">
        <f>IF(A217="","",IF(F217="لا","مادة غير معتمدة!",IF(P217&gt;=J217,"مكتمل",IF(AND(O217&lt;&gt;"",TODAY()&gt;O217),"متأخر التوريد",IF(P217&gt;0,"توريد جزئي","لم يُورد بعد")))))</f>
        <v/>
      </c>
    </row>
    <row r="218">
      <c r="A218" s="39">
        <f>IF(C218="","","PO-"&amp;TEXT(ROW()-4,"0000"))</f>
        <v/>
      </c>
      <c r="B218" s="47" t="n"/>
      <c r="C218" s="50" t="n"/>
      <c r="D218" s="40" t="n"/>
      <c r="E218" s="40" t="n"/>
      <c r="F218" s="49">
        <f>IF(E218="","",IFERROR(INDEX('اعتماد المواد'!$P$5:$P$304,MATCH(E218,'اعتماد المواد'!$A$5:$A$304,0)),""))</f>
        <v/>
      </c>
      <c r="G218" s="50" t="n"/>
      <c r="H218" s="40" t="n"/>
      <c r="I218" s="50" t="n"/>
      <c r="J218" s="41" t="n"/>
      <c r="K218" s="41" t="n"/>
      <c r="L218" s="46">
        <f>IF(J218="","",J218*K218)</f>
        <v/>
      </c>
      <c r="M218" s="46">
        <f>IF(L218="","",L218*S_VAT)</f>
        <v/>
      </c>
      <c r="N218" s="46">
        <f>IF(L218="","",L218+M218)</f>
        <v/>
      </c>
      <c r="O218" s="47" t="n"/>
      <c r="P218" s="46">
        <f>IF(A218="","",SUMIFS('استلام المواد'!$K$5:$K$304,'استلام المواد'!$C$5:$C$304,A218))</f>
        <v/>
      </c>
      <c r="Q218" s="46">
        <f>IF(A218="","",J218-P218)</f>
        <v/>
      </c>
      <c r="R218" s="49">
        <f>IF(A218="","",IF(F218="لا","مادة غير معتمدة!",IF(P218&gt;=J218,"مكتمل",IF(AND(O218&lt;&gt;"",TODAY()&gt;O218),"متأخر التوريد",IF(P218&gt;0,"توريد جزئي","لم يُورد بعد")))))</f>
        <v/>
      </c>
    </row>
    <row r="219">
      <c r="A219" s="39">
        <f>IF(C219="","","PO-"&amp;TEXT(ROW()-4,"0000"))</f>
        <v/>
      </c>
      <c r="B219" s="47" t="n"/>
      <c r="C219" s="50" t="n"/>
      <c r="D219" s="40" t="n"/>
      <c r="E219" s="40" t="n"/>
      <c r="F219" s="49">
        <f>IF(E219="","",IFERROR(INDEX('اعتماد المواد'!$P$5:$P$304,MATCH(E219,'اعتماد المواد'!$A$5:$A$304,0)),""))</f>
        <v/>
      </c>
      <c r="G219" s="50" t="n"/>
      <c r="H219" s="40" t="n"/>
      <c r="I219" s="50" t="n"/>
      <c r="J219" s="41" t="n"/>
      <c r="K219" s="41" t="n"/>
      <c r="L219" s="46">
        <f>IF(J219="","",J219*K219)</f>
        <v/>
      </c>
      <c r="M219" s="46">
        <f>IF(L219="","",L219*S_VAT)</f>
        <v/>
      </c>
      <c r="N219" s="46">
        <f>IF(L219="","",L219+M219)</f>
        <v/>
      </c>
      <c r="O219" s="47" t="n"/>
      <c r="P219" s="46">
        <f>IF(A219="","",SUMIFS('استلام المواد'!$K$5:$K$304,'استلام المواد'!$C$5:$C$304,A219))</f>
        <v/>
      </c>
      <c r="Q219" s="46">
        <f>IF(A219="","",J219-P219)</f>
        <v/>
      </c>
      <c r="R219" s="49">
        <f>IF(A219="","",IF(F219="لا","مادة غير معتمدة!",IF(P219&gt;=J219,"مكتمل",IF(AND(O219&lt;&gt;"",TODAY()&gt;O219),"متأخر التوريد",IF(P219&gt;0,"توريد جزئي","لم يُورد بعد")))))</f>
        <v/>
      </c>
    </row>
    <row r="220">
      <c r="A220" s="39">
        <f>IF(C220="","","PO-"&amp;TEXT(ROW()-4,"0000"))</f>
        <v/>
      </c>
      <c r="B220" s="47" t="n"/>
      <c r="C220" s="50" t="n"/>
      <c r="D220" s="40" t="n"/>
      <c r="E220" s="40" t="n"/>
      <c r="F220" s="49">
        <f>IF(E220="","",IFERROR(INDEX('اعتماد المواد'!$P$5:$P$304,MATCH(E220,'اعتماد المواد'!$A$5:$A$304,0)),""))</f>
        <v/>
      </c>
      <c r="G220" s="50" t="n"/>
      <c r="H220" s="40" t="n"/>
      <c r="I220" s="50" t="n"/>
      <c r="J220" s="41" t="n"/>
      <c r="K220" s="41" t="n"/>
      <c r="L220" s="46">
        <f>IF(J220="","",J220*K220)</f>
        <v/>
      </c>
      <c r="M220" s="46">
        <f>IF(L220="","",L220*S_VAT)</f>
        <v/>
      </c>
      <c r="N220" s="46">
        <f>IF(L220="","",L220+M220)</f>
        <v/>
      </c>
      <c r="O220" s="47" t="n"/>
      <c r="P220" s="46">
        <f>IF(A220="","",SUMIFS('استلام المواد'!$K$5:$K$304,'استلام المواد'!$C$5:$C$304,A220))</f>
        <v/>
      </c>
      <c r="Q220" s="46">
        <f>IF(A220="","",J220-P220)</f>
        <v/>
      </c>
      <c r="R220" s="49">
        <f>IF(A220="","",IF(F220="لا","مادة غير معتمدة!",IF(P220&gt;=J220,"مكتمل",IF(AND(O220&lt;&gt;"",TODAY()&gt;O220),"متأخر التوريد",IF(P220&gt;0,"توريد جزئي","لم يُورد بعد")))))</f>
        <v/>
      </c>
    </row>
    <row r="221">
      <c r="A221" s="39">
        <f>IF(C221="","","PO-"&amp;TEXT(ROW()-4,"0000"))</f>
        <v/>
      </c>
      <c r="B221" s="47" t="n"/>
      <c r="C221" s="50" t="n"/>
      <c r="D221" s="40" t="n"/>
      <c r="E221" s="40" t="n"/>
      <c r="F221" s="49">
        <f>IF(E221="","",IFERROR(INDEX('اعتماد المواد'!$P$5:$P$304,MATCH(E221,'اعتماد المواد'!$A$5:$A$304,0)),""))</f>
        <v/>
      </c>
      <c r="G221" s="50" t="n"/>
      <c r="H221" s="40" t="n"/>
      <c r="I221" s="50" t="n"/>
      <c r="J221" s="41" t="n"/>
      <c r="K221" s="41" t="n"/>
      <c r="L221" s="46">
        <f>IF(J221="","",J221*K221)</f>
        <v/>
      </c>
      <c r="M221" s="46">
        <f>IF(L221="","",L221*S_VAT)</f>
        <v/>
      </c>
      <c r="N221" s="46">
        <f>IF(L221="","",L221+M221)</f>
        <v/>
      </c>
      <c r="O221" s="47" t="n"/>
      <c r="P221" s="46">
        <f>IF(A221="","",SUMIFS('استلام المواد'!$K$5:$K$304,'استلام المواد'!$C$5:$C$304,A221))</f>
        <v/>
      </c>
      <c r="Q221" s="46">
        <f>IF(A221="","",J221-P221)</f>
        <v/>
      </c>
      <c r="R221" s="49">
        <f>IF(A221="","",IF(F221="لا","مادة غير معتمدة!",IF(P221&gt;=J221,"مكتمل",IF(AND(O221&lt;&gt;"",TODAY()&gt;O221),"متأخر التوريد",IF(P221&gt;0,"توريد جزئي","لم يُورد بعد")))))</f>
        <v/>
      </c>
    </row>
    <row r="222">
      <c r="A222" s="39">
        <f>IF(C222="","","PO-"&amp;TEXT(ROW()-4,"0000"))</f>
        <v/>
      </c>
      <c r="B222" s="47" t="n"/>
      <c r="C222" s="50" t="n"/>
      <c r="D222" s="40" t="n"/>
      <c r="E222" s="40" t="n"/>
      <c r="F222" s="49">
        <f>IF(E222="","",IFERROR(INDEX('اعتماد المواد'!$P$5:$P$304,MATCH(E222,'اعتماد المواد'!$A$5:$A$304,0)),""))</f>
        <v/>
      </c>
      <c r="G222" s="50" t="n"/>
      <c r="H222" s="40" t="n"/>
      <c r="I222" s="50" t="n"/>
      <c r="J222" s="41" t="n"/>
      <c r="K222" s="41" t="n"/>
      <c r="L222" s="46">
        <f>IF(J222="","",J222*K222)</f>
        <v/>
      </c>
      <c r="M222" s="46">
        <f>IF(L222="","",L222*S_VAT)</f>
        <v/>
      </c>
      <c r="N222" s="46">
        <f>IF(L222="","",L222+M222)</f>
        <v/>
      </c>
      <c r="O222" s="47" t="n"/>
      <c r="P222" s="46">
        <f>IF(A222="","",SUMIFS('استلام المواد'!$K$5:$K$304,'استلام المواد'!$C$5:$C$304,A222))</f>
        <v/>
      </c>
      <c r="Q222" s="46">
        <f>IF(A222="","",J222-P222)</f>
        <v/>
      </c>
      <c r="R222" s="49">
        <f>IF(A222="","",IF(F222="لا","مادة غير معتمدة!",IF(P222&gt;=J222,"مكتمل",IF(AND(O222&lt;&gt;"",TODAY()&gt;O222),"متأخر التوريد",IF(P222&gt;0,"توريد جزئي","لم يُورد بعد")))))</f>
        <v/>
      </c>
    </row>
    <row r="223">
      <c r="A223" s="39">
        <f>IF(C223="","","PO-"&amp;TEXT(ROW()-4,"0000"))</f>
        <v/>
      </c>
      <c r="B223" s="47" t="n"/>
      <c r="C223" s="50" t="n"/>
      <c r="D223" s="40" t="n"/>
      <c r="E223" s="40" t="n"/>
      <c r="F223" s="49">
        <f>IF(E223="","",IFERROR(INDEX('اعتماد المواد'!$P$5:$P$304,MATCH(E223,'اعتماد المواد'!$A$5:$A$304,0)),""))</f>
        <v/>
      </c>
      <c r="G223" s="50" t="n"/>
      <c r="H223" s="40" t="n"/>
      <c r="I223" s="50" t="n"/>
      <c r="J223" s="41" t="n"/>
      <c r="K223" s="41" t="n"/>
      <c r="L223" s="46">
        <f>IF(J223="","",J223*K223)</f>
        <v/>
      </c>
      <c r="M223" s="46">
        <f>IF(L223="","",L223*S_VAT)</f>
        <v/>
      </c>
      <c r="N223" s="46">
        <f>IF(L223="","",L223+M223)</f>
        <v/>
      </c>
      <c r="O223" s="47" t="n"/>
      <c r="P223" s="46">
        <f>IF(A223="","",SUMIFS('استلام المواد'!$K$5:$K$304,'استلام المواد'!$C$5:$C$304,A223))</f>
        <v/>
      </c>
      <c r="Q223" s="46">
        <f>IF(A223="","",J223-P223)</f>
        <v/>
      </c>
      <c r="R223" s="49">
        <f>IF(A223="","",IF(F223="لا","مادة غير معتمدة!",IF(P223&gt;=J223,"مكتمل",IF(AND(O223&lt;&gt;"",TODAY()&gt;O223),"متأخر التوريد",IF(P223&gt;0,"توريد جزئي","لم يُورد بعد")))))</f>
        <v/>
      </c>
    </row>
    <row r="224">
      <c r="A224" s="39">
        <f>IF(C224="","","PO-"&amp;TEXT(ROW()-4,"0000"))</f>
        <v/>
      </c>
      <c r="B224" s="47" t="n"/>
      <c r="C224" s="50" t="n"/>
      <c r="D224" s="40" t="n"/>
      <c r="E224" s="40" t="n"/>
      <c r="F224" s="49">
        <f>IF(E224="","",IFERROR(INDEX('اعتماد المواد'!$P$5:$P$304,MATCH(E224,'اعتماد المواد'!$A$5:$A$304,0)),""))</f>
        <v/>
      </c>
      <c r="G224" s="50" t="n"/>
      <c r="H224" s="40" t="n"/>
      <c r="I224" s="50" t="n"/>
      <c r="J224" s="41" t="n"/>
      <c r="K224" s="41" t="n"/>
      <c r="L224" s="46">
        <f>IF(J224="","",J224*K224)</f>
        <v/>
      </c>
      <c r="M224" s="46">
        <f>IF(L224="","",L224*S_VAT)</f>
        <v/>
      </c>
      <c r="N224" s="46">
        <f>IF(L224="","",L224+M224)</f>
        <v/>
      </c>
      <c r="O224" s="47" t="n"/>
      <c r="P224" s="46">
        <f>IF(A224="","",SUMIFS('استلام المواد'!$K$5:$K$304,'استلام المواد'!$C$5:$C$304,A224))</f>
        <v/>
      </c>
      <c r="Q224" s="46">
        <f>IF(A224="","",J224-P224)</f>
        <v/>
      </c>
      <c r="R224" s="49">
        <f>IF(A224="","",IF(F224="لا","مادة غير معتمدة!",IF(P224&gt;=J224,"مكتمل",IF(AND(O224&lt;&gt;"",TODAY()&gt;O224),"متأخر التوريد",IF(P224&gt;0,"توريد جزئي","لم يُورد بعد")))))</f>
        <v/>
      </c>
    </row>
    <row r="225">
      <c r="A225" s="39">
        <f>IF(C225="","","PO-"&amp;TEXT(ROW()-4,"0000"))</f>
        <v/>
      </c>
      <c r="B225" s="47" t="n"/>
      <c r="C225" s="50" t="n"/>
      <c r="D225" s="40" t="n"/>
      <c r="E225" s="40" t="n"/>
      <c r="F225" s="49">
        <f>IF(E225="","",IFERROR(INDEX('اعتماد المواد'!$P$5:$P$304,MATCH(E225,'اعتماد المواد'!$A$5:$A$304,0)),""))</f>
        <v/>
      </c>
      <c r="G225" s="50" t="n"/>
      <c r="H225" s="40" t="n"/>
      <c r="I225" s="50" t="n"/>
      <c r="J225" s="41" t="n"/>
      <c r="K225" s="41" t="n"/>
      <c r="L225" s="46">
        <f>IF(J225="","",J225*K225)</f>
        <v/>
      </c>
      <c r="M225" s="46">
        <f>IF(L225="","",L225*S_VAT)</f>
        <v/>
      </c>
      <c r="N225" s="46">
        <f>IF(L225="","",L225+M225)</f>
        <v/>
      </c>
      <c r="O225" s="47" t="n"/>
      <c r="P225" s="46">
        <f>IF(A225="","",SUMIFS('استلام المواد'!$K$5:$K$304,'استلام المواد'!$C$5:$C$304,A225))</f>
        <v/>
      </c>
      <c r="Q225" s="46">
        <f>IF(A225="","",J225-P225)</f>
        <v/>
      </c>
      <c r="R225" s="49">
        <f>IF(A225="","",IF(F225="لا","مادة غير معتمدة!",IF(P225&gt;=J225,"مكتمل",IF(AND(O225&lt;&gt;"",TODAY()&gt;O225),"متأخر التوريد",IF(P225&gt;0,"توريد جزئي","لم يُورد بعد")))))</f>
        <v/>
      </c>
    </row>
    <row r="226">
      <c r="A226" s="39">
        <f>IF(C226="","","PO-"&amp;TEXT(ROW()-4,"0000"))</f>
        <v/>
      </c>
      <c r="B226" s="47" t="n"/>
      <c r="C226" s="50" t="n"/>
      <c r="D226" s="40" t="n"/>
      <c r="E226" s="40" t="n"/>
      <c r="F226" s="49">
        <f>IF(E226="","",IFERROR(INDEX('اعتماد المواد'!$P$5:$P$304,MATCH(E226,'اعتماد المواد'!$A$5:$A$304,0)),""))</f>
        <v/>
      </c>
      <c r="G226" s="50" t="n"/>
      <c r="H226" s="40" t="n"/>
      <c r="I226" s="50" t="n"/>
      <c r="J226" s="41" t="n"/>
      <c r="K226" s="41" t="n"/>
      <c r="L226" s="46">
        <f>IF(J226="","",J226*K226)</f>
        <v/>
      </c>
      <c r="M226" s="46">
        <f>IF(L226="","",L226*S_VAT)</f>
        <v/>
      </c>
      <c r="N226" s="46">
        <f>IF(L226="","",L226+M226)</f>
        <v/>
      </c>
      <c r="O226" s="47" t="n"/>
      <c r="P226" s="46">
        <f>IF(A226="","",SUMIFS('استلام المواد'!$K$5:$K$304,'استلام المواد'!$C$5:$C$304,A226))</f>
        <v/>
      </c>
      <c r="Q226" s="46">
        <f>IF(A226="","",J226-P226)</f>
        <v/>
      </c>
      <c r="R226" s="49">
        <f>IF(A226="","",IF(F226="لا","مادة غير معتمدة!",IF(P226&gt;=J226,"مكتمل",IF(AND(O226&lt;&gt;"",TODAY()&gt;O226),"متأخر التوريد",IF(P226&gt;0,"توريد جزئي","لم يُورد بعد")))))</f>
        <v/>
      </c>
    </row>
    <row r="227">
      <c r="A227" s="39">
        <f>IF(C227="","","PO-"&amp;TEXT(ROW()-4,"0000"))</f>
        <v/>
      </c>
      <c r="B227" s="47" t="n"/>
      <c r="C227" s="50" t="n"/>
      <c r="D227" s="40" t="n"/>
      <c r="E227" s="40" t="n"/>
      <c r="F227" s="49">
        <f>IF(E227="","",IFERROR(INDEX('اعتماد المواد'!$P$5:$P$304,MATCH(E227,'اعتماد المواد'!$A$5:$A$304,0)),""))</f>
        <v/>
      </c>
      <c r="G227" s="50" t="n"/>
      <c r="H227" s="40" t="n"/>
      <c r="I227" s="50" t="n"/>
      <c r="J227" s="41" t="n"/>
      <c r="K227" s="41" t="n"/>
      <c r="L227" s="46">
        <f>IF(J227="","",J227*K227)</f>
        <v/>
      </c>
      <c r="M227" s="46">
        <f>IF(L227="","",L227*S_VAT)</f>
        <v/>
      </c>
      <c r="N227" s="46">
        <f>IF(L227="","",L227+M227)</f>
        <v/>
      </c>
      <c r="O227" s="47" t="n"/>
      <c r="P227" s="46">
        <f>IF(A227="","",SUMIFS('استلام المواد'!$K$5:$K$304,'استلام المواد'!$C$5:$C$304,A227))</f>
        <v/>
      </c>
      <c r="Q227" s="46">
        <f>IF(A227="","",J227-P227)</f>
        <v/>
      </c>
      <c r="R227" s="49">
        <f>IF(A227="","",IF(F227="لا","مادة غير معتمدة!",IF(P227&gt;=J227,"مكتمل",IF(AND(O227&lt;&gt;"",TODAY()&gt;O227),"متأخر التوريد",IF(P227&gt;0,"توريد جزئي","لم يُورد بعد")))))</f>
        <v/>
      </c>
    </row>
    <row r="228">
      <c r="A228" s="39">
        <f>IF(C228="","","PO-"&amp;TEXT(ROW()-4,"0000"))</f>
        <v/>
      </c>
      <c r="B228" s="47" t="n"/>
      <c r="C228" s="50" t="n"/>
      <c r="D228" s="40" t="n"/>
      <c r="E228" s="40" t="n"/>
      <c r="F228" s="49">
        <f>IF(E228="","",IFERROR(INDEX('اعتماد المواد'!$P$5:$P$304,MATCH(E228,'اعتماد المواد'!$A$5:$A$304,0)),""))</f>
        <v/>
      </c>
      <c r="G228" s="50" t="n"/>
      <c r="H228" s="40" t="n"/>
      <c r="I228" s="50" t="n"/>
      <c r="J228" s="41" t="n"/>
      <c r="K228" s="41" t="n"/>
      <c r="L228" s="46">
        <f>IF(J228="","",J228*K228)</f>
        <v/>
      </c>
      <c r="M228" s="46">
        <f>IF(L228="","",L228*S_VAT)</f>
        <v/>
      </c>
      <c r="N228" s="46">
        <f>IF(L228="","",L228+M228)</f>
        <v/>
      </c>
      <c r="O228" s="47" t="n"/>
      <c r="P228" s="46">
        <f>IF(A228="","",SUMIFS('استلام المواد'!$K$5:$K$304,'استلام المواد'!$C$5:$C$304,A228))</f>
        <v/>
      </c>
      <c r="Q228" s="46">
        <f>IF(A228="","",J228-P228)</f>
        <v/>
      </c>
      <c r="R228" s="49">
        <f>IF(A228="","",IF(F228="لا","مادة غير معتمدة!",IF(P228&gt;=J228,"مكتمل",IF(AND(O228&lt;&gt;"",TODAY()&gt;O228),"متأخر التوريد",IF(P228&gt;0,"توريد جزئي","لم يُورد بعد")))))</f>
        <v/>
      </c>
    </row>
    <row r="229">
      <c r="A229" s="39">
        <f>IF(C229="","","PO-"&amp;TEXT(ROW()-4,"0000"))</f>
        <v/>
      </c>
      <c r="B229" s="47" t="n"/>
      <c r="C229" s="50" t="n"/>
      <c r="D229" s="40" t="n"/>
      <c r="E229" s="40" t="n"/>
      <c r="F229" s="49">
        <f>IF(E229="","",IFERROR(INDEX('اعتماد المواد'!$P$5:$P$304,MATCH(E229,'اعتماد المواد'!$A$5:$A$304,0)),""))</f>
        <v/>
      </c>
      <c r="G229" s="50" t="n"/>
      <c r="H229" s="40" t="n"/>
      <c r="I229" s="50" t="n"/>
      <c r="J229" s="41" t="n"/>
      <c r="K229" s="41" t="n"/>
      <c r="L229" s="46">
        <f>IF(J229="","",J229*K229)</f>
        <v/>
      </c>
      <c r="M229" s="46">
        <f>IF(L229="","",L229*S_VAT)</f>
        <v/>
      </c>
      <c r="N229" s="46">
        <f>IF(L229="","",L229+M229)</f>
        <v/>
      </c>
      <c r="O229" s="47" t="n"/>
      <c r="P229" s="46">
        <f>IF(A229="","",SUMIFS('استلام المواد'!$K$5:$K$304,'استلام المواد'!$C$5:$C$304,A229))</f>
        <v/>
      </c>
      <c r="Q229" s="46">
        <f>IF(A229="","",J229-P229)</f>
        <v/>
      </c>
      <c r="R229" s="49">
        <f>IF(A229="","",IF(F229="لا","مادة غير معتمدة!",IF(P229&gt;=J229,"مكتمل",IF(AND(O229&lt;&gt;"",TODAY()&gt;O229),"متأخر التوريد",IF(P229&gt;0,"توريد جزئي","لم يُورد بعد")))))</f>
        <v/>
      </c>
    </row>
    <row r="230">
      <c r="A230" s="39">
        <f>IF(C230="","","PO-"&amp;TEXT(ROW()-4,"0000"))</f>
        <v/>
      </c>
      <c r="B230" s="47" t="n"/>
      <c r="C230" s="50" t="n"/>
      <c r="D230" s="40" t="n"/>
      <c r="E230" s="40" t="n"/>
      <c r="F230" s="49">
        <f>IF(E230="","",IFERROR(INDEX('اعتماد المواد'!$P$5:$P$304,MATCH(E230,'اعتماد المواد'!$A$5:$A$304,0)),""))</f>
        <v/>
      </c>
      <c r="G230" s="50" t="n"/>
      <c r="H230" s="40" t="n"/>
      <c r="I230" s="50" t="n"/>
      <c r="J230" s="41" t="n"/>
      <c r="K230" s="41" t="n"/>
      <c r="L230" s="46">
        <f>IF(J230="","",J230*K230)</f>
        <v/>
      </c>
      <c r="M230" s="46">
        <f>IF(L230="","",L230*S_VAT)</f>
        <v/>
      </c>
      <c r="N230" s="46">
        <f>IF(L230="","",L230+M230)</f>
        <v/>
      </c>
      <c r="O230" s="47" t="n"/>
      <c r="P230" s="46">
        <f>IF(A230="","",SUMIFS('استلام المواد'!$K$5:$K$304,'استلام المواد'!$C$5:$C$304,A230))</f>
        <v/>
      </c>
      <c r="Q230" s="46">
        <f>IF(A230="","",J230-P230)</f>
        <v/>
      </c>
      <c r="R230" s="49">
        <f>IF(A230="","",IF(F230="لا","مادة غير معتمدة!",IF(P230&gt;=J230,"مكتمل",IF(AND(O230&lt;&gt;"",TODAY()&gt;O230),"متأخر التوريد",IF(P230&gt;0,"توريد جزئي","لم يُورد بعد")))))</f>
        <v/>
      </c>
    </row>
    <row r="231">
      <c r="A231" s="39">
        <f>IF(C231="","","PO-"&amp;TEXT(ROW()-4,"0000"))</f>
        <v/>
      </c>
      <c r="B231" s="47" t="n"/>
      <c r="C231" s="50" t="n"/>
      <c r="D231" s="40" t="n"/>
      <c r="E231" s="40" t="n"/>
      <c r="F231" s="49">
        <f>IF(E231="","",IFERROR(INDEX('اعتماد المواد'!$P$5:$P$304,MATCH(E231,'اعتماد المواد'!$A$5:$A$304,0)),""))</f>
        <v/>
      </c>
      <c r="G231" s="50" t="n"/>
      <c r="H231" s="40" t="n"/>
      <c r="I231" s="50" t="n"/>
      <c r="J231" s="41" t="n"/>
      <c r="K231" s="41" t="n"/>
      <c r="L231" s="46">
        <f>IF(J231="","",J231*K231)</f>
        <v/>
      </c>
      <c r="M231" s="46">
        <f>IF(L231="","",L231*S_VAT)</f>
        <v/>
      </c>
      <c r="N231" s="46">
        <f>IF(L231="","",L231+M231)</f>
        <v/>
      </c>
      <c r="O231" s="47" t="n"/>
      <c r="P231" s="46">
        <f>IF(A231="","",SUMIFS('استلام المواد'!$K$5:$K$304,'استلام المواد'!$C$5:$C$304,A231))</f>
        <v/>
      </c>
      <c r="Q231" s="46">
        <f>IF(A231="","",J231-P231)</f>
        <v/>
      </c>
      <c r="R231" s="49">
        <f>IF(A231="","",IF(F231="لا","مادة غير معتمدة!",IF(P231&gt;=J231,"مكتمل",IF(AND(O231&lt;&gt;"",TODAY()&gt;O231),"متأخر التوريد",IF(P231&gt;0,"توريد جزئي","لم يُورد بعد")))))</f>
        <v/>
      </c>
    </row>
    <row r="232">
      <c r="A232" s="39">
        <f>IF(C232="","","PO-"&amp;TEXT(ROW()-4,"0000"))</f>
        <v/>
      </c>
      <c r="B232" s="47" t="n"/>
      <c r="C232" s="50" t="n"/>
      <c r="D232" s="40" t="n"/>
      <c r="E232" s="40" t="n"/>
      <c r="F232" s="49">
        <f>IF(E232="","",IFERROR(INDEX('اعتماد المواد'!$P$5:$P$304,MATCH(E232,'اعتماد المواد'!$A$5:$A$304,0)),""))</f>
        <v/>
      </c>
      <c r="G232" s="50" t="n"/>
      <c r="H232" s="40" t="n"/>
      <c r="I232" s="50" t="n"/>
      <c r="J232" s="41" t="n"/>
      <c r="K232" s="41" t="n"/>
      <c r="L232" s="46">
        <f>IF(J232="","",J232*K232)</f>
        <v/>
      </c>
      <c r="M232" s="46">
        <f>IF(L232="","",L232*S_VAT)</f>
        <v/>
      </c>
      <c r="N232" s="46">
        <f>IF(L232="","",L232+M232)</f>
        <v/>
      </c>
      <c r="O232" s="47" t="n"/>
      <c r="P232" s="46">
        <f>IF(A232="","",SUMIFS('استلام المواد'!$K$5:$K$304,'استلام المواد'!$C$5:$C$304,A232))</f>
        <v/>
      </c>
      <c r="Q232" s="46">
        <f>IF(A232="","",J232-P232)</f>
        <v/>
      </c>
      <c r="R232" s="49">
        <f>IF(A232="","",IF(F232="لا","مادة غير معتمدة!",IF(P232&gt;=J232,"مكتمل",IF(AND(O232&lt;&gt;"",TODAY()&gt;O232),"متأخر التوريد",IF(P232&gt;0,"توريد جزئي","لم يُورد بعد")))))</f>
        <v/>
      </c>
    </row>
    <row r="233">
      <c r="A233" s="39">
        <f>IF(C233="","","PO-"&amp;TEXT(ROW()-4,"0000"))</f>
        <v/>
      </c>
      <c r="B233" s="47" t="n"/>
      <c r="C233" s="50" t="n"/>
      <c r="D233" s="40" t="n"/>
      <c r="E233" s="40" t="n"/>
      <c r="F233" s="49">
        <f>IF(E233="","",IFERROR(INDEX('اعتماد المواد'!$P$5:$P$304,MATCH(E233,'اعتماد المواد'!$A$5:$A$304,0)),""))</f>
        <v/>
      </c>
      <c r="G233" s="50" t="n"/>
      <c r="H233" s="40" t="n"/>
      <c r="I233" s="50" t="n"/>
      <c r="J233" s="41" t="n"/>
      <c r="K233" s="41" t="n"/>
      <c r="L233" s="46">
        <f>IF(J233="","",J233*K233)</f>
        <v/>
      </c>
      <c r="M233" s="46">
        <f>IF(L233="","",L233*S_VAT)</f>
        <v/>
      </c>
      <c r="N233" s="46">
        <f>IF(L233="","",L233+M233)</f>
        <v/>
      </c>
      <c r="O233" s="47" t="n"/>
      <c r="P233" s="46">
        <f>IF(A233="","",SUMIFS('استلام المواد'!$K$5:$K$304,'استلام المواد'!$C$5:$C$304,A233))</f>
        <v/>
      </c>
      <c r="Q233" s="46">
        <f>IF(A233="","",J233-P233)</f>
        <v/>
      </c>
      <c r="R233" s="49">
        <f>IF(A233="","",IF(F233="لا","مادة غير معتمدة!",IF(P233&gt;=J233,"مكتمل",IF(AND(O233&lt;&gt;"",TODAY()&gt;O233),"متأخر التوريد",IF(P233&gt;0,"توريد جزئي","لم يُورد بعد")))))</f>
        <v/>
      </c>
    </row>
    <row r="234">
      <c r="A234" s="39">
        <f>IF(C234="","","PO-"&amp;TEXT(ROW()-4,"0000"))</f>
        <v/>
      </c>
      <c r="B234" s="47" t="n"/>
      <c r="C234" s="50" t="n"/>
      <c r="D234" s="40" t="n"/>
      <c r="E234" s="40" t="n"/>
      <c r="F234" s="49">
        <f>IF(E234="","",IFERROR(INDEX('اعتماد المواد'!$P$5:$P$304,MATCH(E234,'اعتماد المواد'!$A$5:$A$304,0)),""))</f>
        <v/>
      </c>
      <c r="G234" s="50" t="n"/>
      <c r="H234" s="40" t="n"/>
      <c r="I234" s="50" t="n"/>
      <c r="J234" s="41" t="n"/>
      <c r="K234" s="41" t="n"/>
      <c r="L234" s="46">
        <f>IF(J234="","",J234*K234)</f>
        <v/>
      </c>
      <c r="M234" s="46">
        <f>IF(L234="","",L234*S_VAT)</f>
        <v/>
      </c>
      <c r="N234" s="46">
        <f>IF(L234="","",L234+M234)</f>
        <v/>
      </c>
      <c r="O234" s="47" t="n"/>
      <c r="P234" s="46">
        <f>IF(A234="","",SUMIFS('استلام المواد'!$K$5:$K$304,'استلام المواد'!$C$5:$C$304,A234))</f>
        <v/>
      </c>
      <c r="Q234" s="46">
        <f>IF(A234="","",J234-P234)</f>
        <v/>
      </c>
      <c r="R234" s="49">
        <f>IF(A234="","",IF(F234="لا","مادة غير معتمدة!",IF(P234&gt;=J234,"مكتمل",IF(AND(O234&lt;&gt;"",TODAY()&gt;O234),"متأخر التوريد",IF(P234&gt;0,"توريد جزئي","لم يُورد بعد")))))</f>
        <v/>
      </c>
    </row>
    <row r="235">
      <c r="A235" s="39">
        <f>IF(C235="","","PO-"&amp;TEXT(ROW()-4,"0000"))</f>
        <v/>
      </c>
      <c r="B235" s="47" t="n"/>
      <c r="C235" s="50" t="n"/>
      <c r="D235" s="40" t="n"/>
      <c r="E235" s="40" t="n"/>
      <c r="F235" s="49">
        <f>IF(E235="","",IFERROR(INDEX('اعتماد المواد'!$P$5:$P$304,MATCH(E235,'اعتماد المواد'!$A$5:$A$304,0)),""))</f>
        <v/>
      </c>
      <c r="G235" s="50" t="n"/>
      <c r="H235" s="40" t="n"/>
      <c r="I235" s="50" t="n"/>
      <c r="J235" s="41" t="n"/>
      <c r="K235" s="41" t="n"/>
      <c r="L235" s="46">
        <f>IF(J235="","",J235*K235)</f>
        <v/>
      </c>
      <c r="M235" s="46">
        <f>IF(L235="","",L235*S_VAT)</f>
        <v/>
      </c>
      <c r="N235" s="46">
        <f>IF(L235="","",L235+M235)</f>
        <v/>
      </c>
      <c r="O235" s="47" t="n"/>
      <c r="P235" s="46">
        <f>IF(A235="","",SUMIFS('استلام المواد'!$K$5:$K$304,'استلام المواد'!$C$5:$C$304,A235))</f>
        <v/>
      </c>
      <c r="Q235" s="46">
        <f>IF(A235="","",J235-P235)</f>
        <v/>
      </c>
      <c r="R235" s="49">
        <f>IF(A235="","",IF(F235="لا","مادة غير معتمدة!",IF(P235&gt;=J235,"مكتمل",IF(AND(O235&lt;&gt;"",TODAY()&gt;O235),"متأخر التوريد",IF(P235&gt;0,"توريد جزئي","لم يُورد بعد")))))</f>
        <v/>
      </c>
    </row>
    <row r="236">
      <c r="A236" s="39">
        <f>IF(C236="","","PO-"&amp;TEXT(ROW()-4,"0000"))</f>
        <v/>
      </c>
      <c r="B236" s="47" t="n"/>
      <c r="C236" s="50" t="n"/>
      <c r="D236" s="40" t="n"/>
      <c r="E236" s="40" t="n"/>
      <c r="F236" s="49">
        <f>IF(E236="","",IFERROR(INDEX('اعتماد المواد'!$P$5:$P$304,MATCH(E236,'اعتماد المواد'!$A$5:$A$304,0)),""))</f>
        <v/>
      </c>
      <c r="G236" s="50" t="n"/>
      <c r="H236" s="40" t="n"/>
      <c r="I236" s="50" t="n"/>
      <c r="J236" s="41" t="n"/>
      <c r="K236" s="41" t="n"/>
      <c r="L236" s="46">
        <f>IF(J236="","",J236*K236)</f>
        <v/>
      </c>
      <c r="M236" s="46">
        <f>IF(L236="","",L236*S_VAT)</f>
        <v/>
      </c>
      <c r="N236" s="46">
        <f>IF(L236="","",L236+M236)</f>
        <v/>
      </c>
      <c r="O236" s="47" t="n"/>
      <c r="P236" s="46">
        <f>IF(A236="","",SUMIFS('استلام المواد'!$K$5:$K$304,'استلام المواد'!$C$5:$C$304,A236))</f>
        <v/>
      </c>
      <c r="Q236" s="46">
        <f>IF(A236="","",J236-P236)</f>
        <v/>
      </c>
      <c r="R236" s="49">
        <f>IF(A236="","",IF(F236="لا","مادة غير معتمدة!",IF(P236&gt;=J236,"مكتمل",IF(AND(O236&lt;&gt;"",TODAY()&gt;O236),"متأخر التوريد",IF(P236&gt;0,"توريد جزئي","لم يُورد بعد")))))</f>
        <v/>
      </c>
    </row>
    <row r="237">
      <c r="A237" s="39">
        <f>IF(C237="","","PO-"&amp;TEXT(ROW()-4,"0000"))</f>
        <v/>
      </c>
      <c r="B237" s="47" t="n"/>
      <c r="C237" s="50" t="n"/>
      <c r="D237" s="40" t="n"/>
      <c r="E237" s="40" t="n"/>
      <c r="F237" s="49">
        <f>IF(E237="","",IFERROR(INDEX('اعتماد المواد'!$P$5:$P$304,MATCH(E237,'اعتماد المواد'!$A$5:$A$304,0)),""))</f>
        <v/>
      </c>
      <c r="G237" s="50" t="n"/>
      <c r="H237" s="40" t="n"/>
      <c r="I237" s="50" t="n"/>
      <c r="J237" s="41" t="n"/>
      <c r="K237" s="41" t="n"/>
      <c r="L237" s="46">
        <f>IF(J237="","",J237*K237)</f>
        <v/>
      </c>
      <c r="M237" s="46">
        <f>IF(L237="","",L237*S_VAT)</f>
        <v/>
      </c>
      <c r="N237" s="46">
        <f>IF(L237="","",L237+M237)</f>
        <v/>
      </c>
      <c r="O237" s="47" t="n"/>
      <c r="P237" s="46">
        <f>IF(A237="","",SUMIFS('استلام المواد'!$K$5:$K$304,'استلام المواد'!$C$5:$C$304,A237))</f>
        <v/>
      </c>
      <c r="Q237" s="46">
        <f>IF(A237="","",J237-P237)</f>
        <v/>
      </c>
      <c r="R237" s="49">
        <f>IF(A237="","",IF(F237="لا","مادة غير معتمدة!",IF(P237&gt;=J237,"مكتمل",IF(AND(O237&lt;&gt;"",TODAY()&gt;O237),"متأخر التوريد",IF(P237&gt;0,"توريد جزئي","لم يُورد بعد")))))</f>
        <v/>
      </c>
    </row>
    <row r="238">
      <c r="A238" s="39">
        <f>IF(C238="","","PO-"&amp;TEXT(ROW()-4,"0000"))</f>
        <v/>
      </c>
      <c r="B238" s="47" t="n"/>
      <c r="C238" s="50" t="n"/>
      <c r="D238" s="40" t="n"/>
      <c r="E238" s="40" t="n"/>
      <c r="F238" s="49">
        <f>IF(E238="","",IFERROR(INDEX('اعتماد المواد'!$P$5:$P$304,MATCH(E238,'اعتماد المواد'!$A$5:$A$304,0)),""))</f>
        <v/>
      </c>
      <c r="G238" s="50" t="n"/>
      <c r="H238" s="40" t="n"/>
      <c r="I238" s="50" t="n"/>
      <c r="J238" s="41" t="n"/>
      <c r="K238" s="41" t="n"/>
      <c r="L238" s="46">
        <f>IF(J238="","",J238*K238)</f>
        <v/>
      </c>
      <c r="M238" s="46">
        <f>IF(L238="","",L238*S_VAT)</f>
        <v/>
      </c>
      <c r="N238" s="46">
        <f>IF(L238="","",L238+M238)</f>
        <v/>
      </c>
      <c r="O238" s="47" t="n"/>
      <c r="P238" s="46">
        <f>IF(A238="","",SUMIFS('استلام المواد'!$K$5:$K$304,'استلام المواد'!$C$5:$C$304,A238))</f>
        <v/>
      </c>
      <c r="Q238" s="46">
        <f>IF(A238="","",J238-P238)</f>
        <v/>
      </c>
      <c r="R238" s="49">
        <f>IF(A238="","",IF(F238="لا","مادة غير معتمدة!",IF(P238&gt;=J238,"مكتمل",IF(AND(O238&lt;&gt;"",TODAY()&gt;O238),"متأخر التوريد",IF(P238&gt;0,"توريد جزئي","لم يُورد بعد")))))</f>
        <v/>
      </c>
    </row>
    <row r="239">
      <c r="A239" s="39">
        <f>IF(C239="","","PO-"&amp;TEXT(ROW()-4,"0000"))</f>
        <v/>
      </c>
      <c r="B239" s="47" t="n"/>
      <c r="C239" s="50" t="n"/>
      <c r="D239" s="40" t="n"/>
      <c r="E239" s="40" t="n"/>
      <c r="F239" s="49">
        <f>IF(E239="","",IFERROR(INDEX('اعتماد المواد'!$P$5:$P$304,MATCH(E239,'اعتماد المواد'!$A$5:$A$304,0)),""))</f>
        <v/>
      </c>
      <c r="G239" s="50" t="n"/>
      <c r="H239" s="40" t="n"/>
      <c r="I239" s="50" t="n"/>
      <c r="J239" s="41" t="n"/>
      <c r="K239" s="41" t="n"/>
      <c r="L239" s="46">
        <f>IF(J239="","",J239*K239)</f>
        <v/>
      </c>
      <c r="M239" s="46">
        <f>IF(L239="","",L239*S_VAT)</f>
        <v/>
      </c>
      <c r="N239" s="46">
        <f>IF(L239="","",L239+M239)</f>
        <v/>
      </c>
      <c r="O239" s="47" t="n"/>
      <c r="P239" s="46">
        <f>IF(A239="","",SUMIFS('استلام المواد'!$K$5:$K$304,'استلام المواد'!$C$5:$C$304,A239))</f>
        <v/>
      </c>
      <c r="Q239" s="46">
        <f>IF(A239="","",J239-P239)</f>
        <v/>
      </c>
      <c r="R239" s="49">
        <f>IF(A239="","",IF(F239="لا","مادة غير معتمدة!",IF(P239&gt;=J239,"مكتمل",IF(AND(O239&lt;&gt;"",TODAY()&gt;O239),"متأخر التوريد",IF(P239&gt;0,"توريد جزئي","لم يُورد بعد")))))</f>
        <v/>
      </c>
    </row>
    <row r="240">
      <c r="A240" s="39">
        <f>IF(C240="","","PO-"&amp;TEXT(ROW()-4,"0000"))</f>
        <v/>
      </c>
      <c r="B240" s="47" t="n"/>
      <c r="C240" s="50" t="n"/>
      <c r="D240" s="40" t="n"/>
      <c r="E240" s="40" t="n"/>
      <c r="F240" s="49">
        <f>IF(E240="","",IFERROR(INDEX('اعتماد المواد'!$P$5:$P$304,MATCH(E240,'اعتماد المواد'!$A$5:$A$304,0)),""))</f>
        <v/>
      </c>
      <c r="G240" s="50" t="n"/>
      <c r="H240" s="40" t="n"/>
      <c r="I240" s="50" t="n"/>
      <c r="J240" s="41" t="n"/>
      <c r="K240" s="41" t="n"/>
      <c r="L240" s="46">
        <f>IF(J240="","",J240*K240)</f>
        <v/>
      </c>
      <c r="M240" s="46">
        <f>IF(L240="","",L240*S_VAT)</f>
        <v/>
      </c>
      <c r="N240" s="46">
        <f>IF(L240="","",L240+M240)</f>
        <v/>
      </c>
      <c r="O240" s="47" t="n"/>
      <c r="P240" s="46">
        <f>IF(A240="","",SUMIFS('استلام المواد'!$K$5:$K$304,'استلام المواد'!$C$5:$C$304,A240))</f>
        <v/>
      </c>
      <c r="Q240" s="46">
        <f>IF(A240="","",J240-P240)</f>
        <v/>
      </c>
      <c r="R240" s="49">
        <f>IF(A240="","",IF(F240="لا","مادة غير معتمدة!",IF(P240&gt;=J240,"مكتمل",IF(AND(O240&lt;&gt;"",TODAY()&gt;O240),"متأخر التوريد",IF(P240&gt;0,"توريد جزئي","لم يُورد بعد")))))</f>
        <v/>
      </c>
    </row>
    <row r="241">
      <c r="A241" s="39">
        <f>IF(C241="","","PO-"&amp;TEXT(ROW()-4,"0000"))</f>
        <v/>
      </c>
      <c r="B241" s="47" t="n"/>
      <c r="C241" s="50" t="n"/>
      <c r="D241" s="40" t="n"/>
      <c r="E241" s="40" t="n"/>
      <c r="F241" s="49">
        <f>IF(E241="","",IFERROR(INDEX('اعتماد المواد'!$P$5:$P$304,MATCH(E241,'اعتماد المواد'!$A$5:$A$304,0)),""))</f>
        <v/>
      </c>
      <c r="G241" s="50" t="n"/>
      <c r="H241" s="40" t="n"/>
      <c r="I241" s="50" t="n"/>
      <c r="J241" s="41" t="n"/>
      <c r="K241" s="41" t="n"/>
      <c r="L241" s="46">
        <f>IF(J241="","",J241*K241)</f>
        <v/>
      </c>
      <c r="M241" s="46">
        <f>IF(L241="","",L241*S_VAT)</f>
        <v/>
      </c>
      <c r="N241" s="46">
        <f>IF(L241="","",L241+M241)</f>
        <v/>
      </c>
      <c r="O241" s="47" t="n"/>
      <c r="P241" s="46">
        <f>IF(A241="","",SUMIFS('استلام المواد'!$K$5:$K$304,'استلام المواد'!$C$5:$C$304,A241))</f>
        <v/>
      </c>
      <c r="Q241" s="46">
        <f>IF(A241="","",J241-P241)</f>
        <v/>
      </c>
      <c r="R241" s="49">
        <f>IF(A241="","",IF(F241="لا","مادة غير معتمدة!",IF(P241&gt;=J241,"مكتمل",IF(AND(O241&lt;&gt;"",TODAY()&gt;O241),"متأخر التوريد",IF(P241&gt;0,"توريد جزئي","لم يُورد بعد")))))</f>
        <v/>
      </c>
    </row>
    <row r="242">
      <c r="A242" s="39">
        <f>IF(C242="","","PO-"&amp;TEXT(ROW()-4,"0000"))</f>
        <v/>
      </c>
      <c r="B242" s="47" t="n"/>
      <c r="C242" s="50" t="n"/>
      <c r="D242" s="40" t="n"/>
      <c r="E242" s="40" t="n"/>
      <c r="F242" s="49">
        <f>IF(E242="","",IFERROR(INDEX('اعتماد المواد'!$P$5:$P$304,MATCH(E242,'اعتماد المواد'!$A$5:$A$304,0)),""))</f>
        <v/>
      </c>
      <c r="G242" s="50" t="n"/>
      <c r="H242" s="40" t="n"/>
      <c r="I242" s="50" t="n"/>
      <c r="J242" s="41" t="n"/>
      <c r="K242" s="41" t="n"/>
      <c r="L242" s="46">
        <f>IF(J242="","",J242*K242)</f>
        <v/>
      </c>
      <c r="M242" s="46">
        <f>IF(L242="","",L242*S_VAT)</f>
        <v/>
      </c>
      <c r="N242" s="46">
        <f>IF(L242="","",L242+M242)</f>
        <v/>
      </c>
      <c r="O242" s="47" t="n"/>
      <c r="P242" s="46">
        <f>IF(A242="","",SUMIFS('استلام المواد'!$K$5:$K$304,'استلام المواد'!$C$5:$C$304,A242))</f>
        <v/>
      </c>
      <c r="Q242" s="46">
        <f>IF(A242="","",J242-P242)</f>
        <v/>
      </c>
      <c r="R242" s="49">
        <f>IF(A242="","",IF(F242="لا","مادة غير معتمدة!",IF(P242&gt;=J242,"مكتمل",IF(AND(O242&lt;&gt;"",TODAY()&gt;O242),"متأخر التوريد",IF(P242&gt;0,"توريد جزئي","لم يُورد بعد")))))</f>
        <v/>
      </c>
    </row>
    <row r="243">
      <c r="A243" s="39">
        <f>IF(C243="","","PO-"&amp;TEXT(ROW()-4,"0000"))</f>
        <v/>
      </c>
      <c r="B243" s="47" t="n"/>
      <c r="C243" s="50" t="n"/>
      <c r="D243" s="40" t="n"/>
      <c r="E243" s="40" t="n"/>
      <c r="F243" s="49">
        <f>IF(E243="","",IFERROR(INDEX('اعتماد المواد'!$P$5:$P$304,MATCH(E243,'اعتماد المواد'!$A$5:$A$304,0)),""))</f>
        <v/>
      </c>
      <c r="G243" s="50" t="n"/>
      <c r="H243" s="40" t="n"/>
      <c r="I243" s="50" t="n"/>
      <c r="J243" s="41" t="n"/>
      <c r="K243" s="41" t="n"/>
      <c r="L243" s="46">
        <f>IF(J243="","",J243*K243)</f>
        <v/>
      </c>
      <c r="M243" s="46">
        <f>IF(L243="","",L243*S_VAT)</f>
        <v/>
      </c>
      <c r="N243" s="46">
        <f>IF(L243="","",L243+M243)</f>
        <v/>
      </c>
      <c r="O243" s="47" t="n"/>
      <c r="P243" s="46">
        <f>IF(A243="","",SUMIFS('استلام المواد'!$K$5:$K$304,'استلام المواد'!$C$5:$C$304,A243))</f>
        <v/>
      </c>
      <c r="Q243" s="46">
        <f>IF(A243="","",J243-P243)</f>
        <v/>
      </c>
      <c r="R243" s="49">
        <f>IF(A243="","",IF(F243="لا","مادة غير معتمدة!",IF(P243&gt;=J243,"مكتمل",IF(AND(O243&lt;&gt;"",TODAY()&gt;O243),"متأخر التوريد",IF(P243&gt;0,"توريد جزئي","لم يُورد بعد")))))</f>
        <v/>
      </c>
    </row>
    <row r="244">
      <c r="A244" s="39">
        <f>IF(C244="","","PO-"&amp;TEXT(ROW()-4,"0000"))</f>
        <v/>
      </c>
      <c r="B244" s="47" t="n"/>
      <c r="C244" s="50" t="n"/>
      <c r="D244" s="40" t="n"/>
      <c r="E244" s="40" t="n"/>
      <c r="F244" s="49">
        <f>IF(E244="","",IFERROR(INDEX('اعتماد المواد'!$P$5:$P$304,MATCH(E244,'اعتماد المواد'!$A$5:$A$304,0)),""))</f>
        <v/>
      </c>
      <c r="G244" s="50" t="n"/>
      <c r="H244" s="40" t="n"/>
      <c r="I244" s="50" t="n"/>
      <c r="J244" s="41" t="n"/>
      <c r="K244" s="41" t="n"/>
      <c r="L244" s="46">
        <f>IF(J244="","",J244*K244)</f>
        <v/>
      </c>
      <c r="M244" s="46">
        <f>IF(L244="","",L244*S_VAT)</f>
        <v/>
      </c>
      <c r="N244" s="46">
        <f>IF(L244="","",L244+M244)</f>
        <v/>
      </c>
      <c r="O244" s="47" t="n"/>
      <c r="P244" s="46">
        <f>IF(A244="","",SUMIFS('استلام المواد'!$K$5:$K$304,'استلام المواد'!$C$5:$C$304,A244))</f>
        <v/>
      </c>
      <c r="Q244" s="46">
        <f>IF(A244="","",J244-P244)</f>
        <v/>
      </c>
      <c r="R244" s="49">
        <f>IF(A244="","",IF(F244="لا","مادة غير معتمدة!",IF(P244&gt;=J244,"مكتمل",IF(AND(O244&lt;&gt;"",TODAY()&gt;O244),"متأخر التوريد",IF(P244&gt;0,"توريد جزئي","لم يُورد بعد")))))</f>
        <v/>
      </c>
    </row>
    <row r="245">
      <c r="A245" s="39">
        <f>IF(C245="","","PO-"&amp;TEXT(ROW()-4,"0000"))</f>
        <v/>
      </c>
      <c r="B245" s="47" t="n"/>
      <c r="C245" s="50" t="n"/>
      <c r="D245" s="40" t="n"/>
      <c r="E245" s="40" t="n"/>
      <c r="F245" s="49">
        <f>IF(E245="","",IFERROR(INDEX('اعتماد المواد'!$P$5:$P$304,MATCH(E245,'اعتماد المواد'!$A$5:$A$304,0)),""))</f>
        <v/>
      </c>
      <c r="G245" s="50" t="n"/>
      <c r="H245" s="40" t="n"/>
      <c r="I245" s="50" t="n"/>
      <c r="J245" s="41" t="n"/>
      <c r="K245" s="41" t="n"/>
      <c r="L245" s="46">
        <f>IF(J245="","",J245*K245)</f>
        <v/>
      </c>
      <c r="M245" s="46">
        <f>IF(L245="","",L245*S_VAT)</f>
        <v/>
      </c>
      <c r="N245" s="46">
        <f>IF(L245="","",L245+M245)</f>
        <v/>
      </c>
      <c r="O245" s="47" t="n"/>
      <c r="P245" s="46">
        <f>IF(A245="","",SUMIFS('استلام المواد'!$K$5:$K$304,'استلام المواد'!$C$5:$C$304,A245))</f>
        <v/>
      </c>
      <c r="Q245" s="46">
        <f>IF(A245="","",J245-P245)</f>
        <v/>
      </c>
      <c r="R245" s="49">
        <f>IF(A245="","",IF(F245="لا","مادة غير معتمدة!",IF(P245&gt;=J245,"مكتمل",IF(AND(O245&lt;&gt;"",TODAY()&gt;O245),"متأخر التوريد",IF(P245&gt;0,"توريد جزئي","لم يُورد بعد")))))</f>
        <v/>
      </c>
    </row>
    <row r="246">
      <c r="A246" s="39">
        <f>IF(C246="","","PO-"&amp;TEXT(ROW()-4,"0000"))</f>
        <v/>
      </c>
      <c r="B246" s="47" t="n"/>
      <c r="C246" s="50" t="n"/>
      <c r="D246" s="40" t="n"/>
      <c r="E246" s="40" t="n"/>
      <c r="F246" s="49">
        <f>IF(E246="","",IFERROR(INDEX('اعتماد المواد'!$P$5:$P$304,MATCH(E246,'اعتماد المواد'!$A$5:$A$304,0)),""))</f>
        <v/>
      </c>
      <c r="G246" s="50" t="n"/>
      <c r="H246" s="40" t="n"/>
      <c r="I246" s="50" t="n"/>
      <c r="J246" s="41" t="n"/>
      <c r="K246" s="41" t="n"/>
      <c r="L246" s="46">
        <f>IF(J246="","",J246*K246)</f>
        <v/>
      </c>
      <c r="M246" s="46">
        <f>IF(L246="","",L246*S_VAT)</f>
        <v/>
      </c>
      <c r="N246" s="46">
        <f>IF(L246="","",L246+M246)</f>
        <v/>
      </c>
      <c r="O246" s="47" t="n"/>
      <c r="P246" s="46">
        <f>IF(A246="","",SUMIFS('استلام المواد'!$K$5:$K$304,'استلام المواد'!$C$5:$C$304,A246))</f>
        <v/>
      </c>
      <c r="Q246" s="46">
        <f>IF(A246="","",J246-P246)</f>
        <v/>
      </c>
      <c r="R246" s="49">
        <f>IF(A246="","",IF(F246="لا","مادة غير معتمدة!",IF(P246&gt;=J246,"مكتمل",IF(AND(O246&lt;&gt;"",TODAY()&gt;O246),"متأخر التوريد",IF(P246&gt;0,"توريد جزئي","لم يُورد بعد")))))</f>
        <v/>
      </c>
    </row>
    <row r="247">
      <c r="A247" s="39">
        <f>IF(C247="","","PO-"&amp;TEXT(ROW()-4,"0000"))</f>
        <v/>
      </c>
      <c r="B247" s="47" t="n"/>
      <c r="C247" s="50" t="n"/>
      <c r="D247" s="40" t="n"/>
      <c r="E247" s="40" t="n"/>
      <c r="F247" s="49">
        <f>IF(E247="","",IFERROR(INDEX('اعتماد المواد'!$P$5:$P$304,MATCH(E247,'اعتماد المواد'!$A$5:$A$304,0)),""))</f>
        <v/>
      </c>
      <c r="G247" s="50" t="n"/>
      <c r="H247" s="40" t="n"/>
      <c r="I247" s="50" t="n"/>
      <c r="J247" s="41" t="n"/>
      <c r="K247" s="41" t="n"/>
      <c r="L247" s="46">
        <f>IF(J247="","",J247*K247)</f>
        <v/>
      </c>
      <c r="M247" s="46">
        <f>IF(L247="","",L247*S_VAT)</f>
        <v/>
      </c>
      <c r="N247" s="46">
        <f>IF(L247="","",L247+M247)</f>
        <v/>
      </c>
      <c r="O247" s="47" t="n"/>
      <c r="P247" s="46">
        <f>IF(A247="","",SUMIFS('استلام المواد'!$K$5:$K$304,'استلام المواد'!$C$5:$C$304,A247))</f>
        <v/>
      </c>
      <c r="Q247" s="46">
        <f>IF(A247="","",J247-P247)</f>
        <v/>
      </c>
      <c r="R247" s="49">
        <f>IF(A247="","",IF(F247="لا","مادة غير معتمدة!",IF(P247&gt;=J247,"مكتمل",IF(AND(O247&lt;&gt;"",TODAY()&gt;O247),"متأخر التوريد",IF(P247&gt;0,"توريد جزئي","لم يُورد بعد")))))</f>
        <v/>
      </c>
    </row>
    <row r="248">
      <c r="A248" s="39">
        <f>IF(C248="","","PO-"&amp;TEXT(ROW()-4,"0000"))</f>
        <v/>
      </c>
      <c r="B248" s="47" t="n"/>
      <c r="C248" s="50" t="n"/>
      <c r="D248" s="40" t="n"/>
      <c r="E248" s="40" t="n"/>
      <c r="F248" s="49">
        <f>IF(E248="","",IFERROR(INDEX('اعتماد المواد'!$P$5:$P$304,MATCH(E248,'اعتماد المواد'!$A$5:$A$304,0)),""))</f>
        <v/>
      </c>
      <c r="G248" s="50" t="n"/>
      <c r="H248" s="40" t="n"/>
      <c r="I248" s="50" t="n"/>
      <c r="J248" s="41" t="n"/>
      <c r="K248" s="41" t="n"/>
      <c r="L248" s="46">
        <f>IF(J248="","",J248*K248)</f>
        <v/>
      </c>
      <c r="M248" s="46">
        <f>IF(L248="","",L248*S_VAT)</f>
        <v/>
      </c>
      <c r="N248" s="46">
        <f>IF(L248="","",L248+M248)</f>
        <v/>
      </c>
      <c r="O248" s="47" t="n"/>
      <c r="P248" s="46">
        <f>IF(A248="","",SUMIFS('استلام المواد'!$K$5:$K$304,'استلام المواد'!$C$5:$C$304,A248))</f>
        <v/>
      </c>
      <c r="Q248" s="46">
        <f>IF(A248="","",J248-P248)</f>
        <v/>
      </c>
      <c r="R248" s="49">
        <f>IF(A248="","",IF(F248="لا","مادة غير معتمدة!",IF(P248&gt;=J248,"مكتمل",IF(AND(O248&lt;&gt;"",TODAY()&gt;O248),"متأخر التوريد",IF(P248&gt;0,"توريد جزئي","لم يُورد بعد")))))</f>
        <v/>
      </c>
    </row>
    <row r="249">
      <c r="A249" s="39">
        <f>IF(C249="","","PO-"&amp;TEXT(ROW()-4,"0000"))</f>
        <v/>
      </c>
      <c r="B249" s="47" t="n"/>
      <c r="C249" s="50" t="n"/>
      <c r="D249" s="40" t="n"/>
      <c r="E249" s="40" t="n"/>
      <c r="F249" s="49">
        <f>IF(E249="","",IFERROR(INDEX('اعتماد المواد'!$P$5:$P$304,MATCH(E249,'اعتماد المواد'!$A$5:$A$304,0)),""))</f>
        <v/>
      </c>
      <c r="G249" s="50" t="n"/>
      <c r="H249" s="40" t="n"/>
      <c r="I249" s="50" t="n"/>
      <c r="J249" s="41" t="n"/>
      <c r="K249" s="41" t="n"/>
      <c r="L249" s="46">
        <f>IF(J249="","",J249*K249)</f>
        <v/>
      </c>
      <c r="M249" s="46">
        <f>IF(L249="","",L249*S_VAT)</f>
        <v/>
      </c>
      <c r="N249" s="46">
        <f>IF(L249="","",L249+M249)</f>
        <v/>
      </c>
      <c r="O249" s="47" t="n"/>
      <c r="P249" s="46">
        <f>IF(A249="","",SUMIFS('استلام المواد'!$K$5:$K$304,'استلام المواد'!$C$5:$C$304,A249))</f>
        <v/>
      </c>
      <c r="Q249" s="46">
        <f>IF(A249="","",J249-P249)</f>
        <v/>
      </c>
      <c r="R249" s="49">
        <f>IF(A249="","",IF(F249="لا","مادة غير معتمدة!",IF(P249&gt;=J249,"مكتمل",IF(AND(O249&lt;&gt;"",TODAY()&gt;O249),"متأخر التوريد",IF(P249&gt;0,"توريد جزئي","لم يُورد بعد")))))</f>
        <v/>
      </c>
    </row>
    <row r="250">
      <c r="A250" s="39">
        <f>IF(C250="","","PO-"&amp;TEXT(ROW()-4,"0000"))</f>
        <v/>
      </c>
      <c r="B250" s="47" t="n"/>
      <c r="C250" s="50" t="n"/>
      <c r="D250" s="40" t="n"/>
      <c r="E250" s="40" t="n"/>
      <c r="F250" s="49">
        <f>IF(E250="","",IFERROR(INDEX('اعتماد المواد'!$P$5:$P$304,MATCH(E250,'اعتماد المواد'!$A$5:$A$304,0)),""))</f>
        <v/>
      </c>
      <c r="G250" s="50" t="n"/>
      <c r="H250" s="40" t="n"/>
      <c r="I250" s="50" t="n"/>
      <c r="J250" s="41" t="n"/>
      <c r="K250" s="41" t="n"/>
      <c r="L250" s="46">
        <f>IF(J250="","",J250*K250)</f>
        <v/>
      </c>
      <c r="M250" s="46">
        <f>IF(L250="","",L250*S_VAT)</f>
        <v/>
      </c>
      <c r="N250" s="46">
        <f>IF(L250="","",L250+M250)</f>
        <v/>
      </c>
      <c r="O250" s="47" t="n"/>
      <c r="P250" s="46">
        <f>IF(A250="","",SUMIFS('استلام المواد'!$K$5:$K$304,'استلام المواد'!$C$5:$C$304,A250))</f>
        <v/>
      </c>
      <c r="Q250" s="46">
        <f>IF(A250="","",J250-P250)</f>
        <v/>
      </c>
      <c r="R250" s="49">
        <f>IF(A250="","",IF(F250="لا","مادة غير معتمدة!",IF(P250&gt;=J250,"مكتمل",IF(AND(O250&lt;&gt;"",TODAY()&gt;O250),"متأخر التوريد",IF(P250&gt;0,"توريد جزئي","لم يُورد بعد")))))</f>
        <v/>
      </c>
    </row>
    <row r="251">
      <c r="A251" s="39">
        <f>IF(C251="","","PO-"&amp;TEXT(ROW()-4,"0000"))</f>
        <v/>
      </c>
      <c r="B251" s="47" t="n"/>
      <c r="C251" s="50" t="n"/>
      <c r="D251" s="40" t="n"/>
      <c r="E251" s="40" t="n"/>
      <c r="F251" s="49">
        <f>IF(E251="","",IFERROR(INDEX('اعتماد المواد'!$P$5:$P$304,MATCH(E251,'اعتماد المواد'!$A$5:$A$304,0)),""))</f>
        <v/>
      </c>
      <c r="G251" s="50" t="n"/>
      <c r="H251" s="40" t="n"/>
      <c r="I251" s="50" t="n"/>
      <c r="J251" s="41" t="n"/>
      <c r="K251" s="41" t="n"/>
      <c r="L251" s="46">
        <f>IF(J251="","",J251*K251)</f>
        <v/>
      </c>
      <c r="M251" s="46">
        <f>IF(L251="","",L251*S_VAT)</f>
        <v/>
      </c>
      <c r="N251" s="46">
        <f>IF(L251="","",L251+M251)</f>
        <v/>
      </c>
      <c r="O251" s="47" t="n"/>
      <c r="P251" s="46">
        <f>IF(A251="","",SUMIFS('استلام المواد'!$K$5:$K$304,'استلام المواد'!$C$5:$C$304,A251))</f>
        <v/>
      </c>
      <c r="Q251" s="46">
        <f>IF(A251="","",J251-P251)</f>
        <v/>
      </c>
      <c r="R251" s="49">
        <f>IF(A251="","",IF(F251="لا","مادة غير معتمدة!",IF(P251&gt;=J251,"مكتمل",IF(AND(O251&lt;&gt;"",TODAY()&gt;O251),"متأخر التوريد",IF(P251&gt;0,"توريد جزئي","لم يُورد بعد")))))</f>
        <v/>
      </c>
    </row>
    <row r="252">
      <c r="A252" s="39">
        <f>IF(C252="","","PO-"&amp;TEXT(ROW()-4,"0000"))</f>
        <v/>
      </c>
      <c r="B252" s="47" t="n"/>
      <c r="C252" s="50" t="n"/>
      <c r="D252" s="40" t="n"/>
      <c r="E252" s="40" t="n"/>
      <c r="F252" s="49">
        <f>IF(E252="","",IFERROR(INDEX('اعتماد المواد'!$P$5:$P$304,MATCH(E252,'اعتماد المواد'!$A$5:$A$304,0)),""))</f>
        <v/>
      </c>
      <c r="G252" s="50" t="n"/>
      <c r="H252" s="40" t="n"/>
      <c r="I252" s="50" t="n"/>
      <c r="J252" s="41" t="n"/>
      <c r="K252" s="41" t="n"/>
      <c r="L252" s="46">
        <f>IF(J252="","",J252*K252)</f>
        <v/>
      </c>
      <c r="M252" s="46">
        <f>IF(L252="","",L252*S_VAT)</f>
        <v/>
      </c>
      <c r="N252" s="46">
        <f>IF(L252="","",L252+M252)</f>
        <v/>
      </c>
      <c r="O252" s="47" t="n"/>
      <c r="P252" s="46">
        <f>IF(A252="","",SUMIFS('استلام المواد'!$K$5:$K$304,'استلام المواد'!$C$5:$C$304,A252))</f>
        <v/>
      </c>
      <c r="Q252" s="46">
        <f>IF(A252="","",J252-P252)</f>
        <v/>
      </c>
      <c r="R252" s="49">
        <f>IF(A252="","",IF(F252="لا","مادة غير معتمدة!",IF(P252&gt;=J252,"مكتمل",IF(AND(O252&lt;&gt;"",TODAY()&gt;O252),"متأخر التوريد",IF(P252&gt;0,"توريد جزئي","لم يُورد بعد")))))</f>
        <v/>
      </c>
    </row>
    <row r="253">
      <c r="A253" s="39">
        <f>IF(C253="","","PO-"&amp;TEXT(ROW()-4,"0000"))</f>
        <v/>
      </c>
      <c r="B253" s="47" t="n"/>
      <c r="C253" s="50" t="n"/>
      <c r="D253" s="40" t="n"/>
      <c r="E253" s="40" t="n"/>
      <c r="F253" s="49">
        <f>IF(E253="","",IFERROR(INDEX('اعتماد المواد'!$P$5:$P$304,MATCH(E253,'اعتماد المواد'!$A$5:$A$304,0)),""))</f>
        <v/>
      </c>
      <c r="G253" s="50" t="n"/>
      <c r="H253" s="40" t="n"/>
      <c r="I253" s="50" t="n"/>
      <c r="J253" s="41" t="n"/>
      <c r="K253" s="41" t="n"/>
      <c r="L253" s="46">
        <f>IF(J253="","",J253*K253)</f>
        <v/>
      </c>
      <c r="M253" s="46">
        <f>IF(L253="","",L253*S_VAT)</f>
        <v/>
      </c>
      <c r="N253" s="46">
        <f>IF(L253="","",L253+M253)</f>
        <v/>
      </c>
      <c r="O253" s="47" t="n"/>
      <c r="P253" s="46">
        <f>IF(A253="","",SUMIFS('استلام المواد'!$K$5:$K$304,'استلام المواد'!$C$5:$C$304,A253))</f>
        <v/>
      </c>
      <c r="Q253" s="46">
        <f>IF(A253="","",J253-P253)</f>
        <v/>
      </c>
      <c r="R253" s="49">
        <f>IF(A253="","",IF(F253="لا","مادة غير معتمدة!",IF(P253&gt;=J253,"مكتمل",IF(AND(O253&lt;&gt;"",TODAY()&gt;O253),"متأخر التوريد",IF(P253&gt;0,"توريد جزئي","لم يُورد بعد")))))</f>
        <v/>
      </c>
    </row>
    <row r="254">
      <c r="A254" s="39">
        <f>IF(C254="","","PO-"&amp;TEXT(ROW()-4,"0000"))</f>
        <v/>
      </c>
      <c r="B254" s="47" t="n"/>
      <c r="C254" s="50" t="n"/>
      <c r="D254" s="40" t="n"/>
      <c r="E254" s="40" t="n"/>
      <c r="F254" s="49">
        <f>IF(E254="","",IFERROR(INDEX('اعتماد المواد'!$P$5:$P$304,MATCH(E254,'اعتماد المواد'!$A$5:$A$304,0)),""))</f>
        <v/>
      </c>
      <c r="G254" s="50" t="n"/>
      <c r="H254" s="40" t="n"/>
      <c r="I254" s="50" t="n"/>
      <c r="J254" s="41" t="n"/>
      <c r="K254" s="41" t="n"/>
      <c r="L254" s="46">
        <f>IF(J254="","",J254*K254)</f>
        <v/>
      </c>
      <c r="M254" s="46">
        <f>IF(L254="","",L254*S_VAT)</f>
        <v/>
      </c>
      <c r="N254" s="46">
        <f>IF(L254="","",L254+M254)</f>
        <v/>
      </c>
      <c r="O254" s="47" t="n"/>
      <c r="P254" s="46">
        <f>IF(A254="","",SUMIFS('استلام المواد'!$K$5:$K$304,'استلام المواد'!$C$5:$C$304,A254))</f>
        <v/>
      </c>
      <c r="Q254" s="46">
        <f>IF(A254="","",J254-P254)</f>
        <v/>
      </c>
      <c r="R254" s="49">
        <f>IF(A254="","",IF(F254="لا","مادة غير معتمدة!",IF(P254&gt;=J254,"مكتمل",IF(AND(O254&lt;&gt;"",TODAY()&gt;O254),"متأخر التوريد",IF(P254&gt;0,"توريد جزئي","لم يُورد بعد")))))</f>
        <v/>
      </c>
    </row>
    <row r="255">
      <c r="A255" s="39">
        <f>IF(C255="","","PO-"&amp;TEXT(ROW()-4,"0000"))</f>
        <v/>
      </c>
      <c r="B255" s="47" t="n"/>
      <c r="C255" s="50" t="n"/>
      <c r="D255" s="40" t="n"/>
      <c r="E255" s="40" t="n"/>
      <c r="F255" s="49">
        <f>IF(E255="","",IFERROR(INDEX('اعتماد المواد'!$P$5:$P$304,MATCH(E255,'اعتماد المواد'!$A$5:$A$304,0)),""))</f>
        <v/>
      </c>
      <c r="G255" s="50" t="n"/>
      <c r="H255" s="40" t="n"/>
      <c r="I255" s="50" t="n"/>
      <c r="J255" s="41" t="n"/>
      <c r="K255" s="41" t="n"/>
      <c r="L255" s="46">
        <f>IF(J255="","",J255*K255)</f>
        <v/>
      </c>
      <c r="M255" s="46">
        <f>IF(L255="","",L255*S_VAT)</f>
        <v/>
      </c>
      <c r="N255" s="46">
        <f>IF(L255="","",L255+M255)</f>
        <v/>
      </c>
      <c r="O255" s="47" t="n"/>
      <c r="P255" s="46">
        <f>IF(A255="","",SUMIFS('استلام المواد'!$K$5:$K$304,'استلام المواد'!$C$5:$C$304,A255))</f>
        <v/>
      </c>
      <c r="Q255" s="46">
        <f>IF(A255="","",J255-P255)</f>
        <v/>
      </c>
      <c r="R255" s="49">
        <f>IF(A255="","",IF(F255="لا","مادة غير معتمدة!",IF(P255&gt;=J255,"مكتمل",IF(AND(O255&lt;&gt;"",TODAY()&gt;O255),"متأخر التوريد",IF(P255&gt;0,"توريد جزئي","لم يُورد بعد")))))</f>
        <v/>
      </c>
    </row>
    <row r="256">
      <c r="A256" s="39">
        <f>IF(C256="","","PO-"&amp;TEXT(ROW()-4,"0000"))</f>
        <v/>
      </c>
      <c r="B256" s="47" t="n"/>
      <c r="C256" s="50" t="n"/>
      <c r="D256" s="40" t="n"/>
      <c r="E256" s="40" t="n"/>
      <c r="F256" s="49">
        <f>IF(E256="","",IFERROR(INDEX('اعتماد المواد'!$P$5:$P$304,MATCH(E256,'اعتماد المواد'!$A$5:$A$304,0)),""))</f>
        <v/>
      </c>
      <c r="G256" s="50" t="n"/>
      <c r="H256" s="40" t="n"/>
      <c r="I256" s="50" t="n"/>
      <c r="J256" s="41" t="n"/>
      <c r="K256" s="41" t="n"/>
      <c r="L256" s="46">
        <f>IF(J256="","",J256*K256)</f>
        <v/>
      </c>
      <c r="M256" s="46">
        <f>IF(L256="","",L256*S_VAT)</f>
        <v/>
      </c>
      <c r="N256" s="46">
        <f>IF(L256="","",L256+M256)</f>
        <v/>
      </c>
      <c r="O256" s="47" t="n"/>
      <c r="P256" s="46">
        <f>IF(A256="","",SUMIFS('استلام المواد'!$K$5:$K$304,'استلام المواد'!$C$5:$C$304,A256))</f>
        <v/>
      </c>
      <c r="Q256" s="46">
        <f>IF(A256="","",J256-P256)</f>
        <v/>
      </c>
      <c r="R256" s="49">
        <f>IF(A256="","",IF(F256="لا","مادة غير معتمدة!",IF(P256&gt;=J256,"مكتمل",IF(AND(O256&lt;&gt;"",TODAY()&gt;O256),"متأخر التوريد",IF(P256&gt;0,"توريد جزئي","لم يُورد بعد")))))</f>
        <v/>
      </c>
    </row>
    <row r="257">
      <c r="A257" s="39">
        <f>IF(C257="","","PO-"&amp;TEXT(ROW()-4,"0000"))</f>
        <v/>
      </c>
      <c r="B257" s="47" t="n"/>
      <c r="C257" s="50" t="n"/>
      <c r="D257" s="40" t="n"/>
      <c r="E257" s="40" t="n"/>
      <c r="F257" s="49">
        <f>IF(E257="","",IFERROR(INDEX('اعتماد المواد'!$P$5:$P$304,MATCH(E257,'اعتماد المواد'!$A$5:$A$304,0)),""))</f>
        <v/>
      </c>
      <c r="G257" s="50" t="n"/>
      <c r="H257" s="40" t="n"/>
      <c r="I257" s="50" t="n"/>
      <c r="J257" s="41" t="n"/>
      <c r="K257" s="41" t="n"/>
      <c r="L257" s="46">
        <f>IF(J257="","",J257*K257)</f>
        <v/>
      </c>
      <c r="M257" s="46">
        <f>IF(L257="","",L257*S_VAT)</f>
        <v/>
      </c>
      <c r="N257" s="46">
        <f>IF(L257="","",L257+M257)</f>
        <v/>
      </c>
      <c r="O257" s="47" t="n"/>
      <c r="P257" s="46">
        <f>IF(A257="","",SUMIFS('استلام المواد'!$K$5:$K$304,'استلام المواد'!$C$5:$C$304,A257))</f>
        <v/>
      </c>
      <c r="Q257" s="46">
        <f>IF(A257="","",J257-P257)</f>
        <v/>
      </c>
      <c r="R257" s="49">
        <f>IF(A257="","",IF(F257="لا","مادة غير معتمدة!",IF(P257&gt;=J257,"مكتمل",IF(AND(O257&lt;&gt;"",TODAY()&gt;O257),"متأخر التوريد",IF(P257&gt;0,"توريد جزئي","لم يُورد بعد")))))</f>
        <v/>
      </c>
    </row>
    <row r="258">
      <c r="A258" s="39">
        <f>IF(C258="","","PO-"&amp;TEXT(ROW()-4,"0000"))</f>
        <v/>
      </c>
      <c r="B258" s="47" t="n"/>
      <c r="C258" s="50" t="n"/>
      <c r="D258" s="40" t="n"/>
      <c r="E258" s="40" t="n"/>
      <c r="F258" s="49">
        <f>IF(E258="","",IFERROR(INDEX('اعتماد المواد'!$P$5:$P$304,MATCH(E258,'اعتماد المواد'!$A$5:$A$304,0)),""))</f>
        <v/>
      </c>
      <c r="G258" s="50" t="n"/>
      <c r="H258" s="40" t="n"/>
      <c r="I258" s="50" t="n"/>
      <c r="J258" s="41" t="n"/>
      <c r="K258" s="41" t="n"/>
      <c r="L258" s="46">
        <f>IF(J258="","",J258*K258)</f>
        <v/>
      </c>
      <c r="M258" s="46">
        <f>IF(L258="","",L258*S_VAT)</f>
        <v/>
      </c>
      <c r="N258" s="46">
        <f>IF(L258="","",L258+M258)</f>
        <v/>
      </c>
      <c r="O258" s="47" t="n"/>
      <c r="P258" s="46">
        <f>IF(A258="","",SUMIFS('استلام المواد'!$K$5:$K$304,'استلام المواد'!$C$5:$C$304,A258))</f>
        <v/>
      </c>
      <c r="Q258" s="46">
        <f>IF(A258="","",J258-P258)</f>
        <v/>
      </c>
      <c r="R258" s="49">
        <f>IF(A258="","",IF(F258="لا","مادة غير معتمدة!",IF(P258&gt;=J258,"مكتمل",IF(AND(O258&lt;&gt;"",TODAY()&gt;O258),"متأخر التوريد",IF(P258&gt;0,"توريد جزئي","لم يُورد بعد")))))</f>
        <v/>
      </c>
    </row>
    <row r="259">
      <c r="A259" s="39">
        <f>IF(C259="","","PO-"&amp;TEXT(ROW()-4,"0000"))</f>
        <v/>
      </c>
      <c r="B259" s="47" t="n"/>
      <c r="C259" s="50" t="n"/>
      <c r="D259" s="40" t="n"/>
      <c r="E259" s="40" t="n"/>
      <c r="F259" s="49">
        <f>IF(E259="","",IFERROR(INDEX('اعتماد المواد'!$P$5:$P$304,MATCH(E259,'اعتماد المواد'!$A$5:$A$304,0)),""))</f>
        <v/>
      </c>
      <c r="G259" s="50" t="n"/>
      <c r="H259" s="40" t="n"/>
      <c r="I259" s="50" t="n"/>
      <c r="J259" s="41" t="n"/>
      <c r="K259" s="41" t="n"/>
      <c r="L259" s="46">
        <f>IF(J259="","",J259*K259)</f>
        <v/>
      </c>
      <c r="M259" s="46">
        <f>IF(L259="","",L259*S_VAT)</f>
        <v/>
      </c>
      <c r="N259" s="46">
        <f>IF(L259="","",L259+M259)</f>
        <v/>
      </c>
      <c r="O259" s="47" t="n"/>
      <c r="P259" s="46">
        <f>IF(A259="","",SUMIFS('استلام المواد'!$K$5:$K$304,'استلام المواد'!$C$5:$C$304,A259))</f>
        <v/>
      </c>
      <c r="Q259" s="46">
        <f>IF(A259="","",J259-P259)</f>
        <v/>
      </c>
      <c r="R259" s="49">
        <f>IF(A259="","",IF(F259="لا","مادة غير معتمدة!",IF(P259&gt;=J259,"مكتمل",IF(AND(O259&lt;&gt;"",TODAY()&gt;O259),"متأخر التوريد",IF(P259&gt;0,"توريد جزئي","لم يُورد بعد")))))</f>
        <v/>
      </c>
    </row>
    <row r="260">
      <c r="A260" s="39">
        <f>IF(C260="","","PO-"&amp;TEXT(ROW()-4,"0000"))</f>
        <v/>
      </c>
      <c r="B260" s="47" t="n"/>
      <c r="C260" s="50" t="n"/>
      <c r="D260" s="40" t="n"/>
      <c r="E260" s="40" t="n"/>
      <c r="F260" s="49">
        <f>IF(E260="","",IFERROR(INDEX('اعتماد المواد'!$P$5:$P$304,MATCH(E260,'اعتماد المواد'!$A$5:$A$304,0)),""))</f>
        <v/>
      </c>
      <c r="G260" s="50" t="n"/>
      <c r="H260" s="40" t="n"/>
      <c r="I260" s="50" t="n"/>
      <c r="J260" s="41" t="n"/>
      <c r="K260" s="41" t="n"/>
      <c r="L260" s="46">
        <f>IF(J260="","",J260*K260)</f>
        <v/>
      </c>
      <c r="M260" s="46">
        <f>IF(L260="","",L260*S_VAT)</f>
        <v/>
      </c>
      <c r="N260" s="46">
        <f>IF(L260="","",L260+M260)</f>
        <v/>
      </c>
      <c r="O260" s="47" t="n"/>
      <c r="P260" s="46">
        <f>IF(A260="","",SUMIFS('استلام المواد'!$K$5:$K$304,'استلام المواد'!$C$5:$C$304,A260))</f>
        <v/>
      </c>
      <c r="Q260" s="46">
        <f>IF(A260="","",J260-P260)</f>
        <v/>
      </c>
      <c r="R260" s="49">
        <f>IF(A260="","",IF(F260="لا","مادة غير معتمدة!",IF(P260&gt;=J260,"مكتمل",IF(AND(O260&lt;&gt;"",TODAY()&gt;O260),"متأخر التوريد",IF(P260&gt;0,"توريد جزئي","لم يُورد بعد")))))</f>
        <v/>
      </c>
    </row>
    <row r="261">
      <c r="A261" s="39">
        <f>IF(C261="","","PO-"&amp;TEXT(ROW()-4,"0000"))</f>
        <v/>
      </c>
      <c r="B261" s="47" t="n"/>
      <c r="C261" s="50" t="n"/>
      <c r="D261" s="40" t="n"/>
      <c r="E261" s="40" t="n"/>
      <c r="F261" s="49">
        <f>IF(E261="","",IFERROR(INDEX('اعتماد المواد'!$P$5:$P$304,MATCH(E261,'اعتماد المواد'!$A$5:$A$304,0)),""))</f>
        <v/>
      </c>
      <c r="G261" s="50" t="n"/>
      <c r="H261" s="40" t="n"/>
      <c r="I261" s="50" t="n"/>
      <c r="J261" s="41" t="n"/>
      <c r="K261" s="41" t="n"/>
      <c r="L261" s="46">
        <f>IF(J261="","",J261*K261)</f>
        <v/>
      </c>
      <c r="M261" s="46">
        <f>IF(L261="","",L261*S_VAT)</f>
        <v/>
      </c>
      <c r="N261" s="46">
        <f>IF(L261="","",L261+M261)</f>
        <v/>
      </c>
      <c r="O261" s="47" t="n"/>
      <c r="P261" s="46">
        <f>IF(A261="","",SUMIFS('استلام المواد'!$K$5:$K$304,'استلام المواد'!$C$5:$C$304,A261))</f>
        <v/>
      </c>
      <c r="Q261" s="46">
        <f>IF(A261="","",J261-P261)</f>
        <v/>
      </c>
      <c r="R261" s="49">
        <f>IF(A261="","",IF(F261="لا","مادة غير معتمدة!",IF(P261&gt;=J261,"مكتمل",IF(AND(O261&lt;&gt;"",TODAY()&gt;O261),"متأخر التوريد",IF(P261&gt;0,"توريد جزئي","لم يُورد بعد")))))</f>
        <v/>
      </c>
    </row>
    <row r="262">
      <c r="A262" s="39">
        <f>IF(C262="","","PO-"&amp;TEXT(ROW()-4,"0000"))</f>
        <v/>
      </c>
      <c r="B262" s="47" t="n"/>
      <c r="C262" s="50" t="n"/>
      <c r="D262" s="40" t="n"/>
      <c r="E262" s="40" t="n"/>
      <c r="F262" s="49">
        <f>IF(E262="","",IFERROR(INDEX('اعتماد المواد'!$P$5:$P$304,MATCH(E262,'اعتماد المواد'!$A$5:$A$304,0)),""))</f>
        <v/>
      </c>
      <c r="G262" s="50" t="n"/>
      <c r="H262" s="40" t="n"/>
      <c r="I262" s="50" t="n"/>
      <c r="J262" s="41" t="n"/>
      <c r="K262" s="41" t="n"/>
      <c r="L262" s="46">
        <f>IF(J262="","",J262*K262)</f>
        <v/>
      </c>
      <c r="M262" s="46">
        <f>IF(L262="","",L262*S_VAT)</f>
        <v/>
      </c>
      <c r="N262" s="46">
        <f>IF(L262="","",L262+M262)</f>
        <v/>
      </c>
      <c r="O262" s="47" t="n"/>
      <c r="P262" s="46">
        <f>IF(A262="","",SUMIFS('استلام المواد'!$K$5:$K$304,'استلام المواد'!$C$5:$C$304,A262))</f>
        <v/>
      </c>
      <c r="Q262" s="46">
        <f>IF(A262="","",J262-P262)</f>
        <v/>
      </c>
      <c r="R262" s="49">
        <f>IF(A262="","",IF(F262="لا","مادة غير معتمدة!",IF(P262&gt;=J262,"مكتمل",IF(AND(O262&lt;&gt;"",TODAY()&gt;O262),"متأخر التوريد",IF(P262&gt;0,"توريد جزئي","لم يُورد بعد")))))</f>
        <v/>
      </c>
    </row>
    <row r="263">
      <c r="A263" s="39">
        <f>IF(C263="","","PO-"&amp;TEXT(ROW()-4,"0000"))</f>
        <v/>
      </c>
      <c r="B263" s="47" t="n"/>
      <c r="C263" s="50" t="n"/>
      <c r="D263" s="40" t="n"/>
      <c r="E263" s="40" t="n"/>
      <c r="F263" s="49">
        <f>IF(E263="","",IFERROR(INDEX('اعتماد المواد'!$P$5:$P$304,MATCH(E263,'اعتماد المواد'!$A$5:$A$304,0)),""))</f>
        <v/>
      </c>
      <c r="G263" s="50" t="n"/>
      <c r="H263" s="40" t="n"/>
      <c r="I263" s="50" t="n"/>
      <c r="J263" s="41" t="n"/>
      <c r="K263" s="41" t="n"/>
      <c r="L263" s="46">
        <f>IF(J263="","",J263*K263)</f>
        <v/>
      </c>
      <c r="M263" s="46">
        <f>IF(L263="","",L263*S_VAT)</f>
        <v/>
      </c>
      <c r="N263" s="46">
        <f>IF(L263="","",L263+M263)</f>
        <v/>
      </c>
      <c r="O263" s="47" t="n"/>
      <c r="P263" s="46">
        <f>IF(A263="","",SUMIFS('استلام المواد'!$K$5:$K$304,'استلام المواد'!$C$5:$C$304,A263))</f>
        <v/>
      </c>
      <c r="Q263" s="46">
        <f>IF(A263="","",J263-P263)</f>
        <v/>
      </c>
      <c r="R263" s="49">
        <f>IF(A263="","",IF(F263="لا","مادة غير معتمدة!",IF(P263&gt;=J263,"مكتمل",IF(AND(O263&lt;&gt;"",TODAY()&gt;O263),"متأخر التوريد",IF(P263&gt;0,"توريد جزئي","لم يُورد بعد")))))</f>
        <v/>
      </c>
    </row>
    <row r="264">
      <c r="A264" s="39">
        <f>IF(C264="","","PO-"&amp;TEXT(ROW()-4,"0000"))</f>
        <v/>
      </c>
      <c r="B264" s="47" t="n"/>
      <c r="C264" s="50" t="n"/>
      <c r="D264" s="40" t="n"/>
      <c r="E264" s="40" t="n"/>
      <c r="F264" s="49">
        <f>IF(E264="","",IFERROR(INDEX('اعتماد المواد'!$P$5:$P$304,MATCH(E264,'اعتماد المواد'!$A$5:$A$304,0)),""))</f>
        <v/>
      </c>
      <c r="G264" s="50" t="n"/>
      <c r="H264" s="40" t="n"/>
      <c r="I264" s="50" t="n"/>
      <c r="J264" s="41" t="n"/>
      <c r="K264" s="41" t="n"/>
      <c r="L264" s="46">
        <f>IF(J264="","",J264*K264)</f>
        <v/>
      </c>
      <c r="M264" s="46">
        <f>IF(L264="","",L264*S_VAT)</f>
        <v/>
      </c>
      <c r="N264" s="46">
        <f>IF(L264="","",L264+M264)</f>
        <v/>
      </c>
      <c r="O264" s="47" t="n"/>
      <c r="P264" s="46">
        <f>IF(A264="","",SUMIFS('استلام المواد'!$K$5:$K$304,'استلام المواد'!$C$5:$C$304,A264))</f>
        <v/>
      </c>
      <c r="Q264" s="46">
        <f>IF(A264="","",J264-P264)</f>
        <v/>
      </c>
      <c r="R264" s="49">
        <f>IF(A264="","",IF(F264="لا","مادة غير معتمدة!",IF(P264&gt;=J264,"مكتمل",IF(AND(O264&lt;&gt;"",TODAY()&gt;O264),"متأخر التوريد",IF(P264&gt;0,"توريد جزئي","لم يُورد بعد")))))</f>
        <v/>
      </c>
    </row>
    <row r="265">
      <c r="A265" s="39">
        <f>IF(C265="","","PO-"&amp;TEXT(ROW()-4,"0000"))</f>
        <v/>
      </c>
      <c r="B265" s="47" t="n"/>
      <c r="C265" s="50" t="n"/>
      <c r="D265" s="40" t="n"/>
      <c r="E265" s="40" t="n"/>
      <c r="F265" s="49">
        <f>IF(E265="","",IFERROR(INDEX('اعتماد المواد'!$P$5:$P$304,MATCH(E265,'اعتماد المواد'!$A$5:$A$304,0)),""))</f>
        <v/>
      </c>
      <c r="G265" s="50" t="n"/>
      <c r="H265" s="40" t="n"/>
      <c r="I265" s="50" t="n"/>
      <c r="J265" s="41" t="n"/>
      <c r="K265" s="41" t="n"/>
      <c r="L265" s="46">
        <f>IF(J265="","",J265*K265)</f>
        <v/>
      </c>
      <c r="M265" s="46">
        <f>IF(L265="","",L265*S_VAT)</f>
        <v/>
      </c>
      <c r="N265" s="46">
        <f>IF(L265="","",L265+M265)</f>
        <v/>
      </c>
      <c r="O265" s="47" t="n"/>
      <c r="P265" s="46">
        <f>IF(A265="","",SUMIFS('استلام المواد'!$K$5:$K$304,'استلام المواد'!$C$5:$C$304,A265))</f>
        <v/>
      </c>
      <c r="Q265" s="46">
        <f>IF(A265="","",J265-P265)</f>
        <v/>
      </c>
      <c r="R265" s="49">
        <f>IF(A265="","",IF(F265="لا","مادة غير معتمدة!",IF(P265&gt;=J265,"مكتمل",IF(AND(O265&lt;&gt;"",TODAY()&gt;O265),"متأخر التوريد",IF(P265&gt;0,"توريد جزئي","لم يُورد بعد")))))</f>
        <v/>
      </c>
    </row>
    <row r="266">
      <c r="A266" s="39">
        <f>IF(C266="","","PO-"&amp;TEXT(ROW()-4,"0000"))</f>
        <v/>
      </c>
      <c r="B266" s="47" t="n"/>
      <c r="C266" s="50" t="n"/>
      <c r="D266" s="40" t="n"/>
      <c r="E266" s="40" t="n"/>
      <c r="F266" s="49">
        <f>IF(E266="","",IFERROR(INDEX('اعتماد المواد'!$P$5:$P$304,MATCH(E266,'اعتماد المواد'!$A$5:$A$304,0)),""))</f>
        <v/>
      </c>
      <c r="G266" s="50" t="n"/>
      <c r="H266" s="40" t="n"/>
      <c r="I266" s="50" t="n"/>
      <c r="J266" s="41" t="n"/>
      <c r="K266" s="41" t="n"/>
      <c r="L266" s="46">
        <f>IF(J266="","",J266*K266)</f>
        <v/>
      </c>
      <c r="M266" s="46">
        <f>IF(L266="","",L266*S_VAT)</f>
        <v/>
      </c>
      <c r="N266" s="46">
        <f>IF(L266="","",L266+M266)</f>
        <v/>
      </c>
      <c r="O266" s="47" t="n"/>
      <c r="P266" s="46">
        <f>IF(A266="","",SUMIFS('استلام المواد'!$K$5:$K$304,'استلام المواد'!$C$5:$C$304,A266))</f>
        <v/>
      </c>
      <c r="Q266" s="46">
        <f>IF(A266="","",J266-P266)</f>
        <v/>
      </c>
      <c r="R266" s="49">
        <f>IF(A266="","",IF(F266="لا","مادة غير معتمدة!",IF(P266&gt;=J266,"مكتمل",IF(AND(O266&lt;&gt;"",TODAY()&gt;O266),"متأخر التوريد",IF(P266&gt;0,"توريد جزئي","لم يُورد بعد")))))</f>
        <v/>
      </c>
    </row>
    <row r="267">
      <c r="A267" s="39">
        <f>IF(C267="","","PO-"&amp;TEXT(ROW()-4,"0000"))</f>
        <v/>
      </c>
      <c r="B267" s="47" t="n"/>
      <c r="C267" s="50" t="n"/>
      <c r="D267" s="40" t="n"/>
      <c r="E267" s="40" t="n"/>
      <c r="F267" s="49">
        <f>IF(E267="","",IFERROR(INDEX('اعتماد المواد'!$P$5:$P$304,MATCH(E267,'اعتماد المواد'!$A$5:$A$304,0)),""))</f>
        <v/>
      </c>
      <c r="G267" s="50" t="n"/>
      <c r="H267" s="40" t="n"/>
      <c r="I267" s="50" t="n"/>
      <c r="J267" s="41" t="n"/>
      <c r="K267" s="41" t="n"/>
      <c r="L267" s="46">
        <f>IF(J267="","",J267*K267)</f>
        <v/>
      </c>
      <c r="M267" s="46">
        <f>IF(L267="","",L267*S_VAT)</f>
        <v/>
      </c>
      <c r="N267" s="46">
        <f>IF(L267="","",L267+M267)</f>
        <v/>
      </c>
      <c r="O267" s="47" t="n"/>
      <c r="P267" s="46">
        <f>IF(A267="","",SUMIFS('استلام المواد'!$K$5:$K$304,'استلام المواد'!$C$5:$C$304,A267))</f>
        <v/>
      </c>
      <c r="Q267" s="46">
        <f>IF(A267="","",J267-P267)</f>
        <v/>
      </c>
      <c r="R267" s="49">
        <f>IF(A267="","",IF(F267="لا","مادة غير معتمدة!",IF(P267&gt;=J267,"مكتمل",IF(AND(O267&lt;&gt;"",TODAY()&gt;O267),"متأخر التوريد",IF(P267&gt;0,"توريد جزئي","لم يُورد بعد")))))</f>
        <v/>
      </c>
    </row>
    <row r="268">
      <c r="A268" s="39">
        <f>IF(C268="","","PO-"&amp;TEXT(ROW()-4,"0000"))</f>
        <v/>
      </c>
      <c r="B268" s="47" t="n"/>
      <c r="C268" s="50" t="n"/>
      <c r="D268" s="40" t="n"/>
      <c r="E268" s="40" t="n"/>
      <c r="F268" s="49">
        <f>IF(E268="","",IFERROR(INDEX('اعتماد المواد'!$P$5:$P$304,MATCH(E268,'اعتماد المواد'!$A$5:$A$304,0)),""))</f>
        <v/>
      </c>
      <c r="G268" s="50" t="n"/>
      <c r="H268" s="40" t="n"/>
      <c r="I268" s="50" t="n"/>
      <c r="J268" s="41" t="n"/>
      <c r="K268" s="41" t="n"/>
      <c r="L268" s="46">
        <f>IF(J268="","",J268*K268)</f>
        <v/>
      </c>
      <c r="M268" s="46">
        <f>IF(L268="","",L268*S_VAT)</f>
        <v/>
      </c>
      <c r="N268" s="46">
        <f>IF(L268="","",L268+M268)</f>
        <v/>
      </c>
      <c r="O268" s="47" t="n"/>
      <c r="P268" s="46">
        <f>IF(A268="","",SUMIFS('استلام المواد'!$K$5:$K$304,'استلام المواد'!$C$5:$C$304,A268))</f>
        <v/>
      </c>
      <c r="Q268" s="46">
        <f>IF(A268="","",J268-P268)</f>
        <v/>
      </c>
      <c r="R268" s="49">
        <f>IF(A268="","",IF(F268="لا","مادة غير معتمدة!",IF(P268&gt;=J268,"مكتمل",IF(AND(O268&lt;&gt;"",TODAY()&gt;O268),"متأخر التوريد",IF(P268&gt;0,"توريد جزئي","لم يُورد بعد")))))</f>
        <v/>
      </c>
    </row>
    <row r="269">
      <c r="A269" s="39">
        <f>IF(C269="","","PO-"&amp;TEXT(ROW()-4,"0000"))</f>
        <v/>
      </c>
      <c r="B269" s="47" t="n"/>
      <c r="C269" s="50" t="n"/>
      <c r="D269" s="40" t="n"/>
      <c r="E269" s="40" t="n"/>
      <c r="F269" s="49">
        <f>IF(E269="","",IFERROR(INDEX('اعتماد المواد'!$P$5:$P$304,MATCH(E269,'اعتماد المواد'!$A$5:$A$304,0)),""))</f>
        <v/>
      </c>
      <c r="G269" s="50" t="n"/>
      <c r="H269" s="40" t="n"/>
      <c r="I269" s="50" t="n"/>
      <c r="J269" s="41" t="n"/>
      <c r="K269" s="41" t="n"/>
      <c r="L269" s="46">
        <f>IF(J269="","",J269*K269)</f>
        <v/>
      </c>
      <c r="M269" s="46">
        <f>IF(L269="","",L269*S_VAT)</f>
        <v/>
      </c>
      <c r="N269" s="46">
        <f>IF(L269="","",L269+M269)</f>
        <v/>
      </c>
      <c r="O269" s="47" t="n"/>
      <c r="P269" s="46">
        <f>IF(A269="","",SUMIFS('استلام المواد'!$K$5:$K$304,'استلام المواد'!$C$5:$C$304,A269))</f>
        <v/>
      </c>
      <c r="Q269" s="46">
        <f>IF(A269="","",J269-P269)</f>
        <v/>
      </c>
      <c r="R269" s="49">
        <f>IF(A269="","",IF(F269="لا","مادة غير معتمدة!",IF(P269&gt;=J269,"مكتمل",IF(AND(O269&lt;&gt;"",TODAY()&gt;O269),"متأخر التوريد",IF(P269&gt;0,"توريد جزئي","لم يُورد بعد")))))</f>
        <v/>
      </c>
    </row>
    <row r="270">
      <c r="A270" s="39">
        <f>IF(C270="","","PO-"&amp;TEXT(ROW()-4,"0000"))</f>
        <v/>
      </c>
      <c r="B270" s="47" t="n"/>
      <c r="C270" s="50" t="n"/>
      <c r="D270" s="40" t="n"/>
      <c r="E270" s="40" t="n"/>
      <c r="F270" s="49">
        <f>IF(E270="","",IFERROR(INDEX('اعتماد المواد'!$P$5:$P$304,MATCH(E270,'اعتماد المواد'!$A$5:$A$304,0)),""))</f>
        <v/>
      </c>
      <c r="G270" s="50" t="n"/>
      <c r="H270" s="40" t="n"/>
      <c r="I270" s="50" t="n"/>
      <c r="J270" s="41" t="n"/>
      <c r="K270" s="41" t="n"/>
      <c r="L270" s="46">
        <f>IF(J270="","",J270*K270)</f>
        <v/>
      </c>
      <c r="M270" s="46">
        <f>IF(L270="","",L270*S_VAT)</f>
        <v/>
      </c>
      <c r="N270" s="46">
        <f>IF(L270="","",L270+M270)</f>
        <v/>
      </c>
      <c r="O270" s="47" t="n"/>
      <c r="P270" s="46">
        <f>IF(A270="","",SUMIFS('استلام المواد'!$K$5:$K$304,'استلام المواد'!$C$5:$C$304,A270))</f>
        <v/>
      </c>
      <c r="Q270" s="46">
        <f>IF(A270="","",J270-P270)</f>
        <v/>
      </c>
      <c r="R270" s="49">
        <f>IF(A270="","",IF(F270="لا","مادة غير معتمدة!",IF(P270&gt;=J270,"مكتمل",IF(AND(O270&lt;&gt;"",TODAY()&gt;O270),"متأخر التوريد",IF(P270&gt;0,"توريد جزئي","لم يُورد بعد")))))</f>
        <v/>
      </c>
    </row>
    <row r="271">
      <c r="A271" s="39">
        <f>IF(C271="","","PO-"&amp;TEXT(ROW()-4,"0000"))</f>
        <v/>
      </c>
      <c r="B271" s="47" t="n"/>
      <c r="C271" s="50" t="n"/>
      <c r="D271" s="40" t="n"/>
      <c r="E271" s="40" t="n"/>
      <c r="F271" s="49">
        <f>IF(E271="","",IFERROR(INDEX('اعتماد المواد'!$P$5:$P$304,MATCH(E271,'اعتماد المواد'!$A$5:$A$304,0)),""))</f>
        <v/>
      </c>
      <c r="G271" s="50" t="n"/>
      <c r="H271" s="40" t="n"/>
      <c r="I271" s="50" t="n"/>
      <c r="J271" s="41" t="n"/>
      <c r="K271" s="41" t="n"/>
      <c r="L271" s="46">
        <f>IF(J271="","",J271*K271)</f>
        <v/>
      </c>
      <c r="M271" s="46">
        <f>IF(L271="","",L271*S_VAT)</f>
        <v/>
      </c>
      <c r="N271" s="46">
        <f>IF(L271="","",L271+M271)</f>
        <v/>
      </c>
      <c r="O271" s="47" t="n"/>
      <c r="P271" s="46">
        <f>IF(A271="","",SUMIFS('استلام المواد'!$K$5:$K$304,'استلام المواد'!$C$5:$C$304,A271))</f>
        <v/>
      </c>
      <c r="Q271" s="46">
        <f>IF(A271="","",J271-P271)</f>
        <v/>
      </c>
      <c r="R271" s="49">
        <f>IF(A271="","",IF(F271="لا","مادة غير معتمدة!",IF(P271&gt;=J271,"مكتمل",IF(AND(O271&lt;&gt;"",TODAY()&gt;O271),"متأخر التوريد",IF(P271&gt;0,"توريد جزئي","لم يُورد بعد")))))</f>
        <v/>
      </c>
    </row>
    <row r="272">
      <c r="A272" s="39">
        <f>IF(C272="","","PO-"&amp;TEXT(ROW()-4,"0000"))</f>
        <v/>
      </c>
      <c r="B272" s="47" t="n"/>
      <c r="C272" s="50" t="n"/>
      <c r="D272" s="40" t="n"/>
      <c r="E272" s="40" t="n"/>
      <c r="F272" s="49">
        <f>IF(E272="","",IFERROR(INDEX('اعتماد المواد'!$P$5:$P$304,MATCH(E272,'اعتماد المواد'!$A$5:$A$304,0)),""))</f>
        <v/>
      </c>
      <c r="G272" s="50" t="n"/>
      <c r="H272" s="40" t="n"/>
      <c r="I272" s="50" t="n"/>
      <c r="J272" s="41" t="n"/>
      <c r="K272" s="41" t="n"/>
      <c r="L272" s="46">
        <f>IF(J272="","",J272*K272)</f>
        <v/>
      </c>
      <c r="M272" s="46">
        <f>IF(L272="","",L272*S_VAT)</f>
        <v/>
      </c>
      <c r="N272" s="46">
        <f>IF(L272="","",L272+M272)</f>
        <v/>
      </c>
      <c r="O272" s="47" t="n"/>
      <c r="P272" s="46">
        <f>IF(A272="","",SUMIFS('استلام المواد'!$K$5:$K$304,'استلام المواد'!$C$5:$C$304,A272))</f>
        <v/>
      </c>
      <c r="Q272" s="46">
        <f>IF(A272="","",J272-P272)</f>
        <v/>
      </c>
      <c r="R272" s="49">
        <f>IF(A272="","",IF(F272="لا","مادة غير معتمدة!",IF(P272&gt;=J272,"مكتمل",IF(AND(O272&lt;&gt;"",TODAY()&gt;O272),"متأخر التوريد",IF(P272&gt;0,"توريد جزئي","لم يُورد بعد")))))</f>
        <v/>
      </c>
    </row>
    <row r="273">
      <c r="A273" s="39">
        <f>IF(C273="","","PO-"&amp;TEXT(ROW()-4,"0000"))</f>
        <v/>
      </c>
      <c r="B273" s="47" t="n"/>
      <c r="C273" s="50" t="n"/>
      <c r="D273" s="40" t="n"/>
      <c r="E273" s="40" t="n"/>
      <c r="F273" s="49">
        <f>IF(E273="","",IFERROR(INDEX('اعتماد المواد'!$P$5:$P$304,MATCH(E273,'اعتماد المواد'!$A$5:$A$304,0)),""))</f>
        <v/>
      </c>
      <c r="G273" s="50" t="n"/>
      <c r="H273" s="40" t="n"/>
      <c r="I273" s="50" t="n"/>
      <c r="J273" s="41" t="n"/>
      <c r="K273" s="41" t="n"/>
      <c r="L273" s="46">
        <f>IF(J273="","",J273*K273)</f>
        <v/>
      </c>
      <c r="M273" s="46">
        <f>IF(L273="","",L273*S_VAT)</f>
        <v/>
      </c>
      <c r="N273" s="46">
        <f>IF(L273="","",L273+M273)</f>
        <v/>
      </c>
      <c r="O273" s="47" t="n"/>
      <c r="P273" s="46">
        <f>IF(A273="","",SUMIFS('استلام المواد'!$K$5:$K$304,'استلام المواد'!$C$5:$C$304,A273))</f>
        <v/>
      </c>
      <c r="Q273" s="46">
        <f>IF(A273="","",J273-P273)</f>
        <v/>
      </c>
      <c r="R273" s="49">
        <f>IF(A273="","",IF(F273="لا","مادة غير معتمدة!",IF(P273&gt;=J273,"مكتمل",IF(AND(O273&lt;&gt;"",TODAY()&gt;O273),"متأخر التوريد",IF(P273&gt;0,"توريد جزئي","لم يُورد بعد")))))</f>
        <v/>
      </c>
    </row>
    <row r="274">
      <c r="A274" s="39">
        <f>IF(C274="","","PO-"&amp;TEXT(ROW()-4,"0000"))</f>
        <v/>
      </c>
      <c r="B274" s="47" t="n"/>
      <c r="C274" s="50" t="n"/>
      <c r="D274" s="40" t="n"/>
      <c r="E274" s="40" t="n"/>
      <c r="F274" s="49">
        <f>IF(E274="","",IFERROR(INDEX('اعتماد المواد'!$P$5:$P$304,MATCH(E274,'اعتماد المواد'!$A$5:$A$304,0)),""))</f>
        <v/>
      </c>
      <c r="G274" s="50" t="n"/>
      <c r="H274" s="40" t="n"/>
      <c r="I274" s="50" t="n"/>
      <c r="J274" s="41" t="n"/>
      <c r="K274" s="41" t="n"/>
      <c r="L274" s="46">
        <f>IF(J274="","",J274*K274)</f>
        <v/>
      </c>
      <c r="M274" s="46">
        <f>IF(L274="","",L274*S_VAT)</f>
        <v/>
      </c>
      <c r="N274" s="46">
        <f>IF(L274="","",L274+M274)</f>
        <v/>
      </c>
      <c r="O274" s="47" t="n"/>
      <c r="P274" s="46">
        <f>IF(A274="","",SUMIFS('استلام المواد'!$K$5:$K$304,'استلام المواد'!$C$5:$C$304,A274))</f>
        <v/>
      </c>
      <c r="Q274" s="46">
        <f>IF(A274="","",J274-P274)</f>
        <v/>
      </c>
      <c r="R274" s="49">
        <f>IF(A274="","",IF(F274="لا","مادة غير معتمدة!",IF(P274&gt;=J274,"مكتمل",IF(AND(O274&lt;&gt;"",TODAY()&gt;O274),"متأخر التوريد",IF(P274&gt;0,"توريد جزئي","لم يُورد بعد")))))</f>
        <v/>
      </c>
    </row>
    <row r="275">
      <c r="A275" s="39">
        <f>IF(C275="","","PO-"&amp;TEXT(ROW()-4,"0000"))</f>
        <v/>
      </c>
      <c r="B275" s="47" t="n"/>
      <c r="C275" s="50" t="n"/>
      <c r="D275" s="40" t="n"/>
      <c r="E275" s="40" t="n"/>
      <c r="F275" s="49">
        <f>IF(E275="","",IFERROR(INDEX('اعتماد المواد'!$P$5:$P$304,MATCH(E275,'اعتماد المواد'!$A$5:$A$304,0)),""))</f>
        <v/>
      </c>
      <c r="G275" s="50" t="n"/>
      <c r="H275" s="40" t="n"/>
      <c r="I275" s="50" t="n"/>
      <c r="J275" s="41" t="n"/>
      <c r="K275" s="41" t="n"/>
      <c r="L275" s="46">
        <f>IF(J275="","",J275*K275)</f>
        <v/>
      </c>
      <c r="M275" s="46">
        <f>IF(L275="","",L275*S_VAT)</f>
        <v/>
      </c>
      <c r="N275" s="46">
        <f>IF(L275="","",L275+M275)</f>
        <v/>
      </c>
      <c r="O275" s="47" t="n"/>
      <c r="P275" s="46">
        <f>IF(A275="","",SUMIFS('استلام المواد'!$K$5:$K$304,'استلام المواد'!$C$5:$C$304,A275))</f>
        <v/>
      </c>
      <c r="Q275" s="46">
        <f>IF(A275="","",J275-P275)</f>
        <v/>
      </c>
      <c r="R275" s="49">
        <f>IF(A275="","",IF(F275="لا","مادة غير معتمدة!",IF(P275&gt;=J275,"مكتمل",IF(AND(O275&lt;&gt;"",TODAY()&gt;O275),"متأخر التوريد",IF(P275&gt;0,"توريد جزئي","لم يُورد بعد")))))</f>
        <v/>
      </c>
    </row>
    <row r="276">
      <c r="A276" s="39">
        <f>IF(C276="","","PO-"&amp;TEXT(ROW()-4,"0000"))</f>
        <v/>
      </c>
      <c r="B276" s="47" t="n"/>
      <c r="C276" s="50" t="n"/>
      <c r="D276" s="40" t="n"/>
      <c r="E276" s="40" t="n"/>
      <c r="F276" s="49">
        <f>IF(E276="","",IFERROR(INDEX('اعتماد المواد'!$P$5:$P$304,MATCH(E276,'اعتماد المواد'!$A$5:$A$304,0)),""))</f>
        <v/>
      </c>
      <c r="G276" s="50" t="n"/>
      <c r="H276" s="40" t="n"/>
      <c r="I276" s="50" t="n"/>
      <c r="J276" s="41" t="n"/>
      <c r="K276" s="41" t="n"/>
      <c r="L276" s="46">
        <f>IF(J276="","",J276*K276)</f>
        <v/>
      </c>
      <c r="M276" s="46">
        <f>IF(L276="","",L276*S_VAT)</f>
        <v/>
      </c>
      <c r="N276" s="46">
        <f>IF(L276="","",L276+M276)</f>
        <v/>
      </c>
      <c r="O276" s="47" t="n"/>
      <c r="P276" s="46">
        <f>IF(A276="","",SUMIFS('استلام المواد'!$K$5:$K$304,'استلام المواد'!$C$5:$C$304,A276))</f>
        <v/>
      </c>
      <c r="Q276" s="46">
        <f>IF(A276="","",J276-P276)</f>
        <v/>
      </c>
      <c r="R276" s="49">
        <f>IF(A276="","",IF(F276="لا","مادة غير معتمدة!",IF(P276&gt;=J276,"مكتمل",IF(AND(O276&lt;&gt;"",TODAY()&gt;O276),"متأخر التوريد",IF(P276&gt;0,"توريد جزئي","لم يُورد بعد")))))</f>
        <v/>
      </c>
    </row>
    <row r="277">
      <c r="A277" s="39">
        <f>IF(C277="","","PO-"&amp;TEXT(ROW()-4,"0000"))</f>
        <v/>
      </c>
      <c r="B277" s="47" t="n"/>
      <c r="C277" s="50" t="n"/>
      <c r="D277" s="40" t="n"/>
      <c r="E277" s="40" t="n"/>
      <c r="F277" s="49">
        <f>IF(E277="","",IFERROR(INDEX('اعتماد المواد'!$P$5:$P$304,MATCH(E277,'اعتماد المواد'!$A$5:$A$304,0)),""))</f>
        <v/>
      </c>
      <c r="G277" s="50" t="n"/>
      <c r="H277" s="40" t="n"/>
      <c r="I277" s="50" t="n"/>
      <c r="J277" s="41" t="n"/>
      <c r="K277" s="41" t="n"/>
      <c r="L277" s="46">
        <f>IF(J277="","",J277*K277)</f>
        <v/>
      </c>
      <c r="M277" s="46">
        <f>IF(L277="","",L277*S_VAT)</f>
        <v/>
      </c>
      <c r="N277" s="46">
        <f>IF(L277="","",L277+M277)</f>
        <v/>
      </c>
      <c r="O277" s="47" t="n"/>
      <c r="P277" s="46">
        <f>IF(A277="","",SUMIFS('استلام المواد'!$K$5:$K$304,'استلام المواد'!$C$5:$C$304,A277))</f>
        <v/>
      </c>
      <c r="Q277" s="46">
        <f>IF(A277="","",J277-P277)</f>
        <v/>
      </c>
      <c r="R277" s="49">
        <f>IF(A277="","",IF(F277="لا","مادة غير معتمدة!",IF(P277&gt;=J277,"مكتمل",IF(AND(O277&lt;&gt;"",TODAY()&gt;O277),"متأخر التوريد",IF(P277&gt;0,"توريد جزئي","لم يُورد بعد")))))</f>
        <v/>
      </c>
    </row>
    <row r="278">
      <c r="A278" s="39">
        <f>IF(C278="","","PO-"&amp;TEXT(ROW()-4,"0000"))</f>
        <v/>
      </c>
      <c r="B278" s="47" t="n"/>
      <c r="C278" s="50" t="n"/>
      <c r="D278" s="40" t="n"/>
      <c r="E278" s="40" t="n"/>
      <c r="F278" s="49">
        <f>IF(E278="","",IFERROR(INDEX('اعتماد المواد'!$P$5:$P$304,MATCH(E278,'اعتماد المواد'!$A$5:$A$304,0)),""))</f>
        <v/>
      </c>
      <c r="G278" s="50" t="n"/>
      <c r="H278" s="40" t="n"/>
      <c r="I278" s="50" t="n"/>
      <c r="J278" s="41" t="n"/>
      <c r="K278" s="41" t="n"/>
      <c r="L278" s="46">
        <f>IF(J278="","",J278*K278)</f>
        <v/>
      </c>
      <c r="M278" s="46">
        <f>IF(L278="","",L278*S_VAT)</f>
        <v/>
      </c>
      <c r="N278" s="46">
        <f>IF(L278="","",L278+M278)</f>
        <v/>
      </c>
      <c r="O278" s="47" t="n"/>
      <c r="P278" s="46">
        <f>IF(A278="","",SUMIFS('استلام المواد'!$K$5:$K$304,'استلام المواد'!$C$5:$C$304,A278))</f>
        <v/>
      </c>
      <c r="Q278" s="46">
        <f>IF(A278="","",J278-P278)</f>
        <v/>
      </c>
      <c r="R278" s="49">
        <f>IF(A278="","",IF(F278="لا","مادة غير معتمدة!",IF(P278&gt;=J278,"مكتمل",IF(AND(O278&lt;&gt;"",TODAY()&gt;O278),"متأخر التوريد",IF(P278&gt;0,"توريد جزئي","لم يُورد بعد")))))</f>
        <v/>
      </c>
    </row>
    <row r="279">
      <c r="A279" s="39">
        <f>IF(C279="","","PO-"&amp;TEXT(ROW()-4,"0000"))</f>
        <v/>
      </c>
      <c r="B279" s="47" t="n"/>
      <c r="C279" s="50" t="n"/>
      <c r="D279" s="40" t="n"/>
      <c r="E279" s="40" t="n"/>
      <c r="F279" s="49">
        <f>IF(E279="","",IFERROR(INDEX('اعتماد المواد'!$P$5:$P$304,MATCH(E279,'اعتماد المواد'!$A$5:$A$304,0)),""))</f>
        <v/>
      </c>
      <c r="G279" s="50" t="n"/>
      <c r="H279" s="40" t="n"/>
      <c r="I279" s="50" t="n"/>
      <c r="J279" s="41" t="n"/>
      <c r="K279" s="41" t="n"/>
      <c r="L279" s="46">
        <f>IF(J279="","",J279*K279)</f>
        <v/>
      </c>
      <c r="M279" s="46">
        <f>IF(L279="","",L279*S_VAT)</f>
        <v/>
      </c>
      <c r="N279" s="46">
        <f>IF(L279="","",L279+M279)</f>
        <v/>
      </c>
      <c r="O279" s="47" t="n"/>
      <c r="P279" s="46">
        <f>IF(A279="","",SUMIFS('استلام المواد'!$K$5:$K$304,'استلام المواد'!$C$5:$C$304,A279))</f>
        <v/>
      </c>
      <c r="Q279" s="46">
        <f>IF(A279="","",J279-P279)</f>
        <v/>
      </c>
      <c r="R279" s="49">
        <f>IF(A279="","",IF(F279="لا","مادة غير معتمدة!",IF(P279&gt;=J279,"مكتمل",IF(AND(O279&lt;&gt;"",TODAY()&gt;O279),"متأخر التوريد",IF(P279&gt;0,"توريد جزئي","لم يُورد بعد")))))</f>
        <v/>
      </c>
    </row>
    <row r="280">
      <c r="A280" s="39">
        <f>IF(C280="","","PO-"&amp;TEXT(ROW()-4,"0000"))</f>
        <v/>
      </c>
      <c r="B280" s="47" t="n"/>
      <c r="C280" s="50" t="n"/>
      <c r="D280" s="40" t="n"/>
      <c r="E280" s="40" t="n"/>
      <c r="F280" s="49">
        <f>IF(E280="","",IFERROR(INDEX('اعتماد المواد'!$P$5:$P$304,MATCH(E280,'اعتماد المواد'!$A$5:$A$304,0)),""))</f>
        <v/>
      </c>
      <c r="G280" s="50" t="n"/>
      <c r="H280" s="40" t="n"/>
      <c r="I280" s="50" t="n"/>
      <c r="J280" s="41" t="n"/>
      <c r="K280" s="41" t="n"/>
      <c r="L280" s="46">
        <f>IF(J280="","",J280*K280)</f>
        <v/>
      </c>
      <c r="M280" s="46">
        <f>IF(L280="","",L280*S_VAT)</f>
        <v/>
      </c>
      <c r="N280" s="46">
        <f>IF(L280="","",L280+M280)</f>
        <v/>
      </c>
      <c r="O280" s="47" t="n"/>
      <c r="P280" s="46">
        <f>IF(A280="","",SUMIFS('استلام المواد'!$K$5:$K$304,'استلام المواد'!$C$5:$C$304,A280))</f>
        <v/>
      </c>
      <c r="Q280" s="46">
        <f>IF(A280="","",J280-P280)</f>
        <v/>
      </c>
      <c r="R280" s="49">
        <f>IF(A280="","",IF(F280="لا","مادة غير معتمدة!",IF(P280&gt;=J280,"مكتمل",IF(AND(O280&lt;&gt;"",TODAY()&gt;O280),"متأخر التوريد",IF(P280&gt;0,"توريد جزئي","لم يُورد بعد")))))</f>
        <v/>
      </c>
    </row>
    <row r="281">
      <c r="A281" s="39">
        <f>IF(C281="","","PO-"&amp;TEXT(ROW()-4,"0000"))</f>
        <v/>
      </c>
      <c r="B281" s="47" t="n"/>
      <c r="C281" s="50" t="n"/>
      <c r="D281" s="40" t="n"/>
      <c r="E281" s="40" t="n"/>
      <c r="F281" s="49">
        <f>IF(E281="","",IFERROR(INDEX('اعتماد المواد'!$P$5:$P$304,MATCH(E281,'اعتماد المواد'!$A$5:$A$304,0)),""))</f>
        <v/>
      </c>
      <c r="G281" s="50" t="n"/>
      <c r="H281" s="40" t="n"/>
      <c r="I281" s="50" t="n"/>
      <c r="J281" s="41" t="n"/>
      <c r="K281" s="41" t="n"/>
      <c r="L281" s="46">
        <f>IF(J281="","",J281*K281)</f>
        <v/>
      </c>
      <c r="M281" s="46">
        <f>IF(L281="","",L281*S_VAT)</f>
        <v/>
      </c>
      <c r="N281" s="46">
        <f>IF(L281="","",L281+M281)</f>
        <v/>
      </c>
      <c r="O281" s="47" t="n"/>
      <c r="P281" s="46">
        <f>IF(A281="","",SUMIFS('استلام المواد'!$K$5:$K$304,'استلام المواد'!$C$5:$C$304,A281))</f>
        <v/>
      </c>
      <c r="Q281" s="46">
        <f>IF(A281="","",J281-P281)</f>
        <v/>
      </c>
      <c r="R281" s="49">
        <f>IF(A281="","",IF(F281="لا","مادة غير معتمدة!",IF(P281&gt;=J281,"مكتمل",IF(AND(O281&lt;&gt;"",TODAY()&gt;O281),"متأخر التوريد",IF(P281&gt;0,"توريد جزئي","لم يُورد بعد")))))</f>
        <v/>
      </c>
    </row>
    <row r="282">
      <c r="A282" s="39">
        <f>IF(C282="","","PO-"&amp;TEXT(ROW()-4,"0000"))</f>
        <v/>
      </c>
      <c r="B282" s="47" t="n"/>
      <c r="C282" s="50" t="n"/>
      <c r="D282" s="40" t="n"/>
      <c r="E282" s="40" t="n"/>
      <c r="F282" s="49">
        <f>IF(E282="","",IFERROR(INDEX('اعتماد المواد'!$P$5:$P$304,MATCH(E282,'اعتماد المواد'!$A$5:$A$304,0)),""))</f>
        <v/>
      </c>
      <c r="G282" s="50" t="n"/>
      <c r="H282" s="40" t="n"/>
      <c r="I282" s="50" t="n"/>
      <c r="J282" s="41" t="n"/>
      <c r="K282" s="41" t="n"/>
      <c r="L282" s="46">
        <f>IF(J282="","",J282*K282)</f>
        <v/>
      </c>
      <c r="M282" s="46">
        <f>IF(L282="","",L282*S_VAT)</f>
        <v/>
      </c>
      <c r="N282" s="46">
        <f>IF(L282="","",L282+M282)</f>
        <v/>
      </c>
      <c r="O282" s="47" t="n"/>
      <c r="P282" s="46">
        <f>IF(A282="","",SUMIFS('استلام المواد'!$K$5:$K$304,'استلام المواد'!$C$5:$C$304,A282))</f>
        <v/>
      </c>
      <c r="Q282" s="46">
        <f>IF(A282="","",J282-P282)</f>
        <v/>
      </c>
      <c r="R282" s="49">
        <f>IF(A282="","",IF(F282="لا","مادة غير معتمدة!",IF(P282&gt;=J282,"مكتمل",IF(AND(O282&lt;&gt;"",TODAY()&gt;O282),"متأخر التوريد",IF(P282&gt;0,"توريد جزئي","لم يُورد بعد")))))</f>
        <v/>
      </c>
    </row>
    <row r="283">
      <c r="A283" s="39">
        <f>IF(C283="","","PO-"&amp;TEXT(ROW()-4,"0000"))</f>
        <v/>
      </c>
      <c r="B283" s="47" t="n"/>
      <c r="C283" s="50" t="n"/>
      <c r="D283" s="40" t="n"/>
      <c r="E283" s="40" t="n"/>
      <c r="F283" s="49">
        <f>IF(E283="","",IFERROR(INDEX('اعتماد المواد'!$P$5:$P$304,MATCH(E283,'اعتماد المواد'!$A$5:$A$304,0)),""))</f>
        <v/>
      </c>
      <c r="G283" s="50" t="n"/>
      <c r="H283" s="40" t="n"/>
      <c r="I283" s="50" t="n"/>
      <c r="J283" s="41" t="n"/>
      <c r="K283" s="41" t="n"/>
      <c r="L283" s="46">
        <f>IF(J283="","",J283*K283)</f>
        <v/>
      </c>
      <c r="M283" s="46">
        <f>IF(L283="","",L283*S_VAT)</f>
        <v/>
      </c>
      <c r="N283" s="46">
        <f>IF(L283="","",L283+M283)</f>
        <v/>
      </c>
      <c r="O283" s="47" t="n"/>
      <c r="P283" s="46">
        <f>IF(A283="","",SUMIFS('استلام المواد'!$K$5:$K$304,'استلام المواد'!$C$5:$C$304,A283))</f>
        <v/>
      </c>
      <c r="Q283" s="46">
        <f>IF(A283="","",J283-P283)</f>
        <v/>
      </c>
      <c r="R283" s="49">
        <f>IF(A283="","",IF(F283="لا","مادة غير معتمدة!",IF(P283&gt;=J283,"مكتمل",IF(AND(O283&lt;&gt;"",TODAY()&gt;O283),"متأخر التوريد",IF(P283&gt;0,"توريد جزئي","لم يُورد بعد")))))</f>
        <v/>
      </c>
    </row>
    <row r="284">
      <c r="A284" s="39">
        <f>IF(C284="","","PO-"&amp;TEXT(ROW()-4,"0000"))</f>
        <v/>
      </c>
      <c r="B284" s="47" t="n"/>
      <c r="C284" s="50" t="n"/>
      <c r="D284" s="40" t="n"/>
      <c r="E284" s="40" t="n"/>
      <c r="F284" s="49">
        <f>IF(E284="","",IFERROR(INDEX('اعتماد المواد'!$P$5:$P$304,MATCH(E284,'اعتماد المواد'!$A$5:$A$304,0)),""))</f>
        <v/>
      </c>
      <c r="G284" s="50" t="n"/>
      <c r="H284" s="40" t="n"/>
      <c r="I284" s="50" t="n"/>
      <c r="J284" s="41" t="n"/>
      <c r="K284" s="41" t="n"/>
      <c r="L284" s="46">
        <f>IF(J284="","",J284*K284)</f>
        <v/>
      </c>
      <c r="M284" s="46">
        <f>IF(L284="","",L284*S_VAT)</f>
        <v/>
      </c>
      <c r="N284" s="46">
        <f>IF(L284="","",L284+M284)</f>
        <v/>
      </c>
      <c r="O284" s="47" t="n"/>
      <c r="P284" s="46">
        <f>IF(A284="","",SUMIFS('استلام المواد'!$K$5:$K$304,'استلام المواد'!$C$5:$C$304,A284))</f>
        <v/>
      </c>
      <c r="Q284" s="46">
        <f>IF(A284="","",J284-P284)</f>
        <v/>
      </c>
      <c r="R284" s="49">
        <f>IF(A284="","",IF(F284="لا","مادة غير معتمدة!",IF(P284&gt;=J284,"مكتمل",IF(AND(O284&lt;&gt;"",TODAY()&gt;O284),"متأخر التوريد",IF(P284&gt;0,"توريد جزئي","لم يُورد بعد")))))</f>
        <v/>
      </c>
    </row>
    <row r="285">
      <c r="A285" s="39">
        <f>IF(C285="","","PO-"&amp;TEXT(ROW()-4,"0000"))</f>
        <v/>
      </c>
      <c r="B285" s="47" t="n"/>
      <c r="C285" s="50" t="n"/>
      <c r="D285" s="40" t="n"/>
      <c r="E285" s="40" t="n"/>
      <c r="F285" s="49">
        <f>IF(E285="","",IFERROR(INDEX('اعتماد المواد'!$P$5:$P$304,MATCH(E285,'اعتماد المواد'!$A$5:$A$304,0)),""))</f>
        <v/>
      </c>
      <c r="G285" s="50" t="n"/>
      <c r="H285" s="40" t="n"/>
      <c r="I285" s="50" t="n"/>
      <c r="J285" s="41" t="n"/>
      <c r="K285" s="41" t="n"/>
      <c r="L285" s="46">
        <f>IF(J285="","",J285*K285)</f>
        <v/>
      </c>
      <c r="M285" s="46">
        <f>IF(L285="","",L285*S_VAT)</f>
        <v/>
      </c>
      <c r="N285" s="46">
        <f>IF(L285="","",L285+M285)</f>
        <v/>
      </c>
      <c r="O285" s="47" t="n"/>
      <c r="P285" s="46">
        <f>IF(A285="","",SUMIFS('استلام المواد'!$K$5:$K$304,'استلام المواد'!$C$5:$C$304,A285))</f>
        <v/>
      </c>
      <c r="Q285" s="46">
        <f>IF(A285="","",J285-P285)</f>
        <v/>
      </c>
      <c r="R285" s="49">
        <f>IF(A285="","",IF(F285="لا","مادة غير معتمدة!",IF(P285&gt;=J285,"مكتمل",IF(AND(O285&lt;&gt;"",TODAY()&gt;O285),"متأخر التوريد",IF(P285&gt;0,"توريد جزئي","لم يُورد بعد")))))</f>
        <v/>
      </c>
    </row>
    <row r="286">
      <c r="A286" s="39">
        <f>IF(C286="","","PO-"&amp;TEXT(ROW()-4,"0000"))</f>
        <v/>
      </c>
      <c r="B286" s="47" t="n"/>
      <c r="C286" s="50" t="n"/>
      <c r="D286" s="40" t="n"/>
      <c r="E286" s="40" t="n"/>
      <c r="F286" s="49">
        <f>IF(E286="","",IFERROR(INDEX('اعتماد المواد'!$P$5:$P$304,MATCH(E286,'اعتماد المواد'!$A$5:$A$304,0)),""))</f>
        <v/>
      </c>
      <c r="G286" s="50" t="n"/>
      <c r="H286" s="40" t="n"/>
      <c r="I286" s="50" t="n"/>
      <c r="J286" s="41" t="n"/>
      <c r="K286" s="41" t="n"/>
      <c r="L286" s="46">
        <f>IF(J286="","",J286*K286)</f>
        <v/>
      </c>
      <c r="M286" s="46">
        <f>IF(L286="","",L286*S_VAT)</f>
        <v/>
      </c>
      <c r="N286" s="46">
        <f>IF(L286="","",L286+M286)</f>
        <v/>
      </c>
      <c r="O286" s="47" t="n"/>
      <c r="P286" s="46">
        <f>IF(A286="","",SUMIFS('استلام المواد'!$K$5:$K$304,'استلام المواد'!$C$5:$C$304,A286))</f>
        <v/>
      </c>
      <c r="Q286" s="46">
        <f>IF(A286="","",J286-P286)</f>
        <v/>
      </c>
      <c r="R286" s="49">
        <f>IF(A286="","",IF(F286="لا","مادة غير معتمدة!",IF(P286&gt;=J286,"مكتمل",IF(AND(O286&lt;&gt;"",TODAY()&gt;O286),"متأخر التوريد",IF(P286&gt;0,"توريد جزئي","لم يُورد بعد")))))</f>
        <v/>
      </c>
    </row>
    <row r="287">
      <c r="A287" s="39">
        <f>IF(C287="","","PO-"&amp;TEXT(ROW()-4,"0000"))</f>
        <v/>
      </c>
      <c r="B287" s="47" t="n"/>
      <c r="C287" s="50" t="n"/>
      <c r="D287" s="40" t="n"/>
      <c r="E287" s="40" t="n"/>
      <c r="F287" s="49">
        <f>IF(E287="","",IFERROR(INDEX('اعتماد المواد'!$P$5:$P$304,MATCH(E287,'اعتماد المواد'!$A$5:$A$304,0)),""))</f>
        <v/>
      </c>
      <c r="G287" s="50" t="n"/>
      <c r="H287" s="40" t="n"/>
      <c r="I287" s="50" t="n"/>
      <c r="J287" s="41" t="n"/>
      <c r="K287" s="41" t="n"/>
      <c r="L287" s="46">
        <f>IF(J287="","",J287*K287)</f>
        <v/>
      </c>
      <c r="M287" s="46">
        <f>IF(L287="","",L287*S_VAT)</f>
        <v/>
      </c>
      <c r="N287" s="46">
        <f>IF(L287="","",L287+M287)</f>
        <v/>
      </c>
      <c r="O287" s="47" t="n"/>
      <c r="P287" s="46">
        <f>IF(A287="","",SUMIFS('استلام المواد'!$K$5:$K$304,'استلام المواد'!$C$5:$C$304,A287))</f>
        <v/>
      </c>
      <c r="Q287" s="46">
        <f>IF(A287="","",J287-P287)</f>
        <v/>
      </c>
      <c r="R287" s="49">
        <f>IF(A287="","",IF(F287="لا","مادة غير معتمدة!",IF(P287&gt;=J287,"مكتمل",IF(AND(O287&lt;&gt;"",TODAY()&gt;O287),"متأخر التوريد",IF(P287&gt;0,"توريد جزئي","لم يُورد بعد")))))</f>
        <v/>
      </c>
    </row>
    <row r="288">
      <c r="A288" s="39">
        <f>IF(C288="","","PO-"&amp;TEXT(ROW()-4,"0000"))</f>
        <v/>
      </c>
      <c r="B288" s="47" t="n"/>
      <c r="C288" s="50" t="n"/>
      <c r="D288" s="40" t="n"/>
      <c r="E288" s="40" t="n"/>
      <c r="F288" s="49">
        <f>IF(E288="","",IFERROR(INDEX('اعتماد المواد'!$P$5:$P$304,MATCH(E288,'اعتماد المواد'!$A$5:$A$304,0)),""))</f>
        <v/>
      </c>
      <c r="G288" s="50" t="n"/>
      <c r="H288" s="40" t="n"/>
      <c r="I288" s="50" t="n"/>
      <c r="J288" s="41" t="n"/>
      <c r="K288" s="41" t="n"/>
      <c r="L288" s="46">
        <f>IF(J288="","",J288*K288)</f>
        <v/>
      </c>
      <c r="M288" s="46">
        <f>IF(L288="","",L288*S_VAT)</f>
        <v/>
      </c>
      <c r="N288" s="46">
        <f>IF(L288="","",L288+M288)</f>
        <v/>
      </c>
      <c r="O288" s="47" t="n"/>
      <c r="P288" s="46">
        <f>IF(A288="","",SUMIFS('استلام المواد'!$K$5:$K$304,'استلام المواد'!$C$5:$C$304,A288))</f>
        <v/>
      </c>
      <c r="Q288" s="46">
        <f>IF(A288="","",J288-P288)</f>
        <v/>
      </c>
      <c r="R288" s="49">
        <f>IF(A288="","",IF(F288="لا","مادة غير معتمدة!",IF(P288&gt;=J288,"مكتمل",IF(AND(O288&lt;&gt;"",TODAY()&gt;O288),"متأخر التوريد",IF(P288&gt;0,"توريد جزئي","لم يُورد بعد")))))</f>
        <v/>
      </c>
    </row>
    <row r="289">
      <c r="A289" s="39">
        <f>IF(C289="","","PO-"&amp;TEXT(ROW()-4,"0000"))</f>
        <v/>
      </c>
      <c r="B289" s="47" t="n"/>
      <c r="C289" s="50" t="n"/>
      <c r="D289" s="40" t="n"/>
      <c r="E289" s="40" t="n"/>
      <c r="F289" s="49">
        <f>IF(E289="","",IFERROR(INDEX('اعتماد المواد'!$P$5:$P$304,MATCH(E289,'اعتماد المواد'!$A$5:$A$304,0)),""))</f>
        <v/>
      </c>
      <c r="G289" s="50" t="n"/>
      <c r="H289" s="40" t="n"/>
      <c r="I289" s="50" t="n"/>
      <c r="J289" s="41" t="n"/>
      <c r="K289" s="41" t="n"/>
      <c r="L289" s="46">
        <f>IF(J289="","",J289*K289)</f>
        <v/>
      </c>
      <c r="M289" s="46">
        <f>IF(L289="","",L289*S_VAT)</f>
        <v/>
      </c>
      <c r="N289" s="46">
        <f>IF(L289="","",L289+M289)</f>
        <v/>
      </c>
      <c r="O289" s="47" t="n"/>
      <c r="P289" s="46">
        <f>IF(A289="","",SUMIFS('استلام المواد'!$K$5:$K$304,'استلام المواد'!$C$5:$C$304,A289))</f>
        <v/>
      </c>
      <c r="Q289" s="46">
        <f>IF(A289="","",J289-P289)</f>
        <v/>
      </c>
      <c r="R289" s="49">
        <f>IF(A289="","",IF(F289="لا","مادة غير معتمدة!",IF(P289&gt;=J289,"مكتمل",IF(AND(O289&lt;&gt;"",TODAY()&gt;O289),"متأخر التوريد",IF(P289&gt;0,"توريد جزئي","لم يُورد بعد")))))</f>
        <v/>
      </c>
    </row>
    <row r="290">
      <c r="A290" s="39">
        <f>IF(C290="","","PO-"&amp;TEXT(ROW()-4,"0000"))</f>
        <v/>
      </c>
      <c r="B290" s="47" t="n"/>
      <c r="C290" s="50" t="n"/>
      <c r="D290" s="40" t="n"/>
      <c r="E290" s="40" t="n"/>
      <c r="F290" s="49">
        <f>IF(E290="","",IFERROR(INDEX('اعتماد المواد'!$P$5:$P$304,MATCH(E290,'اعتماد المواد'!$A$5:$A$304,0)),""))</f>
        <v/>
      </c>
      <c r="G290" s="50" t="n"/>
      <c r="H290" s="40" t="n"/>
      <c r="I290" s="50" t="n"/>
      <c r="J290" s="41" t="n"/>
      <c r="K290" s="41" t="n"/>
      <c r="L290" s="46">
        <f>IF(J290="","",J290*K290)</f>
        <v/>
      </c>
      <c r="M290" s="46">
        <f>IF(L290="","",L290*S_VAT)</f>
        <v/>
      </c>
      <c r="N290" s="46">
        <f>IF(L290="","",L290+M290)</f>
        <v/>
      </c>
      <c r="O290" s="47" t="n"/>
      <c r="P290" s="46">
        <f>IF(A290="","",SUMIFS('استلام المواد'!$K$5:$K$304,'استلام المواد'!$C$5:$C$304,A290))</f>
        <v/>
      </c>
      <c r="Q290" s="46">
        <f>IF(A290="","",J290-P290)</f>
        <v/>
      </c>
      <c r="R290" s="49">
        <f>IF(A290="","",IF(F290="لا","مادة غير معتمدة!",IF(P290&gt;=J290,"مكتمل",IF(AND(O290&lt;&gt;"",TODAY()&gt;O290),"متأخر التوريد",IF(P290&gt;0,"توريد جزئي","لم يُورد بعد")))))</f>
        <v/>
      </c>
    </row>
    <row r="291">
      <c r="A291" s="39">
        <f>IF(C291="","","PO-"&amp;TEXT(ROW()-4,"0000"))</f>
        <v/>
      </c>
      <c r="B291" s="47" t="n"/>
      <c r="C291" s="50" t="n"/>
      <c r="D291" s="40" t="n"/>
      <c r="E291" s="40" t="n"/>
      <c r="F291" s="49">
        <f>IF(E291="","",IFERROR(INDEX('اعتماد المواد'!$P$5:$P$304,MATCH(E291,'اعتماد المواد'!$A$5:$A$304,0)),""))</f>
        <v/>
      </c>
      <c r="G291" s="50" t="n"/>
      <c r="H291" s="40" t="n"/>
      <c r="I291" s="50" t="n"/>
      <c r="J291" s="41" t="n"/>
      <c r="K291" s="41" t="n"/>
      <c r="L291" s="46">
        <f>IF(J291="","",J291*K291)</f>
        <v/>
      </c>
      <c r="M291" s="46">
        <f>IF(L291="","",L291*S_VAT)</f>
        <v/>
      </c>
      <c r="N291" s="46">
        <f>IF(L291="","",L291+M291)</f>
        <v/>
      </c>
      <c r="O291" s="47" t="n"/>
      <c r="P291" s="46">
        <f>IF(A291="","",SUMIFS('استلام المواد'!$K$5:$K$304,'استلام المواد'!$C$5:$C$304,A291))</f>
        <v/>
      </c>
      <c r="Q291" s="46">
        <f>IF(A291="","",J291-P291)</f>
        <v/>
      </c>
      <c r="R291" s="49">
        <f>IF(A291="","",IF(F291="لا","مادة غير معتمدة!",IF(P291&gt;=J291,"مكتمل",IF(AND(O291&lt;&gt;"",TODAY()&gt;O291),"متأخر التوريد",IF(P291&gt;0,"توريد جزئي","لم يُورد بعد")))))</f>
        <v/>
      </c>
    </row>
    <row r="292">
      <c r="A292" s="39">
        <f>IF(C292="","","PO-"&amp;TEXT(ROW()-4,"0000"))</f>
        <v/>
      </c>
      <c r="B292" s="47" t="n"/>
      <c r="C292" s="50" t="n"/>
      <c r="D292" s="40" t="n"/>
      <c r="E292" s="40" t="n"/>
      <c r="F292" s="49">
        <f>IF(E292="","",IFERROR(INDEX('اعتماد المواد'!$P$5:$P$304,MATCH(E292,'اعتماد المواد'!$A$5:$A$304,0)),""))</f>
        <v/>
      </c>
      <c r="G292" s="50" t="n"/>
      <c r="H292" s="40" t="n"/>
      <c r="I292" s="50" t="n"/>
      <c r="J292" s="41" t="n"/>
      <c r="K292" s="41" t="n"/>
      <c r="L292" s="46">
        <f>IF(J292="","",J292*K292)</f>
        <v/>
      </c>
      <c r="M292" s="46">
        <f>IF(L292="","",L292*S_VAT)</f>
        <v/>
      </c>
      <c r="N292" s="46">
        <f>IF(L292="","",L292+M292)</f>
        <v/>
      </c>
      <c r="O292" s="47" t="n"/>
      <c r="P292" s="46">
        <f>IF(A292="","",SUMIFS('استلام المواد'!$K$5:$K$304,'استلام المواد'!$C$5:$C$304,A292))</f>
        <v/>
      </c>
      <c r="Q292" s="46">
        <f>IF(A292="","",J292-P292)</f>
        <v/>
      </c>
      <c r="R292" s="49">
        <f>IF(A292="","",IF(F292="لا","مادة غير معتمدة!",IF(P292&gt;=J292,"مكتمل",IF(AND(O292&lt;&gt;"",TODAY()&gt;O292),"متأخر التوريد",IF(P292&gt;0,"توريد جزئي","لم يُورد بعد")))))</f>
        <v/>
      </c>
    </row>
    <row r="293">
      <c r="A293" s="39">
        <f>IF(C293="","","PO-"&amp;TEXT(ROW()-4,"0000"))</f>
        <v/>
      </c>
      <c r="B293" s="47" t="n"/>
      <c r="C293" s="50" t="n"/>
      <c r="D293" s="40" t="n"/>
      <c r="E293" s="40" t="n"/>
      <c r="F293" s="49">
        <f>IF(E293="","",IFERROR(INDEX('اعتماد المواد'!$P$5:$P$304,MATCH(E293,'اعتماد المواد'!$A$5:$A$304,0)),""))</f>
        <v/>
      </c>
      <c r="G293" s="50" t="n"/>
      <c r="H293" s="40" t="n"/>
      <c r="I293" s="50" t="n"/>
      <c r="J293" s="41" t="n"/>
      <c r="K293" s="41" t="n"/>
      <c r="L293" s="46">
        <f>IF(J293="","",J293*K293)</f>
        <v/>
      </c>
      <c r="M293" s="46">
        <f>IF(L293="","",L293*S_VAT)</f>
        <v/>
      </c>
      <c r="N293" s="46">
        <f>IF(L293="","",L293+M293)</f>
        <v/>
      </c>
      <c r="O293" s="47" t="n"/>
      <c r="P293" s="46">
        <f>IF(A293="","",SUMIFS('استلام المواد'!$K$5:$K$304,'استلام المواد'!$C$5:$C$304,A293))</f>
        <v/>
      </c>
      <c r="Q293" s="46">
        <f>IF(A293="","",J293-P293)</f>
        <v/>
      </c>
      <c r="R293" s="49">
        <f>IF(A293="","",IF(F293="لا","مادة غير معتمدة!",IF(P293&gt;=J293,"مكتمل",IF(AND(O293&lt;&gt;"",TODAY()&gt;O293),"متأخر التوريد",IF(P293&gt;0,"توريد جزئي","لم يُورد بعد")))))</f>
        <v/>
      </c>
    </row>
    <row r="294">
      <c r="A294" s="39">
        <f>IF(C294="","","PO-"&amp;TEXT(ROW()-4,"0000"))</f>
        <v/>
      </c>
      <c r="B294" s="47" t="n"/>
      <c r="C294" s="50" t="n"/>
      <c r="D294" s="40" t="n"/>
      <c r="E294" s="40" t="n"/>
      <c r="F294" s="49">
        <f>IF(E294="","",IFERROR(INDEX('اعتماد المواد'!$P$5:$P$304,MATCH(E294,'اعتماد المواد'!$A$5:$A$304,0)),""))</f>
        <v/>
      </c>
      <c r="G294" s="50" t="n"/>
      <c r="H294" s="40" t="n"/>
      <c r="I294" s="50" t="n"/>
      <c r="J294" s="41" t="n"/>
      <c r="K294" s="41" t="n"/>
      <c r="L294" s="46">
        <f>IF(J294="","",J294*K294)</f>
        <v/>
      </c>
      <c r="M294" s="46">
        <f>IF(L294="","",L294*S_VAT)</f>
        <v/>
      </c>
      <c r="N294" s="46">
        <f>IF(L294="","",L294+M294)</f>
        <v/>
      </c>
      <c r="O294" s="47" t="n"/>
      <c r="P294" s="46">
        <f>IF(A294="","",SUMIFS('استلام المواد'!$K$5:$K$304,'استلام المواد'!$C$5:$C$304,A294))</f>
        <v/>
      </c>
      <c r="Q294" s="46">
        <f>IF(A294="","",J294-P294)</f>
        <v/>
      </c>
      <c r="R294" s="49">
        <f>IF(A294="","",IF(F294="لا","مادة غير معتمدة!",IF(P294&gt;=J294,"مكتمل",IF(AND(O294&lt;&gt;"",TODAY()&gt;O294),"متأخر التوريد",IF(P294&gt;0,"توريد جزئي","لم يُورد بعد")))))</f>
        <v/>
      </c>
    </row>
    <row r="295">
      <c r="A295" s="39">
        <f>IF(C295="","","PO-"&amp;TEXT(ROW()-4,"0000"))</f>
        <v/>
      </c>
      <c r="B295" s="47" t="n"/>
      <c r="C295" s="50" t="n"/>
      <c r="D295" s="40" t="n"/>
      <c r="E295" s="40" t="n"/>
      <c r="F295" s="49">
        <f>IF(E295="","",IFERROR(INDEX('اعتماد المواد'!$P$5:$P$304,MATCH(E295,'اعتماد المواد'!$A$5:$A$304,0)),""))</f>
        <v/>
      </c>
      <c r="G295" s="50" t="n"/>
      <c r="H295" s="40" t="n"/>
      <c r="I295" s="50" t="n"/>
      <c r="J295" s="41" t="n"/>
      <c r="K295" s="41" t="n"/>
      <c r="L295" s="46">
        <f>IF(J295="","",J295*K295)</f>
        <v/>
      </c>
      <c r="M295" s="46">
        <f>IF(L295="","",L295*S_VAT)</f>
        <v/>
      </c>
      <c r="N295" s="46">
        <f>IF(L295="","",L295+M295)</f>
        <v/>
      </c>
      <c r="O295" s="47" t="n"/>
      <c r="P295" s="46">
        <f>IF(A295="","",SUMIFS('استلام المواد'!$K$5:$K$304,'استلام المواد'!$C$5:$C$304,A295))</f>
        <v/>
      </c>
      <c r="Q295" s="46">
        <f>IF(A295="","",J295-P295)</f>
        <v/>
      </c>
      <c r="R295" s="49">
        <f>IF(A295="","",IF(F295="لا","مادة غير معتمدة!",IF(P295&gt;=J295,"مكتمل",IF(AND(O295&lt;&gt;"",TODAY()&gt;O295),"متأخر التوريد",IF(P295&gt;0,"توريد جزئي","لم يُورد بعد")))))</f>
        <v/>
      </c>
    </row>
    <row r="296">
      <c r="A296" s="39">
        <f>IF(C296="","","PO-"&amp;TEXT(ROW()-4,"0000"))</f>
        <v/>
      </c>
      <c r="B296" s="47" t="n"/>
      <c r="C296" s="50" t="n"/>
      <c r="D296" s="40" t="n"/>
      <c r="E296" s="40" t="n"/>
      <c r="F296" s="49">
        <f>IF(E296="","",IFERROR(INDEX('اعتماد المواد'!$P$5:$P$304,MATCH(E296,'اعتماد المواد'!$A$5:$A$304,0)),""))</f>
        <v/>
      </c>
      <c r="G296" s="50" t="n"/>
      <c r="H296" s="40" t="n"/>
      <c r="I296" s="50" t="n"/>
      <c r="J296" s="41" t="n"/>
      <c r="K296" s="41" t="n"/>
      <c r="L296" s="46">
        <f>IF(J296="","",J296*K296)</f>
        <v/>
      </c>
      <c r="M296" s="46">
        <f>IF(L296="","",L296*S_VAT)</f>
        <v/>
      </c>
      <c r="N296" s="46">
        <f>IF(L296="","",L296+M296)</f>
        <v/>
      </c>
      <c r="O296" s="47" t="n"/>
      <c r="P296" s="46">
        <f>IF(A296="","",SUMIFS('استلام المواد'!$K$5:$K$304,'استلام المواد'!$C$5:$C$304,A296))</f>
        <v/>
      </c>
      <c r="Q296" s="46">
        <f>IF(A296="","",J296-P296)</f>
        <v/>
      </c>
      <c r="R296" s="49">
        <f>IF(A296="","",IF(F296="لا","مادة غير معتمدة!",IF(P296&gt;=J296,"مكتمل",IF(AND(O296&lt;&gt;"",TODAY()&gt;O296),"متأخر التوريد",IF(P296&gt;0,"توريد جزئي","لم يُورد بعد")))))</f>
        <v/>
      </c>
    </row>
    <row r="297">
      <c r="A297" s="39">
        <f>IF(C297="","","PO-"&amp;TEXT(ROW()-4,"0000"))</f>
        <v/>
      </c>
      <c r="B297" s="47" t="n"/>
      <c r="C297" s="50" t="n"/>
      <c r="D297" s="40" t="n"/>
      <c r="E297" s="40" t="n"/>
      <c r="F297" s="49">
        <f>IF(E297="","",IFERROR(INDEX('اعتماد المواد'!$P$5:$P$304,MATCH(E297,'اعتماد المواد'!$A$5:$A$304,0)),""))</f>
        <v/>
      </c>
      <c r="G297" s="50" t="n"/>
      <c r="H297" s="40" t="n"/>
      <c r="I297" s="50" t="n"/>
      <c r="J297" s="41" t="n"/>
      <c r="K297" s="41" t="n"/>
      <c r="L297" s="46">
        <f>IF(J297="","",J297*K297)</f>
        <v/>
      </c>
      <c r="M297" s="46">
        <f>IF(L297="","",L297*S_VAT)</f>
        <v/>
      </c>
      <c r="N297" s="46">
        <f>IF(L297="","",L297+M297)</f>
        <v/>
      </c>
      <c r="O297" s="47" t="n"/>
      <c r="P297" s="46">
        <f>IF(A297="","",SUMIFS('استلام المواد'!$K$5:$K$304,'استلام المواد'!$C$5:$C$304,A297))</f>
        <v/>
      </c>
      <c r="Q297" s="46">
        <f>IF(A297="","",J297-P297)</f>
        <v/>
      </c>
      <c r="R297" s="49">
        <f>IF(A297="","",IF(F297="لا","مادة غير معتمدة!",IF(P297&gt;=J297,"مكتمل",IF(AND(O297&lt;&gt;"",TODAY()&gt;O297),"متأخر التوريد",IF(P297&gt;0,"توريد جزئي","لم يُورد بعد")))))</f>
        <v/>
      </c>
    </row>
    <row r="298">
      <c r="A298" s="39">
        <f>IF(C298="","","PO-"&amp;TEXT(ROW()-4,"0000"))</f>
        <v/>
      </c>
      <c r="B298" s="47" t="n"/>
      <c r="C298" s="50" t="n"/>
      <c r="D298" s="40" t="n"/>
      <c r="E298" s="40" t="n"/>
      <c r="F298" s="49">
        <f>IF(E298="","",IFERROR(INDEX('اعتماد المواد'!$P$5:$P$304,MATCH(E298,'اعتماد المواد'!$A$5:$A$304,0)),""))</f>
        <v/>
      </c>
      <c r="G298" s="50" t="n"/>
      <c r="H298" s="40" t="n"/>
      <c r="I298" s="50" t="n"/>
      <c r="J298" s="41" t="n"/>
      <c r="K298" s="41" t="n"/>
      <c r="L298" s="46">
        <f>IF(J298="","",J298*K298)</f>
        <v/>
      </c>
      <c r="M298" s="46">
        <f>IF(L298="","",L298*S_VAT)</f>
        <v/>
      </c>
      <c r="N298" s="46">
        <f>IF(L298="","",L298+M298)</f>
        <v/>
      </c>
      <c r="O298" s="47" t="n"/>
      <c r="P298" s="46">
        <f>IF(A298="","",SUMIFS('استلام المواد'!$K$5:$K$304,'استلام المواد'!$C$5:$C$304,A298))</f>
        <v/>
      </c>
      <c r="Q298" s="46">
        <f>IF(A298="","",J298-P298)</f>
        <v/>
      </c>
      <c r="R298" s="49">
        <f>IF(A298="","",IF(F298="لا","مادة غير معتمدة!",IF(P298&gt;=J298,"مكتمل",IF(AND(O298&lt;&gt;"",TODAY()&gt;O298),"متأخر التوريد",IF(P298&gt;0,"توريد جزئي","لم يُورد بعد")))))</f>
        <v/>
      </c>
    </row>
    <row r="299">
      <c r="A299" s="39">
        <f>IF(C299="","","PO-"&amp;TEXT(ROW()-4,"0000"))</f>
        <v/>
      </c>
      <c r="B299" s="47" t="n"/>
      <c r="C299" s="50" t="n"/>
      <c r="D299" s="40" t="n"/>
      <c r="E299" s="40" t="n"/>
      <c r="F299" s="49">
        <f>IF(E299="","",IFERROR(INDEX('اعتماد المواد'!$P$5:$P$304,MATCH(E299,'اعتماد المواد'!$A$5:$A$304,0)),""))</f>
        <v/>
      </c>
      <c r="G299" s="50" t="n"/>
      <c r="H299" s="40" t="n"/>
      <c r="I299" s="50" t="n"/>
      <c r="J299" s="41" t="n"/>
      <c r="K299" s="41" t="n"/>
      <c r="L299" s="46">
        <f>IF(J299="","",J299*K299)</f>
        <v/>
      </c>
      <c r="M299" s="46">
        <f>IF(L299="","",L299*S_VAT)</f>
        <v/>
      </c>
      <c r="N299" s="46">
        <f>IF(L299="","",L299+M299)</f>
        <v/>
      </c>
      <c r="O299" s="47" t="n"/>
      <c r="P299" s="46">
        <f>IF(A299="","",SUMIFS('استلام المواد'!$K$5:$K$304,'استلام المواد'!$C$5:$C$304,A299))</f>
        <v/>
      </c>
      <c r="Q299" s="46">
        <f>IF(A299="","",J299-P299)</f>
        <v/>
      </c>
      <c r="R299" s="49">
        <f>IF(A299="","",IF(F299="لا","مادة غير معتمدة!",IF(P299&gt;=J299,"مكتمل",IF(AND(O299&lt;&gt;"",TODAY()&gt;O299),"متأخر التوريد",IF(P299&gt;0,"توريد جزئي","لم يُورد بعد")))))</f>
        <v/>
      </c>
    </row>
    <row r="300">
      <c r="A300" s="39">
        <f>IF(C300="","","PO-"&amp;TEXT(ROW()-4,"0000"))</f>
        <v/>
      </c>
      <c r="B300" s="47" t="n"/>
      <c r="C300" s="50" t="n"/>
      <c r="D300" s="40" t="n"/>
      <c r="E300" s="40" t="n"/>
      <c r="F300" s="49">
        <f>IF(E300="","",IFERROR(INDEX('اعتماد المواد'!$P$5:$P$304,MATCH(E300,'اعتماد المواد'!$A$5:$A$304,0)),""))</f>
        <v/>
      </c>
      <c r="G300" s="50" t="n"/>
      <c r="H300" s="40" t="n"/>
      <c r="I300" s="50" t="n"/>
      <c r="J300" s="41" t="n"/>
      <c r="K300" s="41" t="n"/>
      <c r="L300" s="46">
        <f>IF(J300="","",J300*K300)</f>
        <v/>
      </c>
      <c r="M300" s="46">
        <f>IF(L300="","",L300*S_VAT)</f>
        <v/>
      </c>
      <c r="N300" s="46">
        <f>IF(L300="","",L300+M300)</f>
        <v/>
      </c>
      <c r="O300" s="47" t="n"/>
      <c r="P300" s="46">
        <f>IF(A300="","",SUMIFS('استلام المواد'!$K$5:$K$304,'استلام المواد'!$C$5:$C$304,A300))</f>
        <v/>
      </c>
      <c r="Q300" s="46">
        <f>IF(A300="","",J300-P300)</f>
        <v/>
      </c>
      <c r="R300" s="49">
        <f>IF(A300="","",IF(F300="لا","مادة غير معتمدة!",IF(P300&gt;=J300,"مكتمل",IF(AND(O300&lt;&gt;"",TODAY()&gt;O300),"متأخر التوريد",IF(P300&gt;0,"توريد جزئي","لم يُورد بعد")))))</f>
        <v/>
      </c>
    </row>
    <row r="301">
      <c r="A301" s="39">
        <f>IF(C301="","","PO-"&amp;TEXT(ROW()-4,"0000"))</f>
        <v/>
      </c>
      <c r="B301" s="47" t="n"/>
      <c r="C301" s="50" t="n"/>
      <c r="D301" s="40" t="n"/>
      <c r="E301" s="40" t="n"/>
      <c r="F301" s="49">
        <f>IF(E301="","",IFERROR(INDEX('اعتماد المواد'!$P$5:$P$304,MATCH(E301,'اعتماد المواد'!$A$5:$A$304,0)),""))</f>
        <v/>
      </c>
      <c r="G301" s="50" t="n"/>
      <c r="H301" s="40" t="n"/>
      <c r="I301" s="50" t="n"/>
      <c r="J301" s="41" t="n"/>
      <c r="K301" s="41" t="n"/>
      <c r="L301" s="46">
        <f>IF(J301="","",J301*K301)</f>
        <v/>
      </c>
      <c r="M301" s="46">
        <f>IF(L301="","",L301*S_VAT)</f>
        <v/>
      </c>
      <c r="N301" s="46">
        <f>IF(L301="","",L301+M301)</f>
        <v/>
      </c>
      <c r="O301" s="47" t="n"/>
      <c r="P301" s="46">
        <f>IF(A301="","",SUMIFS('استلام المواد'!$K$5:$K$304,'استلام المواد'!$C$5:$C$304,A301))</f>
        <v/>
      </c>
      <c r="Q301" s="46">
        <f>IF(A301="","",J301-P301)</f>
        <v/>
      </c>
      <c r="R301" s="49">
        <f>IF(A301="","",IF(F301="لا","مادة غير معتمدة!",IF(P301&gt;=J301,"مكتمل",IF(AND(O301&lt;&gt;"",TODAY()&gt;O301),"متأخر التوريد",IF(P301&gt;0,"توريد جزئي","لم يُورد بعد")))))</f>
        <v/>
      </c>
    </row>
    <row r="302">
      <c r="A302" s="39">
        <f>IF(C302="","","PO-"&amp;TEXT(ROW()-4,"0000"))</f>
        <v/>
      </c>
      <c r="B302" s="47" t="n"/>
      <c r="C302" s="50" t="n"/>
      <c r="D302" s="40" t="n"/>
      <c r="E302" s="40" t="n"/>
      <c r="F302" s="49">
        <f>IF(E302="","",IFERROR(INDEX('اعتماد المواد'!$P$5:$P$304,MATCH(E302,'اعتماد المواد'!$A$5:$A$304,0)),""))</f>
        <v/>
      </c>
      <c r="G302" s="50" t="n"/>
      <c r="H302" s="40" t="n"/>
      <c r="I302" s="50" t="n"/>
      <c r="J302" s="41" t="n"/>
      <c r="K302" s="41" t="n"/>
      <c r="L302" s="46">
        <f>IF(J302="","",J302*K302)</f>
        <v/>
      </c>
      <c r="M302" s="46">
        <f>IF(L302="","",L302*S_VAT)</f>
        <v/>
      </c>
      <c r="N302" s="46">
        <f>IF(L302="","",L302+M302)</f>
        <v/>
      </c>
      <c r="O302" s="47" t="n"/>
      <c r="P302" s="46">
        <f>IF(A302="","",SUMIFS('استلام المواد'!$K$5:$K$304,'استلام المواد'!$C$5:$C$304,A302))</f>
        <v/>
      </c>
      <c r="Q302" s="46">
        <f>IF(A302="","",J302-P302)</f>
        <v/>
      </c>
      <c r="R302" s="49">
        <f>IF(A302="","",IF(F302="لا","مادة غير معتمدة!",IF(P302&gt;=J302,"مكتمل",IF(AND(O302&lt;&gt;"",TODAY()&gt;O302),"متأخر التوريد",IF(P302&gt;0,"توريد جزئي","لم يُورد بعد")))))</f>
        <v/>
      </c>
    </row>
    <row r="303">
      <c r="A303" s="39">
        <f>IF(C303="","","PO-"&amp;TEXT(ROW()-4,"0000"))</f>
        <v/>
      </c>
      <c r="B303" s="47" t="n"/>
      <c r="C303" s="50" t="n"/>
      <c r="D303" s="40" t="n"/>
      <c r="E303" s="40" t="n"/>
      <c r="F303" s="49">
        <f>IF(E303="","",IFERROR(INDEX('اعتماد المواد'!$P$5:$P$304,MATCH(E303,'اعتماد المواد'!$A$5:$A$304,0)),""))</f>
        <v/>
      </c>
      <c r="G303" s="50" t="n"/>
      <c r="H303" s="40" t="n"/>
      <c r="I303" s="50" t="n"/>
      <c r="J303" s="41" t="n"/>
      <c r="K303" s="41" t="n"/>
      <c r="L303" s="46">
        <f>IF(J303="","",J303*K303)</f>
        <v/>
      </c>
      <c r="M303" s="46">
        <f>IF(L303="","",L303*S_VAT)</f>
        <v/>
      </c>
      <c r="N303" s="46">
        <f>IF(L303="","",L303+M303)</f>
        <v/>
      </c>
      <c r="O303" s="47" t="n"/>
      <c r="P303" s="46">
        <f>IF(A303="","",SUMIFS('استلام المواد'!$K$5:$K$304,'استلام المواد'!$C$5:$C$304,A303))</f>
        <v/>
      </c>
      <c r="Q303" s="46">
        <f>IF(A303="","",J303-P303)</f>
        <v/>
      </c>
      <c r="R303" s="49">
        <f>IF(A303="","",IF(F303="لا","مادة غير معتمدة!",IF(P303&gt;=J303,"مكتمل",IF(AND(O303&lt;&gt;"",TODAY()&gt;O303),"متأخر التوريد",IF(P303&gt;0,"توريد جزئي","لم يُورد بعد")))))</f>
        <v/>
      </c>
    </row>
    <row r="304">
      <c r="A304" s="39">
        <f>IF(C304="","","PO-"&amp;TEXT(ROW()-4,"0000"))</f>
        <v/>
      </c>
      <c r="B304" s="47" t="n"/>
      <c r="C304" s="50" t="n"/>
      <c r="D304" s="40" t="n"/>
      <c r="E304" s="40" t="n"/>
      <c r="F304" s="49">
        <f>IF(E304="","",IFERROR(INDEX('اعتماد المواد'!$P$5:$P$304,MATCH(E304,'اعتماد المواد'!$A$5:$A$304,0)),""))</f>
        <v/>
      </c>
      <c r="G304" s="50" t="n"/>
      <c r="H304" s="40" t="n"/>
      <c r="I304" s="50" t="n"/>
      <c r="J304" s="41" t="n"/>
      <c r="K304" s="41" t="n"/>
      <c r="L304" s="46">
        <f>IF(J304="","",J304*K304)</f>
        <v/>
      </c>
      <c r="M304" s="46">
        <f>IF(L304="","",L304*S_VAT)</f>
        <v/>
      </c>
      <c r="N304" s="46">
        <f>IF(L304="","",L304+M304)</f>
        <v/>
      </c>
      <c r="O304" s="47" t="n"/>
      <c r="P304" s="46">
        <f>IF(A304="","",SUMIFS('استلام المواد'!$K$5:$K$304,'استلام المواد'!$C$5:$C$304,A304))</f>
        <v/>
      </c>
      <c r="Q304" s="46">
        <f>IF(A304="","",J304-P304)</f>
        <v/>
      </c>
      <c r="R304" s="49">
        <f>IF(A304="","",IF(F304="لا","مادة غير معتمدة!",IF(P304&gt;=J304,"مكتمل",IF(AND(O304&lt;&gt;"",TODAY()&gt;O304),"متأخر التوريد",IF(P304&gt;0,"توريد جزئي","لم يُورد بعد")))))</f>
        <v/>
      </c>
    </row>
  </sheetData>
  <autoFilter ref="A4:R304"/>
  <mergeCells count="2">
    <mergeCell ref="A2:R2"/>
    <mergeCell ref="A1:R1"/>
  </mergeCells>
  <conditionalFormatting sqref="F5:F304">
    <cfRule type="expression" priority="1" dxfId="0" stopIfTrue="1">
      <formula>F5="لا"</formula>
    </cfRule>
    <cfRule type="expression" priority="2" dxfId="1" stopIfTrue="1">
      <formula>FALSE</formula>
    </cfRule>
    <cfRule type="expression" priority="3" dxfId="2" stopIfTrue="1">
      <formula>F5="نعم"</formula>
    </cfRule>
  </conditionalFormatting>
  <conditionalFormatting sqref="R5:R304">
    <cfRule type="expression" priority="4" dxfId="0" stopIfTrue="1">
      <formula>OR(ISNUMBER(SEARCH("متأخر",R5)),ISNUMBER(SEARCH("مرفوض",R5)),ISNUMBER(SEARCH("غير معتمدة",R5)),ISNUMBER(SEARCH("غير محصّل",R5)),ISNUMBER(SEARCH("سالب",R5)),ISNUMBER(SEARCH("أكثر من الرصيد",R5)),ISNUMBER(SEARCH("بتحفظات",R5)))</formula>
    </cfRule>
    <cfRule type="expression" priority="5" dxfId="1" stopIfTrue="1">
      <formula>OR(ISNUMBER(SEARCH("قيد",R5)),ISNUMBER(SEARCH("جزئي",R5)),ISNUMBER(SEARCH("بانتظار",R5)),ISNUMBER(SEARCH("مفتوح",R5)),ISNUMBER(SEARCH("أعد الطلب",R5)),ISNUMBER(SEARCH("لم يُورد",R5)),ISNUMBER(SEARCH("فترة الضمان",R5)),ISNUMBER(SEARCH("مُقدم",R5)))</formula>
    </cfRule>
    <cfRule type="expression" priority="6" dxfId="2" stopIfTrue="1">
      <formula>OR(ISNUMBER(SEARCH("معتمد",R5)),ISNUMBER(SEARCH("مقبول",R5)),ISNUMBER(SEARCH("مكتمل",R5)),ISNUMBER(SEARCH("مغلق",R5)),ISNUMBER(SEARCH("بالكامل",R5)),ISNUMBER(SEARCH("مسلّم",R5)),ISNUMBER(SEARCH("كامل",R5)),ISNUMBER(SEARCH("متاح",R5)),ISNUMBER(SEARCH("جاري",R5)))</formula>
    </cfRule>
  </conditionalFormatting>
  <dataValidations count="5">
    <dataValidation sqref="B5:B304" showDropDown="0" showInputMessage="0" showErrorMessage="1" allowBlank="1" errorTitle="تاريخ" error="أدخل تاريخاً صحيحاً" type="date" operator="between">
      <formula1>DATE(2000,1,1)</formula1>
      <formula2>DATE(2100,12,31)</formula2>
    </dataValidation>
    <dataValidation sqref="C5:C304" showDropDown="0" showInputMessage="0" showErrorMessage="1" allowBlank="1" errorTitle="قيمة غير صحيحة" error="اختر من القائمة المنسدلة فقط" type="list">
      <formula1>=L_Proj</formula1>
    </dataValidation>
    <dataValidation sqref="E5:E304" showDropDown="0" showInputMessage="0" showErrorMessage="1" allowBlank="1" errorTitle="قيمة غير صحيحة" error="اختر من القائمة المنسدلة فقط" type="list">
      <formula1>=L_MAR</formula1>
    </dataValidation>
    <dataValidation sqref="I5:I304" showDropDown="0" showInputMessage="0" showErrorMessage="1" allowBlank="1" errorTitle="قيمة غير صحيحة" error="اختر من القائمة المنسدلة فقط" type="list">
      <formula1>=L_Unit</formula1>
    </dataValidation>
    <dataValidation sqref="O5:O304" showDropDown="0" showInputMessage="0" showErrorMessage="1" allowBlank="1" errorTitle="تاريخ" error="أدخل تاريخاً صحيحاً" type="date" operator="between">
      <formula1>DATE(2000,1,1)</formula1>
      <formula2>DATE(2100,12,31)</formula2>
    </dataValidation>
  </dataValidations>
  <hyperlinks>
    <hyperlink xmlns:r="http://schemas.openxmlformats.org/officeDocument/2006/relationships" ref="A3" r:id="rId1"/>
  </hyperlinks>
  <printOptions horizontalCentered="1"/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tabColor rgb="002E7D7A"/>
    <outlinePr summaryBelow="1" summaryRight="1"/>
    <pageSetUpPr fitToPage="1"/>
  </sheetPr>
  <dimension ref="A1:O304"/>
  <sheetViews>
    <sheetView showGridLines="0" rightToLeft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2" customWidth="1" min="5" max="5"/>
    <col width="11" customWidth="1" min="6" max="6"/>
    <col width="24" customWidth="1" min="7" max="7"/>
    <col width="8" customWidth="1" min="8" max="8"/>
    <col width="13" customWidth="1" min="9" max="9"/>
    <col width="11" customWidth="1" min="10" max="10"/>
    <col width="11" customWidth="1" min="11" max="11"/>
    <col width="10" customWidth="1" min="12" max="12"/>
    <col width="13" customWidth="1" min="13" max="13"/>
    <col width="22" customWidth="1" min="14" max="14"/>
    <col width="14" customWidth="1" min="15" max="15"/>
  </cols>
  <sheetData>
    <row r="1" ht="32" customHeight="1">
      <c r="A1" s="34">
        <f>S_Company&amp;"  |  استلام المواد"</f>
        <v/>
      </c>
    </row>
    <row r="2">
      <c r="A2" s="35" t="inlineStr">
        <is>
          <t>محاضر استلام وفحص المواد بالموقع MIR (QF-MR-05)</t>
        </is>
      </c>
    </row>
    <row r="3">
      <c r="A3" s="33" t="inlineStr">
        <is>
          <t>↩ الرئيسية</t>
        </is>
      </c>
      <c r="B3" s="36" t="inlineStr">
        <is>
          <t xml:space="preserve">   ■ أصفر = إدخال يدوي    ■ رمادي = معادلة تلقائية (لا تكتب فيها)    — الصفوف الأولى أمثلة توضيحية؛ احذف قيم الإدخال واستبدلها ببياناتك</t>
        </is>
      </c>
    </row>
    <row r="4" ht="42" customHeight="1">
      <c r="A4" s="37" t="inlineStr">
        <is>
          <t>رقم المحضر</t>
        </is>
      </c>
      <c r="B4" s="38" t="inlineStr">
        <is>
          <t>تاريخ الاستلام</t>
        </is>
      </c>
      <c r="C4" s="38" t="inlineStr">
        <is>
          <t>رقم أمر التوريد</t>
        </is>
      </c>
      <c r="D4" s="37" t="inlineStr">
        <is>
          <t>كود المشروع</t>
        </is>
      </c>
      <c r="E4" s="37" t="inlineStr">
        <is>
          <t>رقم الاعتماد</t>
        </is>
      </c>
      <c r="F4" s="37" t="inlineStr">
        <is>
          <t>كود الصنف</t>
        </is>
      </c>
      <c r="G4" s="37" t="inlineStr">
        <is>
          <t>الصنف</t>
        </is>
      </c>
      <c r="H4" s="37" t="inlineStr">
        <is>
          <t>الوحدة</t>
        </is>
      </c>
      <c r="I4" s="38" t="inlineStr">
        <is>
          <t>رقم إذن تسليم المورد</t>
        </is>
      </c>
      <c r="J4" s="38" t="inlineStr">
        <is>
          <t>الكمية الواردة</t>
        </is>
      </c>
      <c r="K4" s="38" t="inlineStr">
        <is>
          <t>الكمية المقبولة</t>
        </is>
      </c>
      <c r="L4" s="37" t="inlineStr">
        <is>
          <t>المرفوضة</t>
        </is>
      </c>
      <c r="M4" s="37" t="inlineStr">
        <is>
          <t>النتيجة</t>
        </is>
      </c>
      <c r="N4" s="38" t="inlineStr">
        <is>
          <t>سبب الرفض / ملاحظات</t>
        </is>
      </c>
      <c r="O4" s="38" t="inlineStr">
        <is>
          <t>أمين المخزن</t>
        </is>
      </c>
    </row>
    <row r="5">
      <c r="A5" s="39">
        <f>IF(C5="","","MIR-"&amp;TEXT(ROW()-4,"0000"))</f>
        <v/>
      </c>
      <c r="B5" s="47" t="n">
        <v>45994</v>
      </c>
      <c r="C5" s="40" t="inlineStr">
        <is>
          <t>PO-0001</t>
        </is>
      </c>
      <c r="D5" s="39">
        <f>IF(C5="","",IFERROR(INDEX('أوامر التوريد'!$C$5:$C$304,MATCH(C5,'أوامر التوريد'!$A$5:$A$304,0)),""))</f>
        <v/>
      </c>
      <c r="E5" s="49">
        <f>IF(C5="","",IFERROR(INDEX('أوامر التوريد'!$E$5:$E$304,MATCH(C5,'أوامر التوريد'!$A$5:$A$304,0)),""))</f>
        <v/>
      </c>
      <c r="F5" s="39">
        <f>IF(C5="","",IFERROR(INDEX('أوامر التوريد'!$G$5:$G$304,MATCH(C5,'أوامر التوريد'!$A$5:$A$304,0)),""))</f>
        <v/>
      </c>
      <c r="G5" s="49">
        <f>IF(C5="","",IFERROR(INDEX('أوامر التوريد'!$H$5:$H$304,MATCH(C5,'أوامر التوريد'!$A$5:$A$304,0)),""))</f>
        <v/>
      </c>
      <c r="H5" s="39">
        <f>IF(C5="","",IFERROR(INDEX('أوامر التوريد'!$I$5:$I$304,MATCH(C5,'أوامر التوريد'!$A$5:$A$304,0)),""))</f>
        <v/>
      </c>
      <c r="I5" s="40" t="inlineStr">
        <is>
          <t>DN-5521</t>
        </is>
      </c>
      <c r="J5" s="41" t="n">
        <v>80</v>
      </c>
      <c r="K5" s="41" t="n">
        <v>80</v>
      </c>
      <c r="L5" s="46">
        <f>IF(J5="","",J5-K5)</f>
        <v/>
      </c>
      <c r="M5" s="49">
        <f>IF(J5="","",IF(K5=0,"مرفوض",IF(K5&lt;J5,"مقبول جزئياً","مقبول")))</f>
        <v/>
      </c>
      <c r="N5" s="40" t="n"/>
      <c r="O5" s="40" t="inlineStr">
        <is>
          <t>أمين مخزن الموقع</t>
        </is>
      </c>
    </row>
    <row r="6">
      <c r="A6" s="39">
        <f>IF(C6="","","MIR-"&amp;TEXT(ROW()-4,"0000"))</f>
        <v/>
      </c>
      <c r="B6" s="47" t="n">
        <v>46003</v>
      </c>
      <c r="C6" s="40" t="inlineStr">
        <is>
          <t>PO-0001</t>
        </is>
      </c>
      <c r="D6" s="39">
        <f>IF(C6="","",IFERROR(INDEX('أوامر التوريد'!$C$5:$C$304,MATCH(C6,'أوامر التوريد'!$A$5:$A$304,0)),""))</f>
        <v/>
      </c>
      <c r="E6" s="49">
        <f>IF(C6="","",IFERROR(INDEX('أوامر التوريد'!$E$5:$E$304,MATCH(C6,'أوامر التوريد'!$A$5:$A$304,0)),""))</f>
        <v/>
      </c>
      <c r="F6" s="39">
        <f>IF(C6="","",IFERROR(INDEX('أوامر التوريد'!$G$5:$G$304,MATCH(C6,'أوامر التوريد'!$A$5:$A$304,0)),""))</f>
        <v/>
      </c>
      <c r="G6" s="49">
        <f>IF(C6="","",IFERROR(INDEX('أوامر التوريد'!$H$5:$H$304,MATCH(C6,'أوامر التوريد'!$A$5:$A$304,0)),""))</f>
        <v/>
      </c>
      <c r="H6" s="39">
        <f>IF(C6="","",IFERROR(INDEX('أوامر التوريد'!$I$5:$I$304,MATCH(C6,'أوامر التوريد'!$A$5:$A$304,0)),""))</f>
        <v/>
      </c>
      <c r="I6" s="40" t="inlineStr">
        <is>
          <t>DN-5610</t>
        </is>
      </c>
      <c r="J6" s="41" t="n">
        <v>42</v>
      </c>
      <c r="K6" s="41" t="n">
        <v>40</v>
      </c>
      <c r="L6" s="46">
        <f>IF(J6="","",J6-K6)</f>
        <v/>
      </c>
      <c r="M6" s="49">
        <f>IF(J6="","",IF(K6=0,"مرفوض",IF(K6&lt;J6,"مقبول جزئياً","مقبول")))</f>
        <v/>
      </c>
      <c r="N6" s="40" t="inlineStr">
        <is>
          <t>2 طن صدأ سطحي شديد</t>
        </is>
      </c>
      <c r="O6" s="40" t="inlineStr">
        <is>
          <t>أمين مخزن الموقع</t>
        </is>
      </c>
    </row>
    <row r="7">
      <c r="A7" s="39">
        <f>IF(C7="","","MIR-"&amp;TEXT(ROW()-4,"0000"))</f>
        <v/>
      </c>
      <c r="B7" s="47" t="n">
        <v>45999</v>
      </c>
      <c r="C7" s="40" t="inlineStr">
        <is>
          <t>PO-0002</t>
        </is>
      </c>
      <c r="D7" s="39">
        <f>IF(C7="","",IFERROR(INDEX('أوامر التوريد'!$C$5:$C$304,MATCH(C7,'أوامر التوريد'!$A$5:$A$304,0)),""))</f>
        <v/>
      </c>
      <c r="E7" s="49">
        <f>IF(C7="","",IFERROR(INDEX('أوامر التوريد'!$E$5:$E$304,MATCH(C7,'أوامر التوريد'!$A$5:$A$304,0)),""))</f>
        <v/>
      </c>
      <c r="F7" s="39">
        <f>IF(C7="","",IFERROR(INDEX('أوامر التوريد'!$G$5:$G$304,MATCH(C7,'أوامر التوريد'!$A$5:$A$304,0)),""))</f>
        <v/>
      </c>
      <c r="G7" s="49">
        <f>IF(C7="","",IFERROR(INDEX('أوامر التوريد'!$H$5:$H$304,MATCH(C7,'أوامر التوريد'!$A$5:$A$304,0)),""))</f>
        <v/>
      </c>
      <c r="H7" s="39">
        <f>IF(C7="","",IFERROR(INDEX('أوامر التوريد'!$I$5:$I$304,MATCH(C7,'أوامر التوريد'!$A$5:$A$304,0)),""))</f>
        <v/>
      </c>
      <c r="I7" s="40" t="inlineStr">
        <is>
          <t>C-889</t>
        </is>
      </c>
      <c r="J7" s="41" t="n">
        <v>4000</v>
      </c>
      <c r="K7" s="41" t="n">
        <v>4000</v>
      </c>
      <c r="L7" s="46">
        <f>IF(J7="","",J7-K7)</f>
        <v/>
      </c>
      <c r="M7" s="49">
        <f>IF(J7="","",IF(K7=0,"مرفوض",IF(K7&lt;J7,"مقبول جزئياً","مقبول")))</f>
        <v/>
      </c>
      <c r="N7" s="40" t="n"/>
      <c r="O7" s="40" t="inlineStr">
        <is>
          <t>أمين مخزن الموقع</t>
        </is>
      </c>
    </row>
    <row r="8">
      <c r="A8" s="39">
        <f>IF(C8="","","MIR-"&amp;TEXT(ROW()-4,"0000"))</f>
        <v/>
      </c>
      <c r="B8" s="47" t="n">
        <v>46193</v>
      </c>
      <c r="C8" s="40" t="inlineStr">
        <is>
          <t>PO-0003</t>
        </is>
      </c>
      <c r="D8" s="39">
        <f>IF(C8="","",IFERROR(INDEX('أوامر التوريد'!$C$5:$C$304,MATCH(C8,'أوامر التوريد'!$A$5:$A$304,0)),""))</f>
        <v/>
      </c>
      <c r="E8" s="49">
        <f>IF(C8="","",IFERROR(INDEX('أوامر التوريد'!$E$5:$E$304,MATCH(C8,'أوامر التوريد'!$A$5:$A$304,0)),""))</f>
        <v/>
      </c>
      <c r="F8" s="39">
        <f>IF(C8="","",IFERROR(INDEX('أوامر التوريد'!$G$5:$G$304,MATCH(C8,'أوامر التوريد'!$A$5:$A$304,0)),""))</f>
        <v/>
      </c>
      <c r="G8" s="49">
        <f>IF(C8="","",IFERROR(INDEX('أوامر التوريد'!$H$5:$H$304,MATCH(C8,'أوامر التوريد'!$A$5:$A$304,0)),""))</f>
        <v/>
      </c>
      <c r="H8" s="39">
        <f>IF(C8="","",IFERROR(INDEX('أوامر التوريد'!$I$5:$I$304,MATCH(C8,'أوامر التوريد'!$A$5:$A$304,0)),""))</f>
        <v/>
      </c>
      <c r="I8" s="40" t="inlineStr">
        <is>
          <t>RM-3310</t>
        </is>
      </c>
      <c r="J8" s="41" t="n">
        <v>320</v>
      </c>
      <c r="K8" s="41" t="n">
        <v>320</v>
      </c>
      <c r="L8" s="46">
        <f>IF(J8="","",J8-K8)</f>
        <v/>
      </c>
      <c r="M8" s="49">
        <f>IF(J8="","",IF(K8=0,"مرفوض",IF(K8&lt;J8,"مقبول جزئياً","مقبول")))</f>
        <v/>
      </c>
      <c r="N8" s="40" t="n"/>
      <c r="O8" s="40" t="inlineStr">
        <is>
          <t>أمين مخزن الموقع</t>
        </is>
      </c>
    </row>
    <row r="9">
      <c r="A9" s="39">
        <f>IF(C9="","","MIR-"&amp;TEXT(ROW()-4,"0000"))</f>
        <v/>
      </c>
      <c r="B9" s="47" t="n"/>
      <c r="C9" s="40" t="n"/>
      <c r="D9" s="39">
        <f>IF(C9="","",IFERROR(INDEX('أوامر التوريد'!$C$5:$C$304,MATCH(C9,'أوامر التوريد'!$A$5:$A$304,0)),""))</f>
        <v/>
      </c>
      <c r="E9" s="49">
        <f>IF(C9="","",IFERROR(INDEX('أوامر التوريد'!$E$5:$E$304,MATCH(C9,'أوامر التوريد'!$A$5:$A$304,0)),""))</f>
        <v/>
      </c>
      <c r="F9" s="39">
        <f>IF(C9="","",IFERROR(INDEX('أوامر التوريد'!$G$5:$G$304,MATCH(C9,'أوامر التوريد'!$A$5:$A$304,0)),""))</f>
        <v/>
      </c>
      <c r="G9" s="49">
        <f>IF(C9="","",IFERROR(INDEX('أوامر التوريد'!$H$5:$H$304,MATCH(C9,'أوامر التوريد'!$A$5:$A$304,0)),""))</f>
        <v/>
      </c>
      <c r="H9" s="39">
        <f>IF(C9="","",IFERROR(INDEX('أوامر التوريد'!$I$5:$I$304,MATCH(C9,'أوامر التوريد'!$A$5:$A$304,0)),""))</f>
        <v/>
      </c>
      <c r="I9" s="40" t="n"/>
      <c r="J9" s="41" t="n"/>
      <c r="K9" s="41" t="n"/>
      <c r="L9" s="46">
        <f>IF(J9="","",J9-K9)</f>
        <v/>
      </c>
      <c r="M9" s="49">
        <f>IF(J9="","",IF(K9=0,"مرفوض",IF(K9&lt;J9,"مقبول جزئياً","مقبول")))</f>
        <v/>
      </c>
      <c r="N9" s="40" t="n"/>
      <c r="O9" s="40" t="n"/>
    </row>
    <row r="10">
      <c r="A10" s="39">
        <f>IF(C10="","","MIR-"&amp;TEXT(ROW()-4,"0000"))</f>
        <v/>
      </c>
      <c r="B10" s="47" t="n"/>
      <c r="C10" s="40" t="n"/>
      <c r="D10" s="39">
        <f>IF(C10="","",IFERROR(INDEX('أوامر التوريد'!$C$5:$C$304,MATCH(C10,'أوامر التوريد'!$A$5:$A$304,0)),""))</f>
        <v/>
      </c>
      <c r="E10" s="49">
        <f>IF(C10="","",IFERROR(INDEX('أوامر التوريد'!$E$5:$E$304,MATCH(C10,'أوامر التوريد'!$A$5:$A$304,0)),""))</f>
        <v/>
      </c>
      <c r="F10" s="39">
        <f>IF(C10="","",IFERROR(INDEX('أوامر التوريد'!$G$5:$G$304,MATCH(C10,'أوامر التوريد'!$A$5:$A$304,0)),""))</f>
        <v/>
      </c>
      <c r="G10" s="49">
        <f>IF(C10="","",IFERROR(INDEX('أوامر التوريد'!$H$5:$H$304,MATCH(C10,'أوامر التوريد'!$A$5:$A$304,0)),""))</f>
        <v/>
      </c>
      <c r="H10" s="39">
        <f>IF(C10="","",IFERROR(INDEX('أوامر التوريد'!$I$5:$I$304,MATCH(C10,'أوامر التوريد'!$A$5:$A$304,0)),""))</f>
        <v/>
      </c>
      <c r="I10" s="40" t="n"/>
      <c r="J10" s="41" t="n"/>
      <c r="K10" s="41" t="n"/>
      <c r="L10" s="46">
        <f>IF(J10="","",J10-K10)</f>
        <v/>
      </c>
      <c r="M10" s="49">
        <f>IF(J10="","",IF(K10=0,"مرفوض",IF(K10&lt;J10,"مقبول جزئياً","مقبول")))</f>
        <v/>
      </c>
      <c r="N10" s="40" t="n"/>
      <c r="O10" s="40" t="n"/>
    </row>
    <row r="11">
      <c r="A11" s="39">
        <f>IF(C11="","","MIR-"&amp;TEXT(ROW()-4,"0000"))</f>
        <v/>
      </c>
      <c r="B11" s="47" t="n"/>
      <c r="C11" s="40" t="n"/>
      <c r="D11" s="39">
        <f>IF(C11="","",IFERROR(INDEX('أوامر التوريد'!$C$5:$C$304,MATCH(C11,'أوامر التوريد'!$A$5:$A$304,0)),""))</f>
        <v/>
      </c>
      <c r="E11" s="49">
        <f>IF(C11="","",IFERROR(INDEX('أوامر التوريد'!$E$5:$E$304,MATCH(C11,'أوامر التوريد'!$A$5:$A$304,0)),""))</f>
        <v/>
      </c>
      <c r="F11" s="39">
        <f>IF(C11="","",IFERROR(INDEX('أوامر التوريد'!$G$5:$G$304,MATCH(C11,'أوامر التوريد'!$A$5:$A$304,0)),""))</f>
        <v/>
      </c>
      <c r="G11" s="49">
        <f>IF(C11="","",IFERROR(INDEX('أوامر التوريد'!$H$5:$H$304,MATCH(C11,'أوامر التوريد'!$A$5:$A$304,0)),""))</f>
        <v/>
      </c>
      <c r="H11" s="39">
        <f>IF(C11="","",IFERROR(INDEX('أوامر التوريد'!$I$5:$I$304,MATCH(C11,'أوامر التوريد'!$A$5:$A$304,0)),""))</f>
        <v/>
      </c>
      <c r="I11" s="40" t="n"/>
      <c r="J11" s="41" t="n"/>
      <c r="K11" s="41" t="n"/>
      <c r="L11" s="46">
        <f>IF(J11="","",J11-K11)</f>
        <v/>
      </c>
      <c r="M11" s="49">
        <f>IF(J11="","",IF(K11=0,"مرفوض",IF(K11&lt;J11,"مقبول جزئياً","مقبول")))</f>
        <v/>
      </c>
      <c r="N11" s="40" t="n"/>
      <c r="O11" s="40" t="n"/>
    </row>
    <row r="12">
      <c r="A12" s="39">
        <f>IF(C12="","","MIR-"&amp;TEXT(ROW()-4,"0000"))</f>
        <v/>
      </c>
      <c r="B12" s="47" t="n"/>
      <c r="C12" s="40" t="n"/>
      <c r="D12" s="39">
        <f>IF(C12="","",IFERROR(INDEX('أوامر التوريد'!$C$5:$C$304,MATCH(C12,'أوامر التوريد'!$A$5:$A$304,0)),""))</f>
        <v/>
      </c>
      <c r="E12" s="49">
        <f>IF(C12="","",IFERROR(INDEX('أوامر التوريد'!$E$5:$E$304,MATCH(C12,'أوامر التوريد'!$A$5:$A$304,0)),""))</f>
        <v/>
      </c>
      <c r="F12" s="39">
        <f>IF(C12="","",IFERROR(INDEX('أوامر التوريد'!$G$5:$G$304,MATCH(C12,'أوامر التوريد'!$A$5:$A$304,0)),""))</f>
        <v/>
      </c>
      <c r="G12" s="49">
        <f>IF(C12="","",IFERROR(INDEX('أوامر التوريد'!$H$5:$H$304,MATCH(C12,'أوامر التوريد'!$A$5:$A$304,0)),""))</f>
        <v/>
      </c>
      <c r="H12" s="39">
        <f>IF(C12="","",IFERROR(INDEX('أوامر التوريد'!$I$5:$I$304,MATCH(C12,'أوامر التوريد'!$A$5:$A$304,0)),""))</f>
        <v/>
      </c>
      <c r="I12" s="40" t="n"/>
      <c r="J12" s="41" t="n"/>
      <c r="K12" s="41" t="n"/>
      <c r="L12" s="46">
        <f>IF(J12="","",J12-K12)</f>
        <v/>
      </c>
      <c r="M12" s="49">
        <f>IF(J12="","",IF(K12=0,"مرفوض",IF(K12&lt;J12,"مقبول جزئياً","مقبول")))</f>
        <v/>
      </c>
      <c r="N12" s="40" t="n"/>
      <c r="O12" s="40" t="n"/>
    </row>
    <row r="13">
      <c r="A13" s="39">
        <f>IF(C13="","","MIR-"&amp;TEXT(ROW()-4,"0000"))</f>
        <v/>
      </c>
      <c r="B13" s="47" t="n"/>
      <c r="C13" s="40" t="n"/>
      <c r="D13" s="39">
        <f>IF(C13="","",IFERROR(INDEX('أوامر التوريد'!$C$5:$C$304,MATCH(C13,'أوامر التوريد'!$A$5:$A$304,0)),""))</f>
        <v/>
      </c>
      <c r="E13" s="49">
        <f>IF(C13="","",IFERROR(INDEX('أوامر التوريد'!$E$5:$E$304,MATCH(C13,'أوامر التوريد'!$A$5:$A$304,0)),""))</f>
        <v/>
      </c>
      <c r="F13" s="39">
        <f>IF(C13="","",IFERROR(INDEX('أوامر التوريد'!$G$5:$G$304,MATCH(C13,'أوامر التوريد'!$A$5:$A$304,0)),""))</f>
        <v/>
      </c>
      <c r="G13" s="49">
        <f>IF(C13="","",IFERROR(INDEX('أوامر التوريد'!$H$5:$H$304,MATCH(C13,'أوامر التوريد'!$A$5:$A$304,0)),""))</f>
        <v/>
      </c>
      <c r="H13" s="39">
        <f>IF(C13="","",IFERROR(INDEX('أوامر التوريد'!$I$5:$I$304,MATCH(C13,'أوامر التوريد'!$A$5:$A$304,0)),""))</f>
        <v/>
      </c>
      <c r="I13" s="40" t="n"/>
      <c r="J13" s="41" t="n"/>
      <c r="K13" s="41" t="n"/>
      <c r="L13" s="46">
        <f>IF(J13="","",J13-K13)</f>
        <v/>
      </c>
      <c r="M13" s="49">
        <f>IF(J13="","",IF(K13=0,"مرفوض",IF(K13&lt;J13,"مقبول جزئياً","مقبول")))</f>
        <v/>
      </c>
      <c r="N13" s="40" t="n"/>
      <c r="O13" s="40" t="n"/>
    </row>
    <row r="14">
      <c r="A14" s="39">
        <f>IF(C14="","","MIR-"&amp;TEXT(ROW()-4,"0000"))</f>
        <v/>
      </c>
      <c r="B14" s="47" t="n"/>
      <c r="C14" s="40" t="n"/>
      <c r="D14" s="39">
        <f>IF(C14="","",IFERROR(INDEX('أوامر التوريد'!$C$5:$C$304,MATCH(C14,'أوامر التوريد'!$A$5:$A$304,0)),""))</f>
        <v/>
      </c>
      <c r="E14" s="49">
        <f>IF(C14="","",IFERROR(INDEX('أوامر التوريد'!$E$5:$E$304,MATCH(C14,'أوامر التوريد'!$A$5:$A$304,0)),""))</f>
        <v/>
      </c>
      <c r="F14" s="39">
        <f>IF(C14="","",IFERROR(INDEX('أوامر التوريد'!$G$5:$G$304,MATCH(C14,'أوامر التوريد'!$A$5:$A$304,0)),""))</f>
        <v/>
      </c>
      <c r="G14" s="49">
        <f>IF(C14="","",IFERROR(INDEX('أوامر التوريد'!$H$5:$H$304,MATCH(C14,'أوامر التوريد'!$A$5:$A$304,0)),""))</f>
        <v/>
      </c>
      <c r="H14" s="39">
        <f>IF(C14="","",IFERROR(INDEX('أوامر التوريد'!$I$5:$I$304,MATCH(C14,'أوامر التوريد'!$A$5:$A$304,0)),""))</f>
        <v/>
      </c>
      <c r="I14" s="40" t="n"/>
      <c r="J14" s="41" t="n"/>
      <c r="K14" s="41" t="n"/>
      <c r="L14" s="46">
        <f>IF(J14="","",J14-K14)</f>
        <v/>
      </c>
      <c r="M14" s="49">
        <f>IF(J14="","",IF(K14=0,"مرفوض",IF(K14&lt;J14,"مقبول جزئياً","مقبول")))</f>
        <v/>
      </c>
      <c r="N14" s="40" t="n"/>
      <c r="O14" s="40" t="n"/>
    </row>
    <row r="15">
      <c r="A15" s="39">
        <f>IF(C15="","","MIR-"&amp;TEXT(ROW()-4,"0000"))</f>
        <v/>
      </c>
      <c r="B15" s="47" t="n"/>
      <c r="C15" s="40" t="n"/>
      <c r="D15" s="39">
        <f>IF(C15="","",IFERROR(INDEX('أوامر التوريد'!$C$5:$C$304,MATCH(C15,'أوامر التوريد'!$A$5:$A$304,0)),""))</f>
        <v/>
      </c>
      <c r="E15" s="49">
        <f>IF(C15="","",IFERROR(INDEX('أوامر التوريد'!$E$5:$E$304,MATCH(C15,'أوامر التوريد'!$A$5:$A$304,0)),""))</f>
        <v/>
      </c>
      <c r="F15" s="39">
        <f>IF(C15="","",IFERROR(INDEX('أوامر التوريد'!$G$5:$G$304,MATCH(C15,'أوامر التوريد'!$A$5:$A$304,0)),""))</f>
        <v/>
      </c>
      <c r="G15" s="49">
        <f>IF(C15="","",IFERROR(INDEX('أوامر التوريد'!$H$5:$H$304,MATCH(C15,'أوامر التوريد'!$A$5:$A$304,0)),""))</f>
        <v/>
      </c>
      <c r="H15" s="39">
        <f>IF(C15="","",IFERROR(INDEX('أوامر التوريد'!$I$5:$I$304,MATCH(C15,'أوامر التوريد'!$A$5:$A$304,0)),""))</f>
        <v/>
      </c>
      <c r="I15" s="40" t="n"/>
      <c r="J15" s="41" t="n"/>
      <c r="K15" s="41" t="n"/>
      <c r="L15" s="46">
        <f>IF(J15="","",J15-K15)</f>
        <v/>
      </c>
      <c r="M15" s="49">
        <f>IF(J15="","",IF(K15=0,"مرفوض",IF(K15&lt;J15,"مقبول جزئياً","مقبول")))</f>
        <v/>
      </c>
      <c r="N15" s="40" t="n"/>
      <c r="O15" s="40" t="n"/>
    </row>
    <row r="16">
      <c r="A16" s="39">
        <f>IF(C16="","","MIR-"&amp;TEXT(ROW()-4,"0000"))</f>
        <v/>
      </c>
      <c r="B16" s="47" t="n"/>
      <c r="C16" s="40" t="n"/>
      <c r="D16" s="39">
        <f>IF(C16="","",IFERROR(INDEX('أوامر التوريد'!$C$5:$C$304,MATCH(C16,'أوامر التوريد'!$A$5:$A$304,0)),""))</f>
        <v/>
      </c>
      <c r="E16" s="49">
        <f>IF(C16="","",IFERROR(INDEX('أوامر التوريد'!$E$5:$E$304,MATCH(C16,'أوامر التوريد'!$A$5:$A$304,0)),""))</f>
        <v/>
      </c>
      <c r="F16" s="39">
        <f>IF(C16="","",IFERROR(INDEX('أوامر التوريد'!$G$5:$G$304,MATCH(C16,'أوامر التوريد'!$A$5:$A$304,0)),""))</f>
        <v/>
      </c>
      <c r="G16" s="49">
        <f>IF(C16="","",IFERROR(INDEX('أوامر التوريد'!$H$5:$H$304,MATCH(C16,'أوامر التوريد'!$A$5:$A$304,0)),""))</f>
        <v/>
      </c>
      <c r="H16" s="39">
        <f>IF(C16="","",IFERROR(INDEX('أوامر التوريد'!$I$5:$I$304,MATCH(C16,'أوامر التوريد'!$A$5:$A$304,0)),""))</f>
        <v/>
      </c>
      <c r="I16" s="40" t="n"/>
      <c r="J16" s="41" t="n"/>
      <c r="K16" s="41" t="n"/>
      <c r="L16" s="46">
        <f>IF(J16="","",J16-K16)</f>
        <v/>
      </c>
      <c r="M16" s="49">
        <f>IF(J16="","",IF(K16=0,"مرفوض",IF(K16&lt;J16,"مقبول جزئياً","مقبول")))</f>
        <v/>
      </c>
      <c r="N16" s="40" t="n"/>
      <c r="O16" s="40" t="n"/>
    </row>
    <row r="17">
      <c r="A17" s="39">
        <f>IF(C17="","","MIR-"&amp;TEXT(ROW()-4,"0000"))</f>
        <v/>
      </c>
      <c r="B17" s="47" t="n"/>
      <c r="C17" s="40" t="n"/>
      <c r="D17" s="39">
        <f>IF(C17="","",IFERROR(INDEX('أوامر التوريد'!$C$5:$C$304,MATCH(C17,'أوامر التوريد'!$A$5:$A$304,0)),""))</f>
        <v/>
      </c>
      <c r="E17" s="49">
        <f>IF(C17="","",IFERROR(INDEX('أوامر التوريد'!$E$5:$E$304,MATCH(C17,'أوامر التوريد'!$A$5:$A$304,0)),""))</f>
        <v/>
      </c>
      <c r="F17" s="39">
        <f>IF(C17="","",IFERROR(INDEX('أوامر التوريد'!$G$5:$G$304,MATCH(C17,'أوامر التوريد'!$A$5:$A$304,0)),""))</f>
        <v/>
      </c>
      <c r="G17" s="49">
        <f>IF(C17="","",IFERROR(INDEX('أوامر التوريد'!$H$5:$H$304,MATCH(C17,'أوامر التوريد'!$A$5:$A$304,0)),""))</f>
        <v/>
      </c>
      <c r="H17" s="39">
        <f>IF(C17="","",IFERROR(INDEX('أوامر التوريد'!$I$5:$I$304,MATCH(C17,'أوامر التوريد'!$A$5:$A$304,0)),""))</f>
        <v/>
      </c>
      <c r="I17" s="40" t="n"/>
      <c r="J17" s="41" t="n"/>
      <c r="K17" s="41" t="n"/>
      <c r="L17" s="46">
        <f>IF(J17="","",J17-K17)</f>
        <v/>
      </c>
      <c r="M17" s="49">
        <f>IF(J17="","",IF(K17=0,"مرفوض",IF(K17&lt;J17,"مقبول جزئياً","مقبول")))</f>
        <v/>
      </c>
      <c r="N17" s="40" t="n"/>
      <c r="O17" s="40" t="n"/>
    </row>
    <row r="18">
      <c r="A18" s="39">
        <f>IF(C18="","","MIR-"&amp;TEXT(ROW()-4,"0000"))</f>
        <v/>
      </c>
      <c r="B18" s="47" t="n"/>
      <c r="C18" s="40" t="n"/>
      <c r="D18" s="39">
        <f>IF(C18="","",IFERROR(INDEX('أوامر التوريد'!$C$5:$C$304,MATCH(C18,'أوامر التوريد'!$A$5:$A$304,0)),""))</f>
        <v/>
      </c>
      <c r="E18" s="49">
        <f>IF(C18="","",IFERROR(INDEX('أوامر التوريد'!$E$5:$E$304,MATCH(C18,'أوامر التوريد'!$A$5:$A$304,0)),""))</f>
        <v/>
      </c>
      <c r="F18" s="39">
        <f>IF(C18="","",IFERROR(INDEX('أوامر التوريد'!$G$5:$G$304,MATCH(C18,'أوامر التوريد'!$A$5:$A$304,0)),""))</f>
        <v/>
      </c>
      <c r="G18" s="49">
        <f>IF(C18="","",IFERROR(INDEX('أوامر التوريد'!$H$5:$H$304,MATCH(C18,'أوامر التوريد'!$A$5:$A$304,0)),""))</f>
        <v/>
      </c>
      <c r="H18" s="39">
        <f>IF(C18="","",IFERROR(INDEX('أوامر التوريد'!$I$5:$I$304,MATCH(C18,'أوامر التوريد'!$A$5:$A$304,0)),""))</f>
        <v/>
      </c>
      <c r="I18" s="40" t="n"/>
      <c r="J18" s="41" t="n"/>
      <c r="K18" s="41" t="n"/>
      <c r="L18" s="46">
        <f>IF(J18="","",J18-K18)</f>
        <v/>
      </c>
      <c r="M18" s="49">
        <f>IF(J18="","",IF(K18=0,"مرفوض",IF(K18&lt;J18,"مقبول جزئياً","مقبول")))</f>
        <v/>
      </c>
      <c r="N18" s="40" t="n"/>
      <c r="O18" s="40" t="n"/>
    </row>
    <row r="19">
      <c r="A19" s="39">
        <f>IF(C19="","","MIR-"&amp;TEXT(ROW()-4,"0000"))</f>
        <v/>
      </c>
      <c r="B19" s="47" t="n"/>
      <c r="C19" s="40" t="n"/>
      <c r="D19" s="39">
        <f>IF(C19="","",IFERROR(INDEX('أوامر التوريد'!$C$5:$C$304,MATCH(C19,'أوامر التوريد'!$A$5:$A$304,0)),""))</f>
        <v/>
      </c>
      <c r="E19" s="49">
        <f>IF(C19="","",IFERROR(INDEX('أوامر التوريد'!$E$5:$E$304,MATCH(C19,'أوامر التوريد'!$A$5:$A$304,0)),""))</f>
        <v/>
      </c>
      <c r="F19" s="39">
        <f>IF(C19="","",IFERROR(INDEX('أوامر التوريد'!$G$5:$G$304,MATCH(C19,'أوامر التوريد'!$A$5:$A$304,0)),""))</f>
        <v/>
      </c>
      <c r="G19" s="49">
        <f>IF(C19="","",IFERROR(INDEX('أوامر التوريد'!$H$5:$H$304,MATCH(C19,'أوامر التوريد'!$A$5:$A$304,0)),""))</f>
        <v/>
      </c>
      <c r="H19" s="39">
        <f>IF(C19="","",IFERROR(INDEX('أوامر التوريد'!$I$5:$I$304,MATCH(C19,'أوامر التوريد'!$A$5:$A$304,0)),""))</f>
        <v/>
      </c>
      <c r="I19" s="40" t="n"/>
      <c r="J19" s="41" t="n"/>
      <c r="K19" s="41" t="n"/>
      <c r="L19" s="46">
        <f>IF(J19="","",J19-K19)</f>
        <v/>
      </c>
      <c r="M19" s="49">
        <f>IF(J19="","",IF(K19=0,"مرفوض",IF(K19&lt;J19,"مقبول جزئياً","مقبول")))</f>
        <v/>
      </c>
      <c r="N19" s="40" t="n"/>
      <c r="O19" s="40" t="n"/>
    </row>
    <row r="20">
      <c r="A20" s="39">
        <f>IF(C20="","","MIR-"&amp;TEXT(ROW()-4,"0000"))</f>
        <v/>
      </c>
      <c r="B20" s="47" t="n"/>
      <c r="C20" s="40" t="n"/>
      <c r="D20" s="39">
        <f>IF(C20="","",IFERROR(INDEX('أوامر التوريد'!$C$5:$C$304,MATCH(C20,'أوامر التوريد'!$A$5:$A$304,0)),""))</f>
        <v/>
      </c>
      <c r="E20" s="49">
        <f>IF(C20="","",IFERROR(INDEX('أوامر التوريد'!$E$5:$E$304,MATCH(C20,'أوامر التوريد'!$A$5:$A$304,0)),""))</f>
        <v/>
      </c>
      <c r="F20" s="39">
        <f>IF(C20="","",IFERROR(INDEX('أوامر التوريد'!$G$5:$G$304,MATCH(C20,'أوامر التوريد'!$A$5:$A$304,0)),""))</f>
        <v/>
      </c>
      <c r="G20" s="49">
        <f>IF(C20="","",IFERROR(INDEX('أوامر التوريد'!$H$5:$H$304,MATCH(C20,'أوامر التوريد'!$A$5:$A$304,0)),""))</f>
        <v/>
      </c>
      <c r="H20" s="39">
        <f>IF(C20="","",IFERROR(INDEX('أوامر التوريد'!$I$5:$I$304,MATCH(C20,'أوامر التوريد'!$A$5:$A$304,0)),""))</f>
        <v/>
      </c>
      <c r="I20" s="40" t="n"/>
      <c r="J20" s="41" t="n"/>
      <c r="K20" s="41" t="n"/>
      <c r="L20" s="46">
        <f>IF(J20="","",J20-K20)</f>
        <v/>
      </c>
      <c r="M20" s="49">
        <f>IF(J20="","",IF(K20=0,"مرفوض",IF(K20&lt;J20,"مقبول جزئياً","مقبول")))</f>
        <v/>
      </c>
      <c r="N20" s="40" t="n"/>
      <c r="O20" s="40" t="n"/>
    </row>
    <row r="21">
      <c r="A21" s="39">
        <f>IF(C21="","","MIR-"&amp;TEXT(ROW()-4,"0000"))</f>
        <v/>
      </c>
      <c r="B21" s="47" t="n"/>
      <c r="C21" s="40" t="n"/>
      <c r="D21" s="39">
        <f>IF(C21="","",IFERROR(INDEX('أوامر التوريد'!$C$5:$C$304,MATCH(C21,'أوامر التوريد'!$A$5:$A$304,0)),""))</f>
        <v/>
      </c>
      <c r="E21" s="49">
        <f>IF(C21="","",IFERROR(INDEX('أوامر التوريد'!$E$5:$E$304,MATCH(C21,'أوامر التوريد'!$A$5:$A$304,0)),""))</f>
        <v/>
      </c>
      <c r="F21" s="39">
        <f>IF(C21="","",IFERROR(INDEX('أوامر التوريد'!$G$5:$G$304,MATCH(C21,'أوامر التوريد'!$A$5:$A$304,0)),""))</f>
        <v/>
      </c>
      <c r="G21" s="49">
        <f>IF(C21="","",IFERROR(INDEX('أوامر التوريد'!$H$5:$H$304,MATCH(C21,'أوامر التوريد'!$A$5:$A$304,0)),""))</f>
        <v/>
      </c>
      <c r="H21" s="39">
        <f>IF(C21="","",IFERROR(INDEX('أوامر التوريد'!$I$5:$I$304,MATCH(C21,'أوامر التوريد'!$A$5:$A$304,0)),""))</f>
        <v/>
      </c>
      <c r="I21" s="40" t="n"/>
      <c r="J21" s="41" t="n"/>
      <c r="K21" s="41" t="n"/>
      <c r="L21" s="46">
        <f>IF(J21="","",J21-K21)</f>
        <v/>
      </c>
      <c r="M21" s="49">
        <f>IF(J21="","",IF(K21=0,"مرفوض",IF(K21&lt;J21,"مقبول جزئياً","مقبول")))</f>
        <v/>
      </c>
      <c r="N21" s="40" t="n"/>
      <c r="O21" s="40" t="n"/>
    </row>
    <row r="22">
      <c r="A22" s="39">
        <f>IF(C22="","","MIR-"&amp;TEXT(ROW()-4,"0000"))</f>
        <v/>
      </c>
      <c r="B22" s="47" t="n"/>
      <c r="C22" s="40" t="n"/>
      <c r="D22" s="39">
        <f>IF(C22="","",IFERROR(INDEX('أوامر التوريد'!$C$5:$C$304,MATCH(C22,'أوامر التوريد'!$A$5:$A$304,0)),""))</f>
        <v/>
      </c>
      <c r="E22" s="49">
        <f>IF(C22="","",IFERROR(INDEX('أوامر التوريد'!$E$5:$E$304,MATCH(C22,'أوامر التوريد'!$A$5:$A$304,0)),""))</f>
        <v/>
      </c>
      <c r="F22" s="39">
        <f>IF(C22="","",IFERROR(INDEX('أوامر التوريد'!$G$5:$G$304,MATCH(C22,'أوامر التوريد'!$A$5:$A$304,0)),""))</f>
        <v/>
      </c>
      <c r="G22" s="49">
        <f>IF(C22="","",IFERROR(INDEX('أوامر التوريد'!$H$5:$H$304,MATCH(C22,'أوامر التوريد'!$A$5:$A$304,0)),""))</f>
        <v/>
      </c>
      <c r="H22" s="39">
        <f>IF(C22="","",IFERROR(INDEX('أوامر التوريد'!$I$5:$I$304,MATCH(C22,'أوامر التوريد'!$A$5:$A$304,0)),""))</f>
        <v/>
      </c>
      <c r="I22" s="40" t="n"/>
      <c r="J22" s="41" t="n"/>
      <c r="K22" s="41" t="n"/>
      <c r="L22" s="46">
        <f>IF(J22="","",J22-K22)</f>
        <v/>
      </c>
      <c r="M22" s="49">
        <f>IF(J22="","",IF(K22=0,"مرفوض",IF(K22&lt;J22,"مقبول جزئياً","مقبول")))</f>
        <v/>
      </c>
      <c r="N22" s="40" t="n"/>
      <c r="O22" s="40" t="n"/>
    </row>
    <row r="23">
      <c r="A23" s="39">
        <f>IF(C23="","","MIR-"&amp;TEXT(ROW()-4,"0000"))</f>
        <v/>
      </c>
      <c r="B23" s="47" t="n"/>
      <c r="C23" s="40" t="n"/>
      <c r="D23" s="39">
        <f>IF(C23="","",IFERROR(INDEX('أوامر التوريد'!$C$5:$C$304,MATCH(C23,'أوامر التوريد'!$A$5:$A$304,0)),""))</f>
        <v/>
      </c>
      <c r="E23" s="49">
        <f>IF(C23="","",IFERROR(INDEX('أوامر التوريد'!$E$5:$E$304,MATCH(C23,'أوامر التوريد'!$A$5:$A$304,0)),""))</f>
        <v/>
      </c>
      <c r="F23" s="39">
        <f>IF(C23="","",IFERROR(INDEX('أوامر التوريد'!$G$5:$G$304,MATCH(C23,'أوامر التوريد'!$A$5:$A$304,0)),""))</f>
        <v/>
      </c>
      <c r="G23" s="49">
        <f>IF(C23="","",IFERROR(INDEX('أوامر التوريد'!$H$5:$H$304,MATCH(C23,'أوامر التوريد'!$A$5:$A$304,0)),""))</f>
        <v/>
      </c>
      <c r="H23" s="39">
        <f>IF(C23="","",IFERROR(INDEX('أوامر التوريد'!$I$5:$I$304,MATCH(C23,'أوامر التوريد'!$A$5:$A$304,0)),""))</f>
        <v/>
      </c>
      <c r="I23" s="40" t="n"/>
      <c r="J23" s="41" t="n"/>
      <c r="K23" s="41" t="n"/>
      <c r="L23" s="46">
        <f>IF(J23="","",J23-K23)</f>
        <v/>
      </c>
      <c r="M23" s="49">
        <f>IF(J23="","",IF(K23=0,"مرفوض",IF(K23&lt;J23,"مقبول جزئياً","مقبول")))</f>
        <v/>
      </c>
      <c r="N23" s="40" t="n"/>
      <c r="O23" s="40" t="n"/>
    </row>
    <row r="24">
      <c r="A24" s="39">
        <f>IF(C24="","","MIR-"&amp;TEXT(ROW()-4,"0000"))</f>
        <v/>
      </c>
      <c r="B24" s="47" t="n"/>
      <c r="C24" s="40" t="n"/>
      <c r="D24" s="39">
        <f>IF(C24="","",IFERROR(INDEX('أوامر التوريد'!$C$5:$C$304,MATCH(C24,'أوامر التوريد'!$A$5:$A$304,0)),""))</f>
        <v/>
      </c>
      <c r="E24" s="49">
        <f>IF(C24="","",IFERROR(INDEX('أوامر التوريد'!$E$5:$E$304,MATCH(C24,'أوامر التوريد'!$A$5:$A$304,0)),""))</f>
        <v/>
      </c>
      <c r="F24" s="39">
        <f>IF(C24="","",IFERROR(INDEX('أوامر التوريد'!$G$5:$G$304,MATCH(C24,'أوامر التوريد'!$A$5:$A$304,0)),""))</f>
        <v/>
      </c>
      <c r="G24" s="49">
        <f>IF(C24="","",IFERROR(INDEX('أوامر التوريد'!$H$5:$H$304,MATCH(C24,'أوامر التوريد'!$A$5:$A$304,0)),""))</f>
        <v/>
      </c>
      <c r="H24" s="39">
        <f>IF(C24="","",IFERROR(INDEX('أوامر التوريد'!$I$5:$I$304,MATCH(C24,'أوامر التوريد'!$A$5:$A$304,0)),""))</f>
        <v/>
      </c>
      <c r="I24" s="40" t="n"/>
      <c r="J24" s="41" t="n"/>
      <c r="K24" s="41" t="n"/>
      <c r="L24" s="46">
        <f>IF(J24="","",J24-K24)</f>
        <v/>
      </c>
      <c r="M24" s="49">
        <f>IF(J24="","",IF(K24=0,"مرفوض",IF(K24&lt;J24,"مقبول جزئياً","مقبول")))</f>
        <v/>
      </c>
      <c r="N24" s="40" t="n"/>
      <c r="O24" s="40" t="n"/>
    </row>
    <row r="25">
      <c r="A25" s="39">
        <f>IF(C25="","","MIR-"&amp;TEXT(ROW()-4,"0000"))</f>
        <v/>
      </c>
      <c r="B25" s="47" t="n"/>
      <c r="C25" s="40" t="n"/>
      <c r="D25" s="39">
        <f>IF(C25="","",IFERROR(INDEX('أوامر التوريد'!$C$5:$C$304,MATCH(C25,'أوامر التوريد'!$A$5:$A$304,0)),""))</f>
        <v/>
      </c>
      <c r="E25" s="49">
        <f>IF(C25="","",IFERROR(INDEX('أوامر التوريد'!$E$5:$E$304,MATCH(C25,'أوامر التوريد'!$A$5:$A$304,0)),""))</f>
        <v/>
      </c>
      <c r="F25" s="39">
        <f>IF(C25="","",IFERROR(INDEX('أوامر التوريد'!$G$5:$G$304,MATCH(C25,'أوامر التوريد'!$A$5:$A$304,0)),""))</f>
        <v/>
      </c>
      <c r="G25" s="49">
        <f>IF(C25="","",IFERROR(INDEX('أوامر التوريد'!$H$5:$H$304,MATCH(C25,'أوامر التوريد'!$A$5:$A$304,0)),""))</f>
        <v/>
      </c>
      <c r="H25" s="39">
        <f>IF(C25="","",IFERROR(INDEX('أوامر التوريد'!$I$5:$I$304,MATCH(C25,'أوامر التوريد'!$A$5:$A$304,0)),""))</f>
        <v/>
      </c>
      <c r="I25" s="40" t="n"/>
      <c r="J25" s="41" t="n"/>
      <c r="K25" s="41" t="n"/>
      <c r="L25" s="46">
        <f>IF(J25="","",J25-K25)</f>
        <v/>
      </c>
      <c r="M25" s="49">
        <f>IF(J25="","",IF(K25=0,"مرفوض",IF(K25&lt;J25,"مقبول جزئياً","مقبول")))</f>
        <v/>
      </c>
      <c r="N25" s="40" t="n"/>
      <c r="O25" s="40" t="n"/>
    </row>
    <row r="26">
      <c r="A26" s="39">
        <f>IF(C26="","","MIR-"&amp;TEXT(ROW()-4,"0000"))</f>
        <v/>
      </c>
      <c r="B26" s="47" t="n"/>
      <c r="C26" s="40" t="n"/>
      <c r="D26" s="39">
        <f>IF(C26="","",IFERROR(INDEX('أوامر التوريد'!$C$5:$C$304,MATCH(C26,'أوامر التوريد'!$A$5:$A$304,0)),""))</f>
        <v/>
      </c>
      <c r="E26" s="49">
        <f>IF(C26="","",IFERROR(INDEX('أوامر التوريد'!$E$5:$E$304,MATCH(C26,'أوامر التوريد'!$A$5:$A$304,0)),""))</f>
        <v/>
      </c>
      <c r="F26" s="39">
        <f>IF(C26="","",IFERROR(INDEX('أوامر التوريد'!$G$5:$G$304,MATCH(C26,'أوامر التوريد'!$A$5:$A$304,0)),""))</f>
        <v/>
      </c>
      <c r="G26" s="49">
        <f>IF(C26="","",IFERROR(INDEX('أوامر التوريد'!$H$5:$H$304,MATCH(C26,'أوامر التوريد'!$A$5:$A$304,0)),""))</f>
        <v/>
      </c>
      <c r="H26" s="39">
        <f>IF(C26="","",IFERROR(INDEX('أوامر التوريد'!$I$5:$I$304,MATCH(C26,'أوامر التوريد'!$A$5:$A$304,0)),""))</f>
        <v/>
      </c>
      <c r="I26" s="40" t="n"/>
      <c r="J26" s="41" t="n"/>
      <c r="K26" s="41" t="n"/>
      <c r="L26" s="46">
        <f>IF(J26="","",J26-K26)</f>
        <v/>
      </c>
      <c r="M26" s="49">
        <f>IF(J26="","",IF(K26=0,"مرفوض",IF(K26&lt;J26,"مقبول جزئياً","مقبول")))</f>
        <v/>
      </c>
      <c r="N26" s="40" t="n"/>
      <c r="O26" s="40" t="n"/>
    </row>
    <row r="27">
      <c r="A27" s="39">
        <f>IF(C27="","","MIR-"&amp;TEXT(ROW()-4,"0000"))</f>
        <v/>
      </c>
      <c r="B27" s="47" t="n"/>
      <c r="C27" s="40" t="n"/>
      <c r="D27" s="39">
        <f>IF(C27="","",IFERROR(INDEX('أوامر التوريد'!$C$5:$C$304,MATCH(C27,'أوامر التوريد'!$A$5:$A$304,0)),""))</f>
        <v/>
      </c>
      <c r="E27" s="49">
        <f>IF(C27="","",IFERROR(INDEX('أوامر التوريد'!$E$5:$E$304,MATCH(C27,'أوامر التوريد'!$A$5:$A$304,0)),""))</f>
        <v/>
      </c>
      <c r="F27" s="39">
        <f>IF(C27="","",IFERROR(INDEX('أوامر التوريد'!$G$5:$G$304,MATCH(C27,'أوامر التوريد'!$A$5:$A$304,0)),""))</f>
        <v/>
      </c>
      <c r="G27" s="49">
        <f>IF(C27="","",IFERROR(INDEX('أوامر التوريد'!$H$5:$H$304,MATCH(C27,'أوامر التوريد'!$A$5:$A$304,0)),""))</f>
        <v/>
      </c>
      <c r="H27" s="39">
        <f>IF(C27="","",IFERROR(INDEX('أوامر التوريد'!$I$5:$I$304,MATCH(C27,'أوامر التوريد'!$A$5:$A$304,0)),""))</f>
        <v/>
      </c>
      <c r="I27" s="40" t="n"/>
      <c r="J27" s="41" t="n"/>
      <c r="K27" s="41" t="n"/>
      <c r="L27" s="46">
        <f>IF(J27="","",J27-K27)</f>
        <v/>
      </c>
      <c r="M27" s="49">
        <f>IF(J27="","",IF(K27=0,"مرفوض",IF(K27&lt;J27,"مقبول جزئياً","مقبول")))</f>
        <v/>
      </c>
      <c r="N27" s="40" t="n"/>
      <c r="O27" s="40" t="n"/>
    </row>
    <row r="28">
      <c r="A28" s="39">
        <f>IF(C28="","","MIR-"&amp;TEXT(ROW()-4,"0000"))</f>
        <v/>
      </c>
      <c r="B28" s="47" t="n"/>
      <c r="C28" s="40" t="n"/>
      <c r="D28" s="39">
        <f>IF(C28="","",IFERROR(INDEX('أوامر التوريد'!$C$5:$C$304,MATCH(C28,'أوامر التوريد'!$A$5:$A$304,0)),""))</f>
        <v/>
      </c>
      <c r="E28" s="49">
        <f>IF(C28="","",IFERROR(INDEX('أوامر التوريد'!$E$5:$E$304,MATCH(C28,'أوامر التوريد'!$A$5:$A$304,0)),""))</f>
        <v/>
      </c>
      <c r="F28" s="39">
        <f>IF(C28="","",IFERROR(INDEX('أوامر التوريد'!$G$5:$G$304,MATCH(C28,'أوامر التوريد'!$A$5:$A$304,0)),""))</f>
        <v/>
      </c>
      <c r="G28" s="49">
        <f>IF(C28="","",IFERROR(INDEX('أوامر التوريد'!$H$5:$H$304,MATCH(C28,'أوامر التوريد'!$A$5:$A$304,0)),""))</f>
        <v/>
      </c>
      <c r="H28" s="39">
        <f>IF(C28="","",IFERROR(INDEX('أوامر التوريد'!$I$5:$I$304,MATCH(C28,'أوامر التوريد'!$A$5:$A$304,0)),""))</f>
        <v/>
      </c>
      <c r="I28" s="40" t="n"/>
      <c r="J28" s="41" t="n"/>
      <c r="K28" s="41" t="n"/>
      <c r="L28" s="46">
        <f>IF(J28="","",J28-K28)</f>
        <v/>
      </c>
      <c r="M28" s="49">
        <f>IF(J28="","",IF(K28=0,"مرفوض",IF(K28&lt;J28,"مقبول جزئياً","مقبول")))</f>
        <v/>
      </c>
      <c r="N28" s="40" t="n"/>
      <c r="O28" s="40" t="n"/>
    </row>
    <row r="29">
      <c r="A29" s="39">
        <f>IF(C29="","","MIR-"&amp;TEXT(ROW()-4,"0000"))</f>
        <v/>
      </c>
      <c r="B29" s="47" t="n"/>
      <c r="C29" s="40" t="n"/>
      <c r="D29" s="39">
        <f>IF(C29="","",IFERROR(INDEX('أوامر التوريد'!$C$5:$C$304,MATCH(C29,'أوامر التوريد'!$A$5:$A$304,0)),""))</f>
        <v/>
      </c>
      <c r="E29" s="49">
        <f>IF(C29="","",IFERROR(INDEX('أوامر التوريد'!$E$5:$E$304,MATCH(C29,'أوامر التوريد'!$A$5:$A$304,0)),""))</f>
        <v/>
      </c>
      <c r="F29" s="39">
        <f>IF(C29="","",IFERROR(INDEX('أوامر التوريد'!$G$5:$G$304,MATCH(C29,'أوامر التوريد'!$A$5:$A$304,0)),""))</f>
        <v/>
      </c>
      <c r="G29" s="49">
        <f>IF(C29="","",IFERROR(INDEX('أوامر التوريد'!$H$5:$H$304,MATCH(C29,'أوامر التوريد'!$A$5:$A$304,0)),""))</f>
        <v/>
      </c>
      <c r="H29" s="39">
        <f>IF(C29="","",IFERROR(INDEX('أوامر التوريد'!$I$5:$I$304,MATCH(C29,'أوامر التوريد'!$A$5:$A$304,0)),""))</f>
        <v/>
      </c>
      <c r="I29" s="40" t="n"/>
      <c r="J29" s="41" t="n"/>
      <c r="K29" s="41" t="n"/>
      <c r="L29" s="46">
        <f>IF(J29="","",J29-K29)</f>
        <v/>
      </c>
      <c r="M29" s="49">
        <f>IF(J29="","",IF(K29=0,"مرفوض",IF(K29&lt;J29,"مقبول جزئياً","مقبول")))</f>
        <v/>
      </c>
      <c r="N29" s="40" t="n"/>
      <c r="O29" s="40" t="n"/>
    </row>
    <row r="30">
      <c r="A30" s="39">
        <f>IF(C30="","","MIR-"&amp;TEXT(ROW()-4,"0000"))</f>
        <v/>
      </c>
      <c r="B30" s="47" t="n"/>
      <c r="C30" s="40" t="n"/>
      <c r="D30" s="39">
        <f>IF(C30="","",IFERROR(INDEX('أوامر التوريد'!$C$5:$C$304,MATCH(C30,'أوامر التوريد'!$A$5:$A$304,0)),""))</f>
        <v/>
      </c>
      <c r="E30" s="49">
        <f>IF(C30="","",IFERROR(INDEX('أوامر التوريد'!$E$5:$E$304,MATCH(C30,'أوامر التوريد'!$A$5:$A$304,0)),""))</f>
        <v/>
      </c>
      <c r="F30" s="39">
        <f>IF(C30="","",IFERROR(INDEX('أوامر التوريد'!$G$5:$G$304,MATCH(C30,'أوامر التوريد'!$A$5:$A$304,0)),""))</f>
        <v/>
      </c>
      <c r="G30" s="49">
        <f>IF(C30="","",IFERROR(INDEX('أوامر التوريد'!$H$5:$H$304,MATCH(C30,'أوامر التوريد'!$A$5:$A$304,0)),""))</f>
        <v/>
      </c>
      <c r="H30" s="39">
        <f>IF(C30="","",IFERROR(INDEX('أوامر التوريد'!$I$5:$I$304,MATCH(C30,'أوامر التوريد'!$A$5:$A$304,0)),""))</f>
        <v/>
      </c>
      <c r="I30" s="40" t="n"/>
      <c r="J30" s="41" t="n"/>
      <c r="K30" s="41" t="n"/>
      <c r="L30" s="46">
        <f>IF(J30="","",J30-K30)</f>
        <v/>
      </c>
      <c r="M30" s="49">
        <f>IF(J30="","",IF(K30=0,"مرفوض",IF(K30&lt;J30,"مقبول جزئياً","مقبول")))</f>
        <v/>
      </c>
      <c r="N30" s="40" t="n"/>
      <c r="O30" s="40" t="n"/>
    </row>
    <row r="31">
      <c r="A31" s="39">
        <f>IF(C31="","","MIR-"&amp;TEXT(ROW()-4,"0000"))</f>
        <v/>
      </c>
      <c r="B31" s="47" t="n"/>
      <c r="C31" s="40" t="n"/>
      <c r="D31" s="39">
        <f>IF(C31="","",IFERROR(INDEX('أوامر التوريد'!$C$5:$C$304,MATCH(C31,'أوامر التوريد'!$A$5:$A$304,0)),""))</f>
        <v/>
      </c>
      <c r="E31" s="49">
        <f>IF(C31="","",IFERROR(INDEX('أوامر التوريد'!$E$5:$E$304,MATCH(C31,'أوامر التوريد'!$A$5:$A$304,0)),""))</f>
        <v/>
      </c>
      <c r="F31" s="39">
        <f>IF(C31="","",IFERROR(INDEX('أوامر التوريد'!$G$5:$G$304,MATCH(C31,'أوامر التوريد'!$A$5:$A$304,0)),""))</f>
        <v/>
      </c>
      <c r="G31" s="49">
        <f>IF(C31="","",IFERROR(INDEX('أوامر التوريد'!$H$5:$H$304,MATCH(C31,'أوامر التوريد'!$A$5:$A$304,0)),""))</f>
        <v/>
      </c>
      <c r="H31" s="39">
        <f>IF(C31="","",IFERROR(INDEX('أوامر التوريد'!$I$5:$I$304,MATCH(C31,'أوامر التوريد'!$A$5:$A$304,0)),""))</f>
        <v/>
      </c>
      <c r="I31" s="40" t="n"/>
      <c r="J31" s="41" t="n"/>
      <c r="K31" s="41" t="n"/>
      <c r="L31" s="46">
        <f>IF(J31="","",J31-K31)</f>
        <v/>
      </c>
      <c r="M31" s="49">
        <f>IF(J31="","",IF(K31=0,"مرفوض",IF(K31&lt;J31,"مقبول جزئياً","مقبول")))</f>
        <v/>
      </c>
      <c r="N31" s="40" t="n"/>
      <c r="O31" s="40" t="n"/>
    </row>
    <row r="32">
      <c r="A32" s="39">
        <f>IF(C32="","","MIR-"&amp;TEXT(ROW()-4,"0000"))</f>
        <v/>
      </c>
      <c r="B32" s="47" t="n"/>
      <c r="C32" s="40" t="n"/>
      <c r="D32" s="39">
        <f>IF(C32="","",IFERROR(INDEX('أوامر التوريد'!$C$5:$C$304,MATCH(C32,'أوامر التوريد'!$A$5:$A$304,0)),""))</f>
        <v/>
      </c>
      <c r="E32" s="49">
        <f>IF(C32="","",IFERROR(INDEX('أوامر التوريد'!$E$5:$E$304,MATCH(C32,'أوامر التوريد'!$A$5:$A$304,0)),""))</f>
        <v/>
      </c>
      <c r="F32" s="39">
        <f>IF(C32="","",IFERROR(INDEX('أوامر التوريد'!$G$5:$G$304,MATCH(C32,'أوامر التوريد'!$A$5:$A$304,0)),""))</f>
        <v/>
      </c>
      <c r="G32" s="49">
        <f>IF(C32="","",IFERROR(INDEX('أوامر التوريد'!$H$5:$H$304,MATCH(C32,'أوامر التوريد'!$A$5:$A$304,0)),""))</f>
        <v/>
      </c>
      <c r="H32" s="39">
        <f>IF(C32="","",IFERROR(INDEX('أوامر التوريد'!$I$5:$I$304,MATCH(C32,'أوامر التوريد'!$A$5:$A$304,0)),""))</f>
        <v/>
      </c>
      <c r="I32" s="40" t="n"/>
      <c r="J32" s="41" t="n"/>
      <c r="K32" s="41" t="n"/>
      <c r="L32" s="46">
        <f>IF(J32="","",J32-K32)</f>
        <v/>
      </c>
      <c r="M32" s="49">
        <f>IF(J32="","",IF(K32=0,"مرفوض",IF(K32&lt;J32,"مقبول جزئياً","مقبول")))</f>
        <v/>
      </c>
      <c r="N32" s="40" t="n"/>
      <c r="O32" s="40" t="n"/>
    </row>
    <row r="33">
      <c r="A33" s="39">
        <f>IF(C33="","","MIR-"&amp;TEXT(ROW()-4,"0000"))</f>
        <v/>
      </c>
      <c r="B33" s="47" t="n"/>
      <c r="C33" s="40" t="n"/>
      <c r="D33" s="39">
        <f>IF(C33="","",IFERROR(INDEX('أوامر التوريد'!$C$5:$C$304,MATCH(C33,'أوامر التوريد'!$A$5:$A$304,0)),""))</f>
        <v/>
      </c>
      <c r="E33" s="49">
        <f>IF(C33="","",IFERROR(INDEX('أوامر التوريد'!$E$5:$E$304,MATCH(C33,'أوامر التوريد'!$A$5:$A$304,0)),""))</f>
        <v/>
      </c>
      <c r="F33" s="39">
        <f>IF(C33="","",IFERROR(INDEX('أوامر التوريد'!$G$5:$G$304,MATCH(C33,'أوامر التوريد'!$A$5:$A$304,0)),""))</f>
        <v/>
      </c>
      <c r="G33" s="49">
        <f>IF(C33="","",IFERROR(INDEX('أوامر التوريد'!$H$5:$H$304,MATCH(C33,'أوامر التوريد'!$A$5:$A$304,0)),""))</f>
        <v/>
      </c>
      <c r="H33" s="39">
        <f>IF(C33="","",IFERROR(INDEX('أوامر التوريد'!$I$5:$I$304,MATCH(C33,'أوامر التوريد'!$A$5:$A$304,0)),""))</f>
        <v/>
      </c>
      <c r="I33" s="40" t="n"/>
      <c r="J33" s="41" t="n"/>
      <c r="K33" s="41" t="n"/>
      <c r="L33" s="46">
        <f>IF(J33="","",J33-K33)</f>
        <v/>
      </c>
      <c r="M33" s="49">
        <f>IF(J33="","",IF(K33=0,"مرفوض",IF(K33&lt;J33,"مقبول جزئياً","مقبول")))</f>
        <v/>
      </c>
      <c r="N33" s="40" t="n"/>
      <c r="O33" s="40" t="n"/>
    </row>
    <row r="34">
      <c r="A34" s="39">
        <f>IF(C34="","","MIR-"&amp;TEXT(ROW()-4,"0000"))</f>
        <v/>
      </c>
      <c r="B34" s="47" t="n"/>
      <c r="C34" s="40" t="n"/>
      <c r="D34" s="39">
        <f>IF(C34="","",IFERROR(INDEX('أوامر التوريد'!$C$5:$C$304,MATCH(C34,'أوامر التوريد'!$A$5:$A$304,0)),""))</f>
        <v/>
      </c>
      <c r="E34" s="49">
        <f>IF(C34="","",IFERROR(INDEX('أوامر التوريد'!$E$5:$E$304,MATCH(C34,'أوامر التوريد'!$A$5:$A$304,0)),""))</f>
        <v/>
      </c>
      <c r="F34" s="39">
        <f>IF(C34="","",IFERROR(INDEX('أوامر التوريد'!$G$5:$G$304,MATCH(C34,'أوامر التوريد'!$A$5:$A$304,0)),""))</f>
        <v/>
      </c>
      <c r="G34" s="49">
        <f>IF(C34="","",IFERROR(INDEX('أوامر التوريد'!$H$5:$H$304,MATCH(C34,'أوامر التوريد'!$A$5:$A$304,0)),""))</f>
        <v/>
      </c>
      <c r="H34" s="39">
        <f>IF(C34="","",IFERROR(INDEX('أوامر التوريد'!$I$5:$I$304,MATCH(C34,'أوامر التوريد'!$A$5:$A$304,0)),""))</f>
        <v/>
      </c>
      <c r="I34" s="40" t="n"/>
      <c r="J34" s="41" t="n"/>
      <c r="K34" s="41" t="n"/>
      <c r="L34" s="46">
        <f>IF(J34="","",J34-K34)</f>
        <v/>
      </c>
      <c r="M34" s="49">
        <f>IF(J34="","",IF(K34=0,"مرفوض",IF(K34&lt;J34,"مقبول جزئياً","مقبول")))</f>
        <v/>
      </c>
      <c r="N34" s="40" t="n"/>
      <c r="O34" s="40" t="n"/>
    </row>
    <row r="35">
      <c r="A35" s="39">
        <f>IF(C35="","","MIR-"&amp;TEXT(ROW()-4,"0000"))</f>
        <v/>
      </c>
      <c r="B35" s="47" t="n"/>
      <c r="C35" s="40" t="n"/>
      <c r="D35" s="39">
        <f>IF(C35="","",IFERROR(INDEX('أوامر التوريد'!$C$5:$C$304,MATCH(C35,'أوامر التوريد'!$A$5:$A$304,0)),""))</f>
        <v/>
      </c>
      <c r="E35" s="49">
        <f>IF(C35="","",IFERROR(INDEX('أوامر التوريد'!$E$5:$E$304,MATCH(C35,'أوامر التوريد'!$A$5:$A$304,0)),""))</f>
        <v/>
      </c>
      <c r="F35" s="39">
        <f>IF(C35="","",IFERROR(INDEX('أوامر التوريد'!$G$5:$G$304,MATCH(C35,'أوامر التوريد'!$A$5:$A$304,0)),""))</f>
        <v/>
      </c>
      <c r="G35" s="49">
        <f>IF(C35="","",IFERROR(INDEX('أوامر التوريد'!$H$5:$H$304,MATCH(C35,'أوامر التوريد'!$A$5:$A$304,0)),""))</f>
        <v/>
      </c>
      <c r="H35" s="39">
        <f>IF(C35="","",IFERROR(INDEX('أوامر التوريد'!$I$5:$I$304,MATCH(C35,'أوامر التوريد'!$A$5:$A$304,0)),""))</f>
        <v/>
      </c>
      <c r="I35" s="40" t="n"/>
      <c r="J35" s="41" t="n"/>
      <c r="K35" s="41" t="n"/>
      <c r="L35" s="46">
        <f>IF(J35="","",J35-K35)</f>
        <v/>
      </c>
      <c r="M35" s="49">
        <f>IF(J35="","",IF(K35=0,"مرفوض",IF(K35&lt;J35,"مقبول جزئياً","مقبول")))</f>
        <v/>
      </c>
      <c r="N35" s="40" t="n"/>
      <c r="O35" s="40" t="n"/>
    </row>
    <row r="36">
      <c r="A36" s="39">
        <f>IF(C36="","","MIR-"&amp;TEXT(ROW()-4,"0000"))</f>
        <v/>
      </c>
      <c r="B36" s="47" t="n"/>
      <c r="C36" s="40" t="n"/>
      <c r="D36" s="39">
        <f>IF(C36="","",IFERROR(INDEX('أوامر التوريد'!$C$5:$C$304,MATCH(C36,'أوامر التوريد'!$A$5:$A$304,0)),""))</f>
        <v/>
      </c>
      <c r="E36" s="49">
        <f>IF(C36="","",IFERROR(INDEX('أوامر التوريد'!$E$5:$E$304,MATCH(C36,'أوامر التوريد'!$A$5:$A$304,0)),""))</f>
        <v/>
      </c>
      <c r="F36" s="39">
        <f>IF(C36="","",IFERROR(INDEX('أوامر التوريد'!$G$5:$G$304,MATCH(C36,'أوامر التوريد'!$A$5:$A$304,0)),""))</f>
        <v/>
      </c>
      <c r="G36" s="49">
        <f>IF(C36="","",IFERROR(INDEX('أوامر التوريد'!$H$5:$H$304,MATCH(C36,'أوامر التوريد'!$A$5:$A$304,0)),""))</f>
        <v/>
      </c>
      <c r="H36" s="39">
        <f>IF(C36="","",IFERROR(INDEX('أوامر التوريد'!$I$5:$I$304,MATCH(C36,'أوامر التوريد'!$A$5:$A$304,0)),""))</f>
        <v/>
      </c>
      <c r="I36" s="40" t="n"/>
      <c r="J36" s="41" t="n"/>
      <c r="K36" s="41" t="n"/>
      <c r="L36" s="46">
        <f>IF(J36="","",J36-K36)</f>
        <v/>
      </c>
      <c r="M36" s="49">
        <f>IF(J36="","",IF(K36=0,"مرفوض",IF(K36&lt;J36,"مقبول جزئياً","مقبول")))</f>
        <v/>
      </c>
      <c r="N36" s="40" t="n"/>
      <c r="O36" s="40" t="n"/>
    </row>
    <row r="37">
      <c r="A37" s="39">
        <f>IF(C37="","","MIR-"&amp;TEXT(ROW()-4,"0000"))</f>
        <v/>
      </c>
      <c r="B37" s="47" t="n"/>
      <c r="C37" s="40" t="n"/>
      <c r="D37" s="39">
        <f>IF(C37="","",IFERROR(INDEX('أوامر التوريد'!$C$5:$C$304,MATCH(C37,'أوامر التوريد'!$A$5:$A$304,0)),""))</f>
        <v/>
      </c>
      <c r="E37" s="49">
        <f>IF(C37="","",IFERROR(INDEX('أوامر التوريد'!$E$5:$E$304,MATCH(C37,'أوامر التوريد'!$A$5:$A$304,0)),""))</f>
        <v/>
      </c>
      <c r="F37" s="39">
        <f>IF(C37="","",IFERROR(INDEX('أوامر التوريد'!$G$5:$G$304,MATCH(C37,'أوامر التوريد'!$A$5:$A$304,0)),""))</f>
        <v/>
      </c>
      <c r="G37" s="49">
        <f>IF(C37="","",IFERROR(INDEX('أوامر التوريد'!$H$5:$H$304,MATCH(C37,'أوامر التوريد'!$A$5:$A$304,0)),""))</f>
        <v/>
      </c>
      <c r="H37" s="39">
        <f>IF(C37="","",IFERROR(INDEX('أوامر التوريد'!$I$5:$I$304,MATCH(C37,'أوامر التوريد'!$A$5:$A$304,0)),""))</f>
        <v/>
      </c>
      <c r="I37" s="40" t="n"/>
      <c r="J37" s="41" t="n"/>
      <c r="K37" s="41" t="n"/>
      <c r="L37" s="46">
        <f>IF(J37="","",J37-K37)</f>
        <v/>
      </c>
      <c r="M37" s="49">
        <f>IF(J37="","",IF(K37=0,"مرفوض",IF(K37&lt;J37,"مقبول جزئياً","مقبول")))</f>
        <v/>
      </c>
      <c r="N37" s="40" t="n"/>
      <c r="O37" s="40" t="n"/>
    </row>
    <row r="38">
      <c r="A38" s="39">
        <f>IF(C38="","","MIR-"&amp;TEXT(ROW()-4,"0000"))</f>
        <v/>
      </c>
      <c r="B38" s="47" t="n"/>
      <c r="C38" s="40" t="n"/>
      <c r="D38" s="39">
        <f>IF(C38="","",IFERROR(INDEX('أوامر التوريد'!$C$5:$C$304,MATCH(C38,'أوامر التوريد'!$A$5:$A$304,0)),""))</f>
        <v/>
      </c>
      <c r="E38" s="49">
        <f>IF(C38="","",IFERROR(INDEX('أوامر التوريد'!$E$5:$E$304,MATCH(C38,'أوامر التوريد'!$A$5:$A$304,0)),""))</f>
        <v/>
      </c>
      <c r="F38" s="39">
        <f>IF(C38="","",IFERROR(INDEX('أوامر التوريد'!$G$5:$G$304,MATCH(C38,'أوامر التوريد'!$A$5:$A$304,0)),""))</f>
        <v/>
      </c>
      <c r="G38" s="49">
        <f>IF(C38="","",IFERROR(INDEX('أوامر التوريد'!$H$5:$H$304,MATCH(C38,'أوامر التوريد'!$A$5:$A$304,0)),""))</f>
        <v/>
      </c>
      <c r="H38" s="39">
        <f>IF(C38="","",IFERROR(INDEX('أوامر التوريد'!$I$5:$I$304,MATCH(C38,'أوامر التوريد'!$A$5:$A$304,0)),""))</f>
        <v/>
      </c>
      <c r="I38" s="40" t="n"/>
      <c r="J38" s="41" t="n"/>
      <c r="K38" s="41" t="n"/>
      <c r="L38" s="46">
        <f>IF(J38="","",J38-K38)</f>
        <v/>
      </c>
      <c r="M38" s="49">
        <f>IF(J38="","",IF(K38=0,"مرفوض",IF(K38&lt;J38,"مقبول جزئياً","مقبول")))</f>
        <v/>
      </c>
      <c r="N38" s="40" t="n"/>
      <c r="O38" s="40" t="n"/>
    </row>
    <row r="39">
      <c r="A39" s="39">
        <f>IF(C39="","","MIR-"&amp;TEXT(ROW()-4,"0000"))</f>
        <v/>
      </c>
      <c r="B39" s="47" t="n"/>
      <c r="C39" s="40" t="n"/>
      <c r="D39" s="39">
        <f>IF(C39="","",IFERROR(INDEX('أوامر التوريد'!$C$5:$C$304,MATCH(C39,'أوامر التوريد'!$A$5:$A$304,0)),""))</f>
        <v/>
      </c>
      <c r="E39" s="49">
        <f>IF(C39="","",IFERROR(INDEX('أوامر التوريد'!$E$5:$E$304,MATCH(C39,'أوامر التوريد'!$A$5:$A$304,0)),""))</f>
        <v/>
      </c>
      <c r="F39" s="39">
        <f>IF(C39="","",IFERROR(INDEX('أوامر التوريد'!$G$5:$G$304,MATCH(C39,'أوامر التوريد'!$A$5:$A$304,0)),""))</f>
        <v/>
      </c>
      <c r="G39" s="49">
        <f>IF(C39="","",IFERROR(INDEX('أوامر التوريد'!$H$5:$H$304,MATCH(C39,'أوامر التوريد'!$A$5:$A$304,0)),""))</f>
        <v/>
      </c>
      <c r="H39" s="39">
        <f>IF(C39="","",IFERROR(INDEX('أوامر التوريد'!$I$5:$I$304,MATCH(C39,'أوامر التوريد'!$A$5:$A$304,0)),""))</f>
        <v/>
      </c>
      <c r="I39" s="40" t="n"/>
      <c r="J39" s="41" t="n"/>
      <c r="K39" s="41" t="n"/>
      <c r="L39" s="46">
        <f>IF(J39="","",J39-K39)</f>
        <v/>
      </c>
      <c r="M39" s="49">
        <f>IF(J39="","",IF(K39=0,"مرفوض",IF(K39&lt;J39,"مقبول جزئياً","مقبول")))</f>
        <v/>
      </c>
      <c r="N39" s="40" t="n"/>
      <c r="O39" s="40" t="n"/>
    </row>
    <row r="40">
      <c r="A40" s="39">
        <f>IF(C40="","","MIR-"&amp;TEXT(ROW()-4,"0000"))</f>
        <v/>
      </c>
      <c r="B40" s="47" t="n"/>
      <c r="C40" s="40" t="n"/>
      <c r="D40" s="39">
        <f>IF(C40="","",IFERROR(INDEX('أوامر التوريد'!$C$5:$C$304,MATCH(C40,'أوامر التوريد'!$A$5:$A$304,0)),""))</f>
        <v/>
      </c>
      <c r="E40" s="49">
        <f>IF(C40="","",IFERROR(INDEX('أوامر التوريد'!$E$5:$E$304,MATCH(C40,'أوامر التوريد'!$A$5:$A$304,0)),""))</f>
        <v/>
      </c>
      <c r="F40" s="39">
        <f>IF(C40="","",IFERROR(INDEX('أوامر التوريد'!$G$5:$G$304,MATCH(C40,'أوامر التوريد'!$A$5:$A$304,0)),""))</f>
        <v/>
      </c>
      <c r="G40" s="49">
        <f>IF(C40="","",IFERROR(INDEX('أوامر التوريد'!$H$5:$H$304,MATCH(C40,'أوامر التوريد'!$A$5:$A$304,0)),""))</f>
        <v/>
      </c>
      <c r="H40" s="39">
        <f>IF(C40="","",IFERROR(INDEX('أوامر التوريد'!$I$5:$I$304,MATCH(C40,'أوامر التوريد'!$A$5:$A$304,0)),""))</f>
        <v/>
      </c>
      <c r="I40" s="40" t="n"/>
      <c r="J40" s="41" t="n"/>
      <c r="K40" s="41" t="n"/>
      <c r="L40" s="46">
        <f>IF(J40="","",J40-K40)</f>
        <v/>
      </c>
      <c r="M40" s="49">
        <f>IF(J40="","",IF(K40=0,"مرفوض",IF(K40&lt;J40,"مقبول جزئياً","مقبول")))</f>
        <v/>
      </c>
      <c r="N40" s="40" t="n"/>
      <c r="O40" s="40" t="n"/>
    </row>
    <row r="41">
      <c r="A41" s="39">
        <f>IF(C41="","","MIR-"&amp;TEXT(ROW()-4,"0000"))</f>
        <v/>
      </c>
      <c r="B41" s="47" t="n"/>
      <c r="C41" s="40" t="n"/>
      <c r="D41" s="39">
        <f>IF(C41="","",IFERROR(INDEX('أوامر التوريد'!$C$5:$C$304,MATCH(C41,'أوامر التوريد'!$A$5:$A$304,0)),""))</f>
        <v/>
      </c>
      <c r="E41" s="49">
        <f>IF(C41="","",IFERROR(INDEX('أوامر التوريد'!$E$5:$E$304,MATCH(C41,'أوامر التوريد'!$A$5:$A$304,0)),""))</f>
        <v/>
      </c>
      <c r="F41" s="39">
        <f>IF(C41="","",IFERROR(INDEX('أوامر التوريد'!$G$5:$G$304,MATCH(C41,'أوامر التوريد'!$A$5:$A$304,0)),""))</f>
        <v/>
      </c>
      <c r="G41" s="49">
        <f>IF(C41="","",IFERROR(INDEX('أوامر التوريد'!$H$5:$H$304,MATCH(C41,'أوامر التوريد'!$A$5:$A$304,0)),""))</f>
        <v/>
      </c>
      <c r="H41" s="39">
        <f>IF(C41="","",IFERROR(INDEX('أوامر التوريد'!$I$5:$I$304,MATCH(C41,'أوامر التوريد'!$A$5:$A$304,0)),""))</f>
        <v/>
      </c>
      <c r="I41" s="40" t="n"/>
      <c r="J41" s="41" t="n"/>
      <c r="K41" s="41" t="n"/>
      <c r="L41" s="46">
        <f>IF(J41="","",J41-K41)</f>
        <v/>
      </c>
      <c r="M41" s="49">
        <f>IF(J41="","",IF(K41=0,"مرفوض",IF(K41&lt;J41,"مقبول جزئياً","مقبول")))</f>
        <v/>
      </c>
      <c r="N41" s="40" t="n"/>
      <c r="O41" s="40" t="n"/>
    </row>
    <row r="42">
      <c r="A42" s="39">
        <f>IF(C42="","","MIR-"&amp;TEXT(ROW()-4,"0000"))</f>
        <v/>
      </c>
      <c r="B42" s="47" t="n"/>
      <c r="C42" s="40" t="n"/>
      <c r="D42" s="39">
        <f>IF(C42="","",IFERROR(INDEX('أوامر التوريد'!$C$5:$C$304,MATCH(C42,'أوامر التوريد'!$A$5:$A$304,0)),""))</f>
        <v/>
      </c>
      <c r="E42" s="49">
        <f>IF(C42="","",IFERROR(INDEX('أوامر التوريد'!$E$5:$E$304,MATCH(C42,'أوامر التوريد'!$A$5:$A$304,0)),""))</f>
        <v/>
      </c>
      <c r="F42" s="39">
        <f>IF(C42="","",IFERROR(INDEX('أوامر التوريد'!$G$5:$G$304,MATCH(C42,'أوامر التوريد'!$A$5:$A$304,0)),""))</f>
        <v/>
      </c>
      <c r="G42" s="49">
        <f>IF(C42="","",IFERROR(INDEX('أوامر التوريد'!$H$5:$H$304,MATCH(C42,'أوامر التوريد'!$A$5:$A$304,0)),""))</f>
        <v/>
      </c>
      <c r="H42" s="39">
        <f>IF(C42="","",IFERROR(INDEX('أوامر التوريد'!$I$5:$I$304,MATCH(C42,'أوامر التوريد'!$A$5:$A$304,0)),""))</f>
        <v/>
      </c>
      <c r="I42" s="40" t="n"/>
      <c r="J42" s="41" t="n"/>
      <c r="K42" s="41" t="n"/>
      <c r="L42" s="46">
        <f>IF(J42="","",J42-K42)</f>
        <v/>
      </c>
      <c r="M42" s="49">
        <f>IF(J42="","",IF(K42=0,"مرفوض",IF(K42&lt;J42,"مقبول جزئياً","مقبول")))</f>
        <v/>
      </c>
      <c r="N42" s="40" t="n"/>
      <c r="O42" s="40" t="n"/>
    </row>
    <row r="43">
      <c r="A43" s="39">
        <f>IF(C43="","","MIR-"&amp;TEXT(ROW()-4,"0000"))</f>
        <v/>
      </c>
      <c r="B43" s="47" t="n"/>
      <c r="C43" s="40" t="n"/>
      <c r="D43" s="39">
        <f>IF(C43="","",IFERROR(INDEX('أوامر التوريد'!$C$5:$C$304,MATCH(C43,'أوامر التوريد'!$A$5:$A$304,0)),""))</f>
        <v/>
      </c>
      <c r="E43" s="49">
        <f>IF(C43="","",IFERROR(INDEX('أوامر التوريد'!$E$5:$E$304,MATCH(C43,'أوامر التوريد'!$A$5:$A$304,0)),""))</f>
        <v/>
      </c>
      <c r="F43" s="39">
        <f>IF(C43="","",IFERROR(INDEX('أوامر التوريد'!$G$5:$G$304,MATCH(C43,'أوامر التوريد'!$A$5:$A$304,0)),""))</f>
        <v/>
      </c>
      <c r="G43" s="49">
        <f>IF(C43="","",IFERROR(INDEX('أوامر التوريد'!$H$5:$H$304,MATCH(C43,'أوامر التوريد'!$A$5:$A$304,0)),""))</f>
        <v/>
      </c>
      <c r="H43" s="39">
        <f>IF(C43="","",IFERROR(INDEX('أوامر التوريد'!$I$5:$I$304,MATCH(C43,'أوامر التوريد'!$A$5:$A$304,0)),""))</f>
        <v/>
      </c>
      <c r="I43" s="40" t="n"/>
      <c r="J43" s="41" t="n"/>
      <c r="K43" s="41" t="n"/>
      <c r="L43" s="46">
        <f>IF(J43="","",J43-K43)</f>
        <v/>
      </c>
      <c r="M43" s="49">
        <f>IF(J43="","",IF(K43=0,"مرفوض",IF(K43&lt;J43,"مقبول جزئياً","مقبول")))</f>
        <v/>
      </c>
      <c r="N43" s="40" t="n"/>
      <c r="O43" s="40" t="n"/>
    </row>
    <row r="44">
      <c r="A44" s="39">
        <f>IF(C44="","","MIR-"&amp;TEXT(ROW()-4,"0000"))</f>
        <v/>
      </c>
      <c r="B44" s="47" t="n"/>
      <c r="C44" s="40" t="n"/>
      <c r="D44" s="39">
        <f>IF(C44="","",IFERROR(INDEX('أوامر التوريد'!$C$5:$C$304,MATCH(C44,'أوامر التوريد'!$A$5:$A$304,0)),""))</f>
        <v/>
      </c>
      <c r="E44" s="49">
        <f>IF(C44="","",IFERROR(INDEX('أوامر التوريد'!$E$5:$E$304,MATCH(C44,'أوامر التوريد'!$A$5:$A$304,0)),""))</f>
        <v/>
      </c>
      <c r="F44" s="39">
        <f>IF(C44="","",IFERROR(INDEX('أوامر التوريد'!$G$5:$G$304,MATCH(C44,'أوامر التوريد'!$A$5:$A$304,0)),""))</f>
        <v/>
      </c>
      <c r="G44" s="49">
        <f>IF(C44="","",IFERROR(INDEX('أوامر التوريد'!$H$5:$H$304,MATCH(C44,'أوامر التوريد'!$A$5:$A$304,0)),""))</f>
        <v/>
      </c>
      <c r="H44" s="39">
        <f>IF(C44="","",IFERROR(INDEX('أوامر التوريد'!$I$5:$I$304,MATCH(C44,'أوامر التوريد'!$A$5:$A$304,0)),""))</f>
        <v/>
      </c>
      <c r="I44" s="40" t="n"/>
      <c r="J44" s="41" t="n"/>
      <c r="K44" s="41" t="n"/>
      <c r="L44" s="46">
        <f>IF(J44="","",J44-K44)</f>
        <v/>
      </c>
      <c r="M44" s="49">
        <f>IF(J44="","",IF(K44=0,"مرفوض",IF(K44&lt;J44,"مقبول جزئياً","مقبول")))</f>
        <v/>
      </c>
      <c r="N44" s="40" t="n"/>
      <c r="O44" s="40" t="n"/>
    </row>
    <row r="45">
      <c r="A45" s="39">
        <f>IF(C45="","","MIR-"&amp;TEXT(ROW()-4,"0000"))</f>
        <v/>
      </c>
      <c r="B45" s="47" t="n"/>
      <c r="C45" s="40" t="n"/>
      <c r="D45" s="39">
        <f>IF(C45="","",IFERROR(INDEX('أوامر التوريد'!$C$5:$C$304,MATCH(C45,'أوامر التوريد'!$A$5:$A$304,0)),""))</f>
        <v/>
      </c>
      <c r="E45" s="49">
        <f>IF(C45="","",IFERROR(INDEX('أوامر التوريد'!$E$5:$E$304,MATCH(C45,'أوامر التوريد'!$A$5:$A$304,0)),""))</f>
        <v/>
      </c>
      <c r="F45" s="39">
        <f>IF(C45="","",IFERROR(INDEX('أوامر التوريد'!$G$5:$G$304,MATCH(C45,'أوامر التوريد'!$A$5:$A$304,0)),""))</f>
        <v/>
      </c>
      <c r="G45" s="49">
        <f>IF(C45="","",IFERROR(INDEX('أوامر التوريد'!$H$5:$H$304,MATCH(C45,'أوامر التوريد'!$A$5:$A$304,0)),""))</f>
        <v/>
      </c>
      <c r="H45" s="39">
        <f>IF(C45="","",IFERROR(INDEX('أوامر التوريد'!$I$5:$I$304,MATCH(C45,'أوامر التوريد'!$A$5:$A$304,0)),""))</f>
        <v/>
      </c>
      <c r="I45" s="40" t="n"/>
      <c r="J45" s="41" t="n"/>
      <c r="K45" s="41" t="n"/>
      <c r="L45" s="46">
        <f>IF(J45="","",J45-K45)</f>
        <v/>
      </c>
      <c r="M45" s="49">
        <f>IF(J45="","",IF(K45=0,"مرفوض",IF(K45&lt;J45,"مقبول جزئياً","مقبول")))</f>
        <v/>
      </c>
      <c r="N45" s="40" t="n"/>
      <c r="O45" s="40" t="n"/>
    </row>
    <row r="46">
      <c r="A46" s="39">
        <f>IF(C46="","","MIR-"&amp;TEXT(ROW()-4,"0000"))</f>
        <v/>
      </c>
      <c r="B46" s="47" t="n"/>
      <c r="C46" s="40" t="n"/>
      <c r="D46" s="39">
        <f>IF(C46="","",IFERROR(INDEX('أوامر التوريد'!$C$5:$C$304,MATCH(C46,'أوامر التوريد'!$A$5:$A$304,0)),""))</f>
        <v/>
      </c>
      <c r="E46" s="49">
        <f>IF(C46="","",IFERROR(INDEX('أوامر التوريد'!$E$5:$E$304,MATCH(C46,'أوامر التوريد'!$A$5:$A$304,0)),""))</f>
        <v/>
      </c>
      <c r="F46" s="39">
        <f>IF(C46="","",IFERROR(INDEX('أوامر التوريد'!$G$5:$G$304,MATCH(C46,'أوامر التوريد'!$A$5:$A$304,0)),""))</f>
        <v/>
      </c>
      <c r="G46" s="49">
        <f>IF(C46="","",IFERROR(INDEX('أوامر التوريد'!$H$5:$H$304,MATCH(C46,'أوامر التوريد'!$A$5:$A$304,0)),""))</f>
        <v/>
      </c>
      <c r="H46" s="39">
        <f>IF(C46="","",IFERROR(INDEX('أوامر التوريد'!$I$5:$I$304,MATCH(C46,'أوامر التوريد'!$A$5:$A$304,0)),""))</f>
        <v/>
      </c>
      <c r="I46" s="40" t="n"/>
      <c r="J46" s="41" t="n"/>
      <c r="K46" s="41" t="n"/>
      <c r="L46" s="46">
        <f>IF(J46="","",J46-K46)</f>
        <v/>
      </c>
      <c r="M46" s="49">
        <f>IF(J46="","",IF(K46=0,"مرفوض",IF(K46&lt;J46,"مقبول جزئياً","مقبول")))</f>
        <v/>
      </c>
      <c r="N46" s="40" t="n"/>
      <c r="O46" s="40" t="n"/>
    </row>
    <row r="47">
      <c r="A47" s="39">
        <f>IF(C47="","","MIR-"&amp;TEXT(ROW()-4,"0000"))</f>
        <v/>
      </c>
      <c r="B47" s="47" t="n"/>
      <c r="C47" s="40" t="n"/>
      <c r="D47" s="39">
        <f>IF(C47="","",IFERROR(INDEX('أوامر التوريد'!$C$5:$C$304,MATCH(C47,'أوامر التوريد'!$A$5:$A$304,0)),""))</f>
        <v/>
      </c>
      <c r="E47" s="49">
        <f>IF(C47="","",IFERROR(INDEX('أوامر التوريد'!$E$5:$E$304,MATCH(C47,'أوامر التوريد'!$A$5:$A$304,0)),""))</f>
        <v/>
      </c>
      <c r="F47" s="39">
        <f>IF(C47="","",IFERROR(INDEX('أوامر التوريد'!$G$5:$G$304,MATCH(C47,'أوامر التوريد'!$A$5:$A$304,0)),""))</f>
        <v/>
      </c>
      <c r="G47" s="49">
        <f>IF(C47="","",IFERROR(INDEX('أوامر التوريد'!$H$5:$H$304,MATCH(C47,'أوامر التوريد'!$A$5:$A$304,0)),""))</f>
        <v/>
      </c>
      <c r="H47" s="39">
        <f>IF(C47="","",IFERROR(INDEX('أوامر التوريد'!$I$5:$I$304,MATCH(C47,'أوامر التوريد'!$A$5:$A$304,0)),""))</f>
        <v/>
      </c>
      <c r="I47" s="40" t="n"/>
      <c r="J47" s="41" t="n"/>
      <c r="K47" s="41" t="n"/>
      <c r="L47" s="46">
        <f>IF(J47="","",J47-K47)</f>
        <v/>
      </c>
      <c r="M47" s="49">
        <f>IF(J47="","",IF(K47=0,"مرفوض",IF(K47&lt;J47,"مقبول جزئياً","مقبول")))</f>
        <v/>
      </c>
      <c r="N47" s="40" t="n"/>
      <c r="O47" s="40" t="n"/>
    </row>
    <row r="48">
      <c r="A48" s="39">
        <f>IF(C48="","","MIR-"&amp;TEXT(ROW()-4,"0000"))</f>
        <v/>
      </c>
      <c r="B48" s="47" t="n"/>
      <c r="C48" s="40" t="n"/>
      <c r="D48" s="39">
        <f>IF(C48="","",IFERROR(INDEX('أوامر التوريد'!$C$5:$C$304,MATCH(C48,'أوامر التوريد'!$A$5:$A$304,0)),""))</f>
        <v/>
      </c>
      <c r="E48" s="49">
        <f>IF(C48="","",IFERROR(INDEX('أوامر التوريد'!$E$5:$E$304,MATCH(C48,'أوامر التوريد'!$A$5:$A$304,0)),""))</f>
        <v/>
      </c>
      <c r="F48" s="39">
        <f>IF(C48="","",IFERROR(INDEX('أوامر التوريد'!$G$5:$G$304,MATCH(C48,'أوامر التوريد'!$A$5:$A$304,0)),""))</f>
        <v/>
      </c>
      <c r="G48" s="49">
        <f>IF(C48="","",IFERROR(INDEX('أوامر التوريد'!$H$5:$H$304,MATCH(C48,'أوامر التوريد'!$A$5:$A$304,0)),""))</f>
        <v/>
      </c>
      <c r="H48" s="39">
        <f>IF(C48="","",IFERROR(INDEX('أوامر التوريد'!$I$5:$I$304,MATCH(C48,'أوامر التوريد'!$A$5:$A$304,0)),""))</f>
        <v/>
      </c>
      <c r="I48" s="40" t="n"/>
      <c r="J48" s="41" t="n"/>
      <c r="K48" s="41" t="n"/>
      <c r="L48" s="46">
        <f>IF(J48="","",J48-K48)</f>
        <v/>
      </c>
      <c r="M48" s="49">
        <f>IF(J48="","",IF(K48=0,"مرفوض",IF(K48&lt;J48,"مقبول جزئياً","مقبول")))</f>
        <v/>
      </c>
      <c r="N48" s="40" t="n"/>
      <c r="O48" s="40" t="n"/>
    </row>
    <row r="49">
      <c r="A49" s="39">
        <f>IF(C49="","","MIR-"&amp;TEXT(ROW()-4,"0000"))</f>
        <v/>
      </c>
      <c r="B49" s="47" t="n"/>
      <c r="C49" s="40" t="n"/>
      <c r="D49" s="39">
        <f>IF(C49="","",IFERROR(INDEX('أوامر التوريد'!$C$5:$C$304,MATCH(C49,'أوامر التوريد'!$A$5:$A$304,0)),""))</f>
        <v/>
      </c>
      <c r="E49" s="49">
        <f>IF(C49="","",IFERROR(INDEX('أوامر التوريد'!$E$5:$E$304,MATCH(C49,'أوامر التوريد'!$A$5:$A$304,0)),""))</f>
        <v/>
      </c>
      <c r="F49" s="39">
        <f>IF(C49="","",IFERROR(INDEX('أوامر التوريد'!$G$5:$G$304,MATCH(C49,'أوامر التوريد'!$A$5:$A$304,0)),""))</f>
        <v/>
      </c>
      <c r="G49" s="49">
        <f>IF(C49="","",IFERROR(INDEX('أوامر التوريد'!$H$5:$H$304,MATCH(C49,'أوامر التوريد'!$A$5:$A$304,0)),""))</f>
        <v/>
      </c>
      <c r="H49" s="39">
        <f>IF(C49="","",IFERROR(INDEX('أوامر التوريد'!$I$5:$I$304,MATCH(C49,'أوامر التوريد'!$A$5:$A$304,0)),""))</f>
        <v/>
      </c>
      <c r="I49" s="40" t="n"/>
      <c r="J49" s="41" t="n"/>
      <c r="K49" s="41" t="n"/>
      <c r="L49" s="46">
        <f>IF(J49="","",J49-K49)</f>
        <v/>
      </c>
      <c r="M49" s="49">
        <f>IF(J49="","",IF(K49=0,"مرفوض",IF(K49&lt;J49,"مقبول جزئياً","مقبول")))</f>
        <v/>
      </c>
      <c r="N49" s="40" t="n"/>
      <c r="O49" s="40" t="n"/>
    </row>
    <row r="50">
      <c r="A50" s="39">
        <f>IF(C50="","","MIR-"&amp;TEXT(ROW()-4,"0000"))</f>
        <v/>
      </c>
      <c r="B50" s="47" t="n"/>
      <c r="C50" s="40" t="n"/>
      <c r="D50" s="39">
        <f>IF(C50="","",IFERROR(INDEX('أوامر التوريد'!$C$5:$C$304,MATCH(C50,'أوامر التوريد'!$A$5:$A$304,0)),""))</f>
        <v/>
      </c>
      <c r="E50" s="49">
        <f>IF(C50="","",IFERROR(INDEX('أوامر التوريد'!$E$5:$E$304,MATCH(C50,'أوامر التوريد'!$A$5:$A$304,0)),""))</f>
        <v/>
      </c>
      <c r="F50" s="39">
        <f>IF(C50="","",IFERROR(INDEX('أوامر التوريد'!$G$5:$G$304,MATCH(C50,'أوامر التوريد'!$A$5:$A$304,0)),""))</f>
        <v/>
      </c>
      <c r="G50" s="49">
        <f>IF(C50="","",IFERROR(INDEX('أوامر التوريد'!$H$5:$H$304,MATCH(C50,'أوامر التوريد'!$A$5:$A$304,0)),""))</f>
        <v/>
      </c>
      <c r="H50" s="39">
        <f>IF(C50="","",IFERROR(INDEX('أوامر التوريد'!$I$5:$I$304,MATCH(C50,'أوامر التوريد'!$A$5:$A$304,0)),""))</f>
        <v/>
      </c>
      <c r="I50" s="40" t="n"/>
      <c r="J50" s="41" t="n"/>
      <c r="K50" s="41" t="n"/>
      <c r="L50" s="46">
        <f>IF(J50="","",J50-K50)</f>
        <v/>
      </c>
      <c r="M50" s="49">
        <f>IF(J50="","",IF(K50=0,"مرفوض",IF(K50&lt;J50,"مقبول جزئياً","مقبول")))</f>
        <v/>
      </c>
      <c r="N50" s="40" t="n"/>
      <c r="O50" s="40" t="n"/>
    </row>
    <row r="51">
      <c r="A51" s="39">
        <f>IF(C51="","","MIR-"&amp;TEXT(ROW()-4,"0000"))</f>
        <v/>
      </c>
      <c r="B51" s="47" t="n"/>
      <c r="C51" s="40" t="n"/>
      <c r="D51" s="39">
        <f>IF(C51="","",IFERROR(INDEX('أوامر التوريد'!$C$5:$C$304,MATCH(C51,'أوامر التوريد'!$A$5:$A$304,0)),""))</f>
        <v/>
      </c>
      <c r="E51" s="49">
        <f>IF(C51="","",IFERROR(INDEX('أوامر التوريد'!$E$5:$E$304,MATCH(C51,'أوامر التوريد'!$A$5:$A$304,0)),""))</f>
        <v/>
      </c>
      <c r="F51" s="39">
        <f>IF(C51="","",IFERROR(INDEX('أوامر التوريد'!$G$5:$G$304,MATCH(C51,'أوامر التوريد'!$A$5:$A$304,0)),""))</f>
        <v/>
      </c>
      <c r="G51" s="49">
        <f>IF(C51="","",IFERROR(INDEX('أوامر التوريد'!$H$5:$H$304,MATCH(C51,'أوامر التوريد'!$A$5:$A$304,0)),""))</f>
        <v/>
      </c>
      <c r="H51" s="39">
        <f>IF(C51="","",IFERROR(INDEX('أوامر التوريد'!$I$5:$I$304,MATCH(C51,'أوامر التوريد'!$A$5:$A$304,0)),""))</f>
        <v/>
      </c>
      <c r="I51" s="40" t="n"/>
      <c r="J51" s="41" t="n"/>
      <c r="K51" s="41" t="n"/>
      <c r="L51" s="46">
        <f>IF(J51="","",J51-K51)</f>
        <v/>
      </c>
      <c r="M51" s="49">
        <f>IF(J51="","",IF(K51=0,"مرفوض",IF(K51&lt;J51,"مقبول جزئياً","مقبول")))</f>
        <v/>
      </c>
      <c r="N51" s="40" t="n"/>
      <c r="O51" s="40" t="n"/>
    </row>
    <row r="52">
      <c r="A52" s="39">
        <f>IF(C52="","","MIR-"&amp;TEXT(ROW()-4,"0000"))</f>
        <v/>
      </c>
      <c r="B52" s="47" t="n"/>
      <c r="C52" s="40" t="n"/>
      <c r="D52" s="39">
        <f>IF(C52="","",IFERROR(INDEX('أوامر التوريد'!$C$5:$C$304,MATCH(C52,'أوامر التوريد'!$A$5:$A$304,0)),""))</f>
        <v/>
      </c>
      <c r="E52" s="49">
        <f>IF(C52="","",IFERROR(INDEX('أوامر التوريد'!$E$5:$E$304,MATCH(C52,'أوامر التوريد'!$A$5:$A$304,0)),""))</f>
        <v/>
      </c>
      <c r="F52" s="39">
        <f>IF(C52="","",IFERROR(INDEX('أوامر التوريد'!$G$5:$G$304,MATCH(C52,'أوامر التوريد'!$A$5:$A$304,0)),""))</f>
        <v/>
      </c>
      <c r="G52" s="49">
        <f>IF(C52="","",IFERROR(INDEX('أوامر التوريد'!$H$5:$H$304,MATCH(C52,'أوامر التوريد'!$A$5:$A$304,0)),""))</f>
        <v/>
      </c>
      <c r="H52" s="39">
        <f>IF(C52="","",IFERROR(INDEX('أوامر التوريد'!$I$5:$I$304,MATCH(C52,'أوامر التوريد'!$A$5:$A$304,0)),""))</f>
        <v/>
      </c>
      <c r="I52" s="40" t="n"/>
      <c r="J52" s="41" t="n"/>
      <c r="K52" s="41" t="n"/>
      <c r="L52" s="46">
        <f>IF(J52="","",J52-K52)</f>
        <v/>
      </c>
      <c r="M52" s="49">
        <f>IF(J52="","",IF(K52=0,"مرفوض",IF(K52&lt;J52,"مقبول جزئياً","مقبول")))</f>
        <v/>
      </c>
      <c r="N52" s="40" t="n"/>
      <c r="O52" s="40" t="n"/>
    </row>
    <row r="53">
      <c r="A53" s="39">
        <f>IF(C53="","","MIR-"&amp;TEXT(ROW()-4,"0000"))</f>
        <v/>
      </c>
      <c r="B53" s="47" t="n"/>
      <c r="C53" s="40" t="n"/>
      <c r="D53" s="39">
        <f>IF(C53="","",IFERROR(INDEX('أوامر التوريد'!$C$5:$C$304,MATCH(C53,'أوامر التوريد'!$A$5:$A$304,0)),""))</f>
        <v/>
      </c>
      <c r="E53" s="49">
        <f>IF(C53="","",IFERROR(INDEX('أوامر التوريد'!$E$5:$E$304,MATCH(C53,'أوامر التوريد'!$A$5:$A$304,0)),""))</f>
        <v/>
      </c>
      <c r="F53" s="39">
        <f>IF(C53="","",IFERROR(INDEX('أوامر التوريد'!$G$5:$G$304,MATCH(C53,'أوامر التوريد'!$A$5:$A$304,0)),""))</f>
        <v/>
      </c>
      <c r="G53" s="49">
        <f>IF(C53="","",IFERROR(INDEX('أوامر التوريد'!$H$5:$H$304,MATCH(C53,'أوامر التوريد'!$A$5:$A$304,0)),""))</f>
        <v/>
      </c>
      <c r="H53" s="39">
        <f>IF(C53="","",IFERROR(INDEX('أوامر التوريد'!$I$5:$I$304,MATCH(C53,'أوامر التوريد'!$A$5:$A$304,0)),""))</f>
        <v/>
      </c>
      <c r="I53" s="40" t="n"/>
      <c r="J53" s="41" t="n"/>
      <c r="K53" s="41" t="n"/>
      <c r="L53" s="46">
        <f>IF(J53="","",J53-K53)</f>
        <v/>
      </c>
      <c r="M53" s="49">
        <f>IF(J53="","",IF(K53=0,"مرفوض",IF(K53&lt;J53,"مقبول جزئياً","مقبول")))</f>
        <v/>
      </c>
      <c r="N53" s="40" t="n"/>
      <c r="O53" s="40" t="n"/>
    </row>
    <row r="54">
      <c r="A54" s="39">
        <f>IF(C54="","","MIR-"&amp;TEXT(ROW()-4,"0000"))</f>
        <v/>
      </c>
      <c r="B54" s="47" t="n"/>
      <c r="C54" s="40" t="n"/>
      <c r="D54" s="39">
        <f>IF(C54="","",IFERROR(INDEX('أوامر التوريد'!$C$5:$C$304,MATCH(C54,'أوامر التوريد'!$A$5:$A$304,0)),""))</f>
        <v/>
      </c>
      <c r="E54" s="49">
        <f>IF(C54="","",IFERROR(INDEX('أوامر التوريد'!$E$5:$E$304,MATCH(C54,'أوامر التوريد'!$A$5:$A$304,0)),""))</f>
        <v/>
      </c>
      <c r="F54" s="39">
        <f>IF(C54="","",IFERROR(INDEX('أوامر التوريد'!$G$5:$G$304,MATCH(C54,'أوامر التوريد'!$A$5:$A$304,0)),""))</f>
        <v/>
      </c>
      <c r="G54" s="49">
        <f>IF(C54="","",IFERROR(INDEX('أوامر التوريد'!$H$5:$H$304,MATCH(C54,'أوامر التوريد'!$A$5:$A$304,0)),""))</f>
        <v/>
      </c>
      <c r="H54" s="39">
        <f>IF(C54="","",IFERROR(INDEX('أوامر التوريد'!$I$5:$I$304,MATCH(C54,'أوامر التوريد'!$A$5:$A$304,0)),""))</f>
        <v/>
      </c>
      <c r="I54" s="40" t="n"/>
      <c r="J54" s="41" t="n"/>
      <c r="K54" s="41" t="n"/>
      <c r="L54" s="46">
        <f>IF(J54="","",J54-K54)</f>
        <v/>
      </c>
      <c r="M54" s="49">
        <f>IF(J54="","",IF(K54=0,"مرفوض",IF(K54&lt;J54,"مقبول جزئياً","مقبول")))</f>
        <v/>
      </c>
      <c r="N54" s="40" t="n"/>
      <c r="O54" s="40" t="n"/>
    </row>
    <row r="55">
      <c r="A55" s="39">
        <f>IF(C55="","","MIR-"&amp;TEXT(ROW()-4,"0000"))</f>
        <v/>
      </c>
      <c r="B55" s="47" t="n"/>
      <c r="C55" s="40" t="n"/>
      <c r="D55" s="39">
        <f>IF(C55="","",IFERROR(INDEX('أوامر التوريد'!$C$5:$C$304,MATCH(C55,'أوامر التوريد'!$A$5:$A$304,0)),""))</f>
        <v/>
      </c>
      <c r="E55" s="49">
        <f>IF(C55="","",IFERROR(INDEX('أوامر التوريد'!$E$5:$E$304,MATCH(C55,'أوامر التوريد'!$A$5:$A$304,0)),""))</f>
        <v/>
      </c>
      <c r="F55" s="39">
        <f>IF(C55="","",IFERROR(INDEX('أوامر التوريد'!$G$5:$G$304,MATCH(C55,'أوامر التوريد'!$A$5:$A$304,0)),""))</f>
        <v/>
      </c>
      <c r="G55" s="49">
        <f>IF(C55="","",IFERROR(INDEX('أوامر التوريد'!$H$5:$H$304,MATCH(C55,'أوامر التوريد'!$A$5:$A$304,0)),""))</f>
        <v/>
      </c>
      <c r="H55" s="39">
        <f>IF(C55="","",IFERROR(INDEX('أوامر التوريد'!$I$5:$I$304,MATCH(C55,'أوامر التوريد'!$A$5:$A$304,0)),""))</f>
        <v/>
      </c>
      <c r="I55" s="40" t="n"/>
      <c r="J55" s="41" t="n"/>
      <c r="K55" s="41" t="n"/>
      <c r="L55" s="46">
        <f>IF(J55="","",J55-K55)</f>
        <v/>
      </c>
      <c r="M55" s="49">
        <f>IF(J55="","",IF(K55=0,"مرفوض",IF(K55&lt;J55,"مقبول جزئياً","مقبول")))</f>
        <v/>
      </c>
      <c r="N55" s="40" t="n"/>
      <c r="O55" s="40" t="n"/>
    </row>
    <row r="56">
      <c r="A56" s="39">
        <f>IF(C56="","","MIR-"&amp;TEXT(ROW()-4,"0000"))</f>
        <v/>
      </c>
      <c r="B56" s="47" t="n"/>
      <c r="C56" s="40" t="n"/>
      <c r="D56" s="39">
        <f>IF(C56="","",IFERROR(INDEX('أوامر التوريد'!$C$5:$C$304,MATCH(C56,'أوامر التوريد'!$A$5:$A$304,0)),""))</f>
        <v/>
      </c>
      <c r="E56" s="49">
        <f>IF(C56="","",IFERROR(INDEX('أوامر التوريد'!$E$5:$E$304,MATCH(C56,'أوامر التوريد'!$A$5:$A$304,0)),""))</f>
        <v/>
      </c>
      <c r="F56" s="39">
        <f>IF(C56="","",IFERROR(INDEX('أوامر التوريد'!$G$5:$G$304,MATCH(C56,'أوامر التوريد'!$A$5:$A$304,0)),""))</f>
        <v/>
      </c>
      <c r="G56" s="49">
        <f>IF(C56="","",IFERROR(INDEX('أوامر التوريد'!$H$5:$H$304,MATCH(C56,'أوامر التوريد'!$A$5:$A$304,0)),""))</f>
        <v/>
      </c>
      <c r="H56" s="39">
        <f>IF(C56="","",IFERROR(INDEX('أوامر التوريد'!$I$5:$I$304,MATCH(C56,'أوامر التوريد'!$A$5:$A$304,0)),""))</f>
        <v/>
      </c>
      <c r="I56" s="40" t="n"/>
      <c r="J56" s="41" t="n"/>
      <c r="K56" s="41" t="n"/>
      <c r="L56" s="46">
        <f>IF(J56="","",J56-K56)</f>
        <v/>
      </c>
      <c r="M56" s="49">
        <f>IF(J56="","",IF(K56=0,"مرفوض",IF(K56&lt;J56,"مقبول جزئياً","مقبول")))</f>
        <v/>
      </c>
      <c r="N56" s="40" t="n"/>
      <c r="O56" s="40" t="n"/>
    </row>
    <row r="57">
      <c r="A57" s="39">
        <f>IF(C57="","","MIR-"&amp;TEXT(ROW()-4,"0000"))</f>
        <v/>
      </c>
      <c r="B57" s="47" t="n"/>
      <c r="C57" s="40" t="n"/>
      <c r="D57" s="39">
        <f>IF(C57="","",IFERROR(INDEX('أوامر التوريد'!$C$5:$C$304,MATCH(C57,'أوامر التوريد'!$A$5:$A$304,0)),""))</f>
        <v/>
      </c>
      <c r="E57" s="49">
        <f>IF(C57="","",IFERROR(INDEX('أوامر التوريد'!$E$5:$E$304,MATCH(C57,'أوامر التوريد'!$A$5:$A$304,0)),""))</f>
        <v/>
      </c>
      <c r="F57" s="39">
        <f>IF(C57="","",IFERROR(INDEX('أوامر التوريد'!$G$5:$G$304,MATCH(C57,'أوامر التوريد'!$A$5:$A$304,0)),""))</f>
        <v/>
      </c>
      <c r="G57" s="49">
        <f>IF(C57="","",IFERROR(INDEX('أوامر التوريد'!$H$5:$H$304,MATCH(C57,'أوامر التوريد'!$A$5:$A$304,0)),""))</f>
        <v/>
      </c>
      <c r="H57" s="39">
        <f>IF(C57="","",IFERROR(INDEX('أوامر التوريد'!$I$5:$I$304,MATCH(C57,'أوامر التوريد'!$A$5:$A$304,0)),""))</f>
        <v/>
      </c>
      <c r="I57" s="40" t="n"/>
      <c r="J57" s="41" t="n"/>
      <c r="K57" s="41" t="n"/>
      <c r="L57" s="46">
        <f>IF(J57="","",J57-K57)</f>
        <v/>
      </c>
      <c r="M57" s="49">
        <f>IF(J57="","",IF(K57=0,"مرفوض",IF(K57&lt;J57,"مقبول جزئياً","مقبول")))</f>
        <v/>
      </c>
      <c r="N57" s="40" t="n"/>
      <c r="O57" s="40" t="n"/>
    </row>
    <row r="58">
      <c r="A58" s="39">
        <f>IF(C58="","","MIR-"&amp;TEXT(ROW()-4,"0000"))</f>
        <v/>
      </c>
      <c r="B58" s="47" t="n"/>
      <c r="C58" s="40" t="n"/>
      <c r="D58" s="39">
        <f>IF(C58="","",IFERROR(INDEX('أوامر التوريد'!$C$5:$C$304,MATCH(C58,'أوامر التوريد'!$A$5:$A$304,0)),""))</f>
        <v/>
      </c>
      <c r="E58" s="49">
        <f>IF(C58="","",IFERROR(INDEX('أوامر التوريد'!$E$5:$E$304,MATCH(C58,'أوامر التوريد'!$A$5:$A$304,0)),""))</f>
        <v/>
      </c>
      <c r="F58" s="39">
        <f>IF(C58="","",IFERROR(INDEX('أوامر التوريد'!$G$5:$G$304,MATCH(C58,'أوامر التوريد'!$A$5:$A$304,0)),""))</f>
        <v/>
      </c>
      <c r="G58" s="49">
        <f>IF(C58="","",IFERROR(INDEX('أوامر التوريد'!$H$5:$H$304,MATCH(C58,'أوامر التوريد'!$A$5:$A$304,0)),""))</f>
        <v/>
      </c>
      <c r="H58" s="39">
        <f>IF(C58="","",IFERROR(INDEX('أوامر التوريد'!$I$5:$I$304,MATCH(C58,'أوامر التوريد'!$A$5:$A$304,0)),""))</f>
        <v/>
      </c>
      <c r="I58" s="40" t="n"/>
      <c r="J58" s="41" t="n"/>
      <c r="K58" s="41" t="n"/>
      <c r="L58" s="46">
        <f>IF(J58="","",J58-K58)</f>
        <v/>
      </c>
      <c r="M58" s="49">
        <f>IF(J58="","",IF(K58=0,"مرفوض",IF(K58&lt;J58,"مقبول جزئياً","مقبول")))</f>
        <v/>
      </c>
      <c r="N58" s="40" t="n"/>
      <c r="O58" s="40" t="n"/>
    </row>
    <row r="59">
      <c r="A59" s="39">
        <f>IF(C59="","","MIR-"&amp;TEXT(ROW()-4,"0000"))</f>
        <v/>
      </c>
      <c r="B59" s="47" t="n"/>
      <c r="C59" s="40" t="n"/>
      <c r="D59" s="39">
        <f>IF(C59="","",IFERROR(INDEX('أوامر التوريد'!$C$5:$C$304,MATCH(C59,'أوامر التوريد'!$A$5:$A$304,0)),""))</f>
        <v/>
      </c>
      <c r="E59" s="49">
        <f>IF(C59="","",IFERROR(INDEX('أوامر التوريد'!$E$5:$E$304,MATCH(C59,'أوامر التوريد'!$A$5:$A$304,0)),""))</f>
        <v/>
      </c>
      <c r="F59" s="39">
        <f>IF(C59="","",IFERROR(INDEX('أوامر التوريد'!$G$5:$G$304,MATCH(C59,'أوامر التوريد'!$A$5:$A$304,0)),""))</f>
        <v/>
      </c>
      <c r="G59" s="49">
        <f>IF(C59="","",IFERROR(INDEX('أوامر التوريد'!$H$5:$H$304,MATCH(C59,'أوامر التوريد'!$A$5:$A$304,0)),""))</f>
        <v/>
      </c>
      <c r="H59" s="39">
        <f>IF(C59="","",IFERROR(INDEX('أوامر التوريد'!$I$5:$I$304,MATCH(C59,'أوامر التوريد'!$A$5:$A$304,0)),""))</f>
        <v/>
      </c>
      <c r="I59" s="40" t="n"/>
      <c r="J59" s="41" t="n"/>
      <c r="K59" s="41" t="n"/>
      <c r="L59" s="46">
        <f>IF(J59="","",J59-K59)</f>
        <v/>
      </c>
      <c r="M59" s="49">
        <f>IF(J59="","",IF(K59=0,"مرفوض",IF(K59&lt;J59,"مقبول جزئياً","مقبول")))</f>
        <v/>
      </c>
      <c r="N59" s="40" t="n"/>
      <c r="O59" s="40" t="n"/>
    </row>
    <row r="60">
      <c r="A60" s="39">
        <f>IF(C60="","","MIR-"&amp;TEXT(ROW()-4,"0000"))</f>
        <v/>
      </c>
      <c r="B60" s="47" t="n"/>
      <c r="C60" s="40" t="n"/>
      <c r="D60" s="39">
        <f>IF(C60="","",IFERROR(INDEX('أوامر التوريد'!$C$5:$C$304,MATCH(C60,'أوامر التوريد'!$A$5:$A$304,0)),""))</f>
        <v/>
      </c>
      <c r="E60" s="49">
        <f>IF(C60="","",IFERROR(INDEX('أوامر التوريد'!$E$5:$E$304,MATCH(C60,'أوامر التوريد'!$A$5:$A$304,0)),""))</f>
        <v/>
      </c>
      <c r="F60" s="39">
        <f>IF(C60="","",IFERROR(INDEX('أوامر التوريد'!$G$5:$G$304,MATCH(C60,'أوامر التوريد'!$A$5:$A$304,0)),""))</f>
        <v/>
      </c>
      <c r="G60" s="49">
        <f>IF(C60="","",IFERROR(INDEX('أوامر التوريد'!$H$5:$H$304,MATCH(C60,'أوامر التوريد'!$A$5:$A$304,0)),""))</f>
        <v/>
      </c>
      <c r="H60" s="39">
        <f>IF(C60="","",IFERROR(INDEX('أوامر التوريد'!$I$5:$I$304,MATCH(C60,'أوامر التوريد'!$A$5:$A$304,0)),""))</f>
        <v/>
      </c>
      <c r="I60" s="40" t="n"/>
      <c r="J60" s="41" t="n"/>
      <c r="K60" s="41" t="n"/>
      <c r="L60" s="46">
        <f>IF(J60="","",J60-K60)</f>
        <v/>
      </c>
      <c r="M60" s="49">
        <f>IF(J60="","",IF(K60=0,"مرفوض",IF(K60&lt;J60,"مقبول جزئياً","مقبول")))</f>
        <v/>
      </c>
      <c r="N60" s="40" t="n"/>
      <c r="O60" s="40" t="n"/>
    </row>
    <row r="61">
      <c r="A61" s="39">
        <f>IF(C61="","","MIR-"&amp;TEXT(ROW()-4,"0000"))</f>
        <v/>
      </c>
      <c r="B61" s="47" t="n"/>
      <c r="C61" s="40" t="n"/>
      <c r="D61" s="39">
        <f>IF(C61="","",IFERROR(INDEX('أوامر التوريد'!$C$5:$C$304,MATCH(C61,'أوامر التوريد'!$A$5:$A$304,0)),""))</f>
        <v/>
      </c>
      <c r="E61" s="49">
        <f>IF(C61="","",IFERROR(INDEX('أوامر التوريد'!$E$5:$E$304,MATCH(C61,'أوامر التوريد'!$A$5:$A$304,0)),""))</f>
        <v/>
      </c>
      <c r="F61" s="39">
        <f>IF(C61="","",IFERROR(INDEX('أوامر التوريد'!$G$5:$G$304,MATCH(C61,'أوامر التوريد'!$A$5:$A$304,0)),""))</f>
        <v/>
      </c>
      <c r="G61" s="49">
        <f>IF(C61="","",IFERROR(INDEX('أوامر التوريد'!$H$5:$H$304,MATCH(C61,'أوامر التوريد'!$A$5:$A$304,0)),""))</f>
        <v/>
      </c>
      <c r="H61" s="39">
        <f>IF(C61="","",IFERROR(INDEX('أوامر التوريد'!$I$5:$I$304,MATCH(C61,'أوامر التوريد'!$A$5:$A$304,0)),""))</f>
        <v/>
      </c>
      <c r="I61" s="40" t="n"/>
      <c r="J61" s="41" t="n"/>
      <c r="K61" s="41" t="n"/>
      <c r="L61" s="46">
        <f>IF(J61="","",J61-K61)</f>
        <v/>
      </c>
      <c r="M61" s="49">
        <f>IF(J61="","",IF(K61=0,"مرفوض",IF(K61&lt;J61,"مقبول جزئياً","مقبول")))</f>
        <v/>
      </c>
      <c r="N61" s="40" t="n"/>
      <c r="O61" s="40" t="n"/>
    </row>
    <row r="62">
      <c r="A62" s="39">
        <f>IF(C62="","","MIR-"&amp;TEXT(ROW()-4,"0000"))</f>
        <v/>
      </c>
      <c r="B62" s="47" t="n"/>
      <c r="C62" s="40" t="n"/>
      <c r="D62" s="39">
        <f>IF(C62="","",IFERROR(INDEX('أوامر التوريد'!$C$5:$C$304,MATCH(C62,'أوامر التوريد'!$A$5:$A$304,0)),""))</f>
        <v/>
      </c>
      <c r="E62" s="49">
        <f>IF(C62="","",IFERROR(INDEX('أوامر التوريد'!$E$5:$E$304,MATCH(C62,'أوامر التوريد'!$A$5:$A$304,0)),""))</f>
        <v/>
      </c>
      <c r="F62" s="39">
        <f>IF(C62="","",IFERROR(INDEX('أوامر التوريد'!$G$5:$G$304,MATCH(C62,'أوامر التوريد'!$A$5:$A$304,0)),""))</f>
        <v/>
      </c>
      <c r="G62" s="49">
        <f>IF(C62="","",IFERROR(INDEX('أوامر التوريد'!$H$5:$H$304,MATCH(C62,'أوامر التوريد'!$A$5:$A$304,0)),""))</f>
        <v/>
      </c>
      <c r="H62" s="39">
        <f>IF(C62="","",IFERROR(INDEX('أوامر التوريد'!$I$5:$I$304,MATCH(C62,'أوامر التوريد'!$A$5:$A$304,0)),""))</f>
        <v/>
      </c>
      <c r="I62" s="40" t="n"/>
      <c r="J62" s="41" t="n"/>
      <c r="K62" s="41" t="n"/>
      <c r="L62" s="46">
        <f>IF(J62="","",J62-K62)</f>
        <v/>
      </c>
      <c r="M62" s="49">
        <f>IF(J62="","",IF(K62=0,"مرفوض",IF(K62&lt;J62,"مقبول جزئياً","مقبول")))</f>
        <v/>
      </c>
      <c r="N62" s="40" t="n"/>
      <c r="O62" s="40" t="n"/>
    </row>
    <row r="63">
      <c r="A63" s="39">
        <f>IF(C63="","","MIR-"&amp;TEXT(ROW()-4,"0000"))</f>
        <v/>
      </c>
      <c r="B63" s="47" t="n"/>
      <c r="C63" s="40" t="n"/>
      <c r="D63" s="39">
        <f>IF(C63="","",IFERROR(INDEX('أوامر التوريد'!$C$5:$C$304,MATCH(C63,'أوامر التوريد'!$A$5:$A$304,0)),""))</f>
        <v/>
      </c>
      <c r="E63" s="49">
        <f>IF(C63="","",IFERROR(INDEX('أوامر التوريد'!$E$5:$E$304,MATCH(C63,'أوامر التوريد'!$A$5:$A$304,0)),""))</f>
        <v/>
      </c>
      <c r="F63" s="39">
        <f>IF(C63="","",IFERROR(INDEX('أوامر التوريد'!$G$5:$G$304,MATCH(C63,'أوامر التوريد'!$A$5:$A$304,0)),""))</f>
        <v/>
      </c>
      <c r="G63" s="49">
        <f>IF(C63="","",IFERROR(INDEX('أوامر التوريد'!$H$5:$H$304,MATCH(C63,'أوامر التوريد'!$A$5:$A$304,0)),""))</f>
        <v/>
      </c>
      <c r="H63" s="39">
        <f>IF(C63="","",IFERROR(INDEX('أوامر التوريد'!$I$5:$I$304,MATCH(C63,'أوامر التوريد'!$A$5:$A$304,0)),""))</f>
        <v/>
      </c>
      <c r="I63" s="40" t="n"/>
      <c r="J63" s="41" t="n"/>
      <c r="K63" s="41" t="n"/>
      <c r="L63" s="46">
        <f>IF(J63="","",J63-K63)</f>
        <v/>
      </c>
      <c r="M63" s="49">
        <f>IF(J63="","",IF(K63=0,"مرفوض",IF(K63&lt;J63,"مقبول جزئياً","مقبول")))</f>
        <v/>
      </c>
      <c r="N63" s="40" t="n"/>
      <c r="O63" s="40" t="n"/>
    </row>
    <row r="64">
      <c r="A64" s="39">
        <f>IF(C64="","","MIR-"&amp;TEXT(ROW()-4,"0000"))</f>
        <v/>
      </c>
      <c r="B64" s="47" t="n"/>
      <c r="C64" s="40" t="n"/>
      <c r="D64" s="39">
        <f>IF(C64="","",IFERROR(INDEX('أوامر التوريد'!$C$5:$C$304,MATCH(C64,'أوامر التوريد'!$A$5:$A$304,0)),""))</f>
        <v/>
      </c>
      <c r="E64" s="49">
        <f>IF(C64="","",IFERROR(INDEX('أوامر التوريد'!$E$5:$E$304,MATCH(C64,'أوامر التوريد'!$A$5:$A$304,0)),""))</f>
        <v/>
      </c>
      <c r="F64" s="39">
        <f>IF(C64="","",IFERROR(INDEX('أوامر التوريد'!$G$5:$G$304,MATCH(C64,'أوامر التوريد'!$A$5:$A$304,0)),""))</f>
        <v/>
      </c>
      <c r="G64" s="49">
        <f>IF(C64="","",IFERROR(INDEX('أوامر التوريد'!$H$5:$H$304,MATCH(C64,'أوامر التوريد'!$A$5:$A$304,0)),""))</f>
        <v/>
      </c>
      <c r="H64" s="39">
        <f>IF(C64="","",IFERROR(INDEX('أوامر التوريد'!$I$5:$I$304,MATCH(C64,'أوامر التوريد'!$A$5:$A$304,0)),""))</f>
        <v/>
      </c>
      <c r="I64" s="40" t="n"/>
      <c r="J64" s="41" t="n"/>
      <c r="K64" s="41" t="n"/>
      <c r="L64" s="46">
        <f>IF(J64="","",J64-K64)</f>
        <v/>
      </c>
      <c r="M64" s="49">
        <f>IF(J64="","",IF(K64=0,"مرفوض",IF(K64&lt;J64,"مقبول جزئياً","مقبول")))</f>
        <v/>
      </c>
      <c r="N64" s="40" t="n"/>
      <c r="O64" s="40" t="n"/>
    </row>
    <row r="65">
      <c r="A65" s="39">
        <f>IF(C65="","","MIR-"&amp;TEXT(ROW()-4,"0000"))</f>
        <v/>
      </c>
      <c r="B65" s="47" t="n"/>
      <c r="C65" s="40" t="n"/>
      <c r="D65" s="39">
        <f>IF(C65="","",IFERROR(INDEX('أوامر التوريد'!$C$5:$C$304,MATCH(C65,'أوامر التوريد'!$A$5:$A$304,0)),""))</f>
        <v/>
      </c>
      <c r="E65" s="49">
        <f>IF(C65="","",IFERROR(INDEX('أوامر التوريد'!$E$5:$E$304,MATCH(C65,'أوامر التوريد'!$A$5:$A$304,0)),""))</f>
        <v/>
      </c>
      <c r="F65" s="39">
        <f>IF(C65="","",IFERROR(INDEX('أوامر التوريد'!$G$5:$G$304,MATCH(C65,'أوامر التوريد'!$A$5:$A$304,0)),""))</f>
        <v/>
      </c>
      <c r="G65" s="49">
        <f>IF(C65="","",IFERROR(INDEX('أوامر التوريد'!$H$5:$H$304,MATCH(C65,'أوامر التوريد'!$A$5:$A$304,0)),""))</f>
        <v/>
      </c>
      <c r="H65" s="39">
        <f>IF(C65="","",IFERROR(INDEX('أوامر التوريد'!$I$5:$I$304,MATCH(C65,'أوامر التوريد'!$A$5:$A$304,0)),""))</f>
        <v/>
      </c>
      <c r="I65" s="40" t="n"/>
      <c r="J65" s="41" t="n"/>
      <c r="K65" s="41" t="n"/>
      <c r="L65" s="46">
        <f>IF(J65="","",J65-K65)</f>
        <v/>
      </c>
      <c r="M65" s="49">
        <f>IF(J65="","",IF(K65=0,"مرفوض",IF(K65&lt;J65,"مقبول جزئياً","مقبول")))</f>
        <v/>
      </c>
      <c r="N65" s="40" t="n"/>
      <c r="O65" s="40" t="n"/>
    </row>
    <row r="66">
      <c r="A66" s="39">
        <f>IF(C66="","","MIR-"&amp;TEXT(ROW()-4,"0000"))</f>
        <v/>
      </c>
      <c r="B66" s="47" t="n"/>
      <c r="C66" s="40" t="n"/>
      <c r="D66" s="39">
        <f>IF(C66="","",IFERROR(INDEX('أوامر التوريد'!$C$5:$C$304,MATCH(C66,'أوامر التوريد'!$A$5:$A$304,0)),""))</f>
        <v/>
      </c>
      <c r="E66" s="49">
        <f>IF(C66="","",IFERROR(INDEX('أوامر التوريد'!$E$5:$E$304,MATCH(C66,'أوامر التوريد'!$A$5:$A$304,0)),""))</f>
        <v/>
      </c>
      <c r="F66" s="39">
        <f>IF(C66="","",IFERROR(INDEX('أوامر التوريد'!$G$5:$G$304,MATCH(C66,'أوامر التوريد'!$A$5:$A$304,0)),""))</f>
        <v/>
      </c>
      <c r="G66" s="49">
        <f>IF(C66="","",IFERROR(INDEX('أوامر التوريد'!$H$5:$H$304,MATCH(C66,'أوامر التوريد'!$A$5:$A$304,0)),""))</f>
        <v/>
      </c>
      <c r="H66" s="39">
        <f>IF(C66="","",IFERROR(INDEX('أوامر التوريد'!$I$5:$I$304,MATCH(C66,'أوامر التوريد'!$A$5:$A$304,0)),""))</f>
        <v/>
      </c>
      <c r="I66" s="40" t="n"/>
      <c r="J66" s="41" t="n"/>
      <c r="K66" s="41" t="n"/>
      <c r="L66" s="46">
        <f>IF(J66="","",J66-K66)</f>
        <v/>
      </c>
      <c r="M66" s="49">
        <f>IF(J66="","",IF(K66=0,"مرفوض",IF(K66&lt;J66,"مقبول جزئياً","مقبول")))</f>
        <v/>
      </c>
      <c r="N66" s="40" t="n"/>
      <c r="O66" s="40" t="n"/>
    </row>
    <row r="67">
      <c r="A67" s="39">
        <f>IF(C67="","","MIR-"&amp;TEXT(ROW()-4,"0000"))</f>
        <v/>
      </c>
      <c r="B67" s="47" t="n"/>
      <c r="C67" s="40" t="n"/>
      <c r="D67" s="39">
        <f>IF(C67="","",IFERROR(INDEX('أوامر التوريد'!$C$5:$C$304,MATCH(C67,'أوامر التوريد'!$A$5:$A$304,0)),""))</f>
        <v/>
      </c>
      <c r="E67" s="49">
        <f>IF(C67="","",IFERROR(INDEX('أوامر التوريد'!$E$5:$E$304,MATCH(C67,'أوامر التوريد'!$A$5:$A$304,0)),""))</f>
        <v/>
      </c>
      <c r="F67" s="39">
        <f>IF(C67="","",IFERROR(INDEX('أوامر التوريد'!$G$5:$G$304,MATCH(C67,'أوامر التوريد'!$A$5:$A$304,0)),""))</f>
        <v/>
      </c>
      <c r="G67" s="49">
        <f>IF(C67="","",IFERROR(INDEX('أوامر التوريد'!$H$5:$H$304,MATCH(C67,'أوامر التوريد'!$A$5:$A$304,0)),""))</f>
        <v/>
      </c>
      <c r="H67" s="39">
        <f>IF(C67="","",IFERROR(INDEX('أوامر التوريد'!$I$5:$I$304,MATCH(C67,'أوامر التوريد'!$A$5:$A$304,0)),""))</f>
        <v/>
      </c>
      <c r="I67" s="40" t="n"/>
      <c r="J67" s="41" t="n"/>
      <c r="K67" s="41" t="n"/>
      <c r="L67" s="46">
        <f>IF(J67="","",J67-K67)</f>
        <v/>
      </c>
      <c r="M67" s="49">
        <f>IF(J67="","",IF(K67=0,"مرفوض",IF(K67&lt;J67,"مقبول جزئياً","مقبول")))</f>
        <v/>
      </c>
      <c r="N67" s="40" t="n"/>
      <c r="O67" s="40" t="n"/>
    </row>
    <row r="68">
      <c r="A68" s="39">
        <f>IF(C68="","","MIR-"&amp;TEXT(ROW()-4,"0000"))</f>
        <v/>
      </c>
      <c r="B68" s="47" t="n"/>
      <c r="C68" s="40" t="n"/>
      <c r="D68" s="39">
        <f>IF(C68="","",IFERROR(INDEX('أوامر التوريد'!$C$5:$C$304,MATCH(C68,'أوامر التوريد'!$A$5:$A$304,0)),""))</f>
        <v/>
      </c>
      <c r="E68" s="49">
        <f>IF(C68="","",IFERROR(INDEX('أوامر التوريد'!$E$5:$E$304,MATCH(C68,'أوامر التوريد'!$A$5:$A$304,0)),""))</f>
        <v/>
      </c>
      <c r="F68" s="39">
        <f>IF(C68="","",IFERROR(INDEX('أوامر التوريد'!$G$5:$G$304,MATCH(C68,'أوامر التوريد'!$A$5:$A$304,0)),""))</f>
        <v/>
      </c>
      <c r="G68" s="49">
        <f>IF(C68="","",IFERROR(INDEX('أوامر التوريد'!$H$5:$H$304,MATCH(C68,'أوامر التوريد'!$A$5:$A$304,0)),""))</f>
        <v/>
      </c>
      <c r="H68" s="39">
        <f>IF(C68="","",IFERROR(INDEX('أوامر التوريد'!$I$5:$I$304,MATCH(C68,'أوامر التوريد'!$A$5:$A$304,0)),""))</f>
        <v/>
      </c>
      <c r="I68" s="40" t="n"/>
      <c r="J68" s="41" t="n"/>
      <c r="K68" s="41" t="n"/>
      <c r="L68" s="46">
        <f>IF(J68="","",J68-K68)</f>
        <v/>
      </c>
      <c r="M68" s="49">
        <f>IF(J68="","",IF(K68=0,"مرفوض",IF(K68&lt;J68,"مقبول جزئياً","مقبول")))</f>
        <v/>
      </c>
      <c r="N68" s="40" t="n"/>
      <c r="O68" s="40" t="n"/>
    </row>
    <row r="69">
      <c r="A69" s="39">
        <f>IF(C69="","","MIR-"&amp;TEXT(ROW()-4,"0000"))</f>
        <v/>
      </c>
      <c r="B69" s="47" t="n"/>
      <c r="C69" s="40" t="n"/>
      <c r="D69" s="39">
        <f>IF(C69="","",IFERROR(INDEX('أوامر التوريد'!$C$5:$C$304,MATCH(C69,'أوامر التوريد'!$A$5:$A$304,0)),""))</f>
        <v/>
      </c>
      <c r="E69" s="49">
        <f>IF(C69="","",IFERROR(INDEX('أوامر التوريد'!$E$5:$E$304,MATCH(C69,'أوامر التوريد'!$A$5:$A$304,0)),""))</f>
        <v/>
      </c>
      <c r="F69" s="39">
        <f>IF(C69="","",IFERROR(INDEX('أوامر التوريد'!$G$5:$G$304,MATCH(C69,'أوامر التوريد'!$A$5:$A$304,0)),""))</f>
        <v/>
      </c>
      <c r="G69" s="49">
        <f>IF(C69="","",IFERROR(INDEX('أوامر التوريد'!$H$5:$H$304,MATCH(C69,'أوامر التوريد'!$A$5:$A$304,0)),""))</f>
        <v/>
      </c>
      <c r="H69" s="39">
        <f>IF(C69="","",IFERROR(INDEX('أوامر التوريد'!$I$5:$I$304,MATCH(C69,'أوامر التوريد'!$A$5:$A$304,0)),""))</f>
        <v/>
      </c>
      <c r="I69" s="40" t="n"/>
      <c r="J69" s="41" t="n"/>
      <c r="K69" s="41" t="n"/>
      <c r="L69" s="46">
        <f>IF(J69="","",J69-K69)</f>
        <v/>
      </c>
      <c r="M69" s="49">
        <f>IF(J69="","",IF(K69=0,"مرفوض",IF(K69&lt;J69,"مقبول جزئياً","مقبول")))</f>
        <v/>
      </c>
      <c r="N69" s="40" t="n"/>
      <c r="O69" s="40" t="n"/>
    </row>
    <row r="70">
      <c r="A70" s="39">
        <f>IF(C70="","","MIR-"&amp;TEXT(ROW()-4,"0000"))</f>
        <v/>
      </c>
      <c r="B70" s="47" t="n"/>
      <c r="C70" s="40" t="n"/>
      <c r="D70" s="39">
        <f>IF(C70="","",IFERROR(INDEX('أوامر التوريد'!$C$5:$C$304,MATCH(C70,'أوامر التوريد'!$A$5:$A$304,0)),""))</f>
        <v/>
      </c>
      <c r="E70" s="49">
        <f>IF(C70="","",IFERROR(INDEX('أوامر التوريد'!$E$5:$E$304,MATCH(C70,'أوامر التوريد'!$A$5:$A$304,0)),""))</f>
        <v/>
      </c>
      <c r="F70" s="39">
        <f>IF(C70="","",IFERROR(INDEX('أوامر التوريد'!$G$5:$G$304,MATCH(C70,'أوامر التوريد'!$A$5:$A$304,0)),""))</f>
        <v/>
      </c>
      <c r="G70" s="49">
        <f>IF(C70="","",IFERROR(INDEX('أوامر التوريد'!$H$5:$H$304,MATCH(C70,'أوامر التوريد'!$A$5:$A$304,0)),""))</f>
        <v/>
      </c>
      <c r="H70" s="39">
        <f>IF(C70="","",IFERROR(INDEX('أوامر التوريد'!$I$5:$I$304,MATCH(C70,'أوامر التوريد'!$A$5:$A$304,0)),""))</f>
        <v/>
      </c>
      <c r="I70" s="40" t="n"/>
      <c r="J70" s="41" t="n"/>
      <c r="K70" s="41" t="n"/>
      <c r="L70" s="46">
        <f>IF(J70="","",J70-K70)</f>
        <v/>
      </c>
      <c r="M70" s="49">
        <f>IF(J70="","",IF(K70=0,"مرفوض",IF(K70&lt;J70,"مقبول جزئياً","مقبول")))</f>
        <v/>
      </c>
      <c r="N70" s="40" t="n"/>
      <c r="O70" s="40" t="n"/>
    </row>
    <row r="71">
      <c r="A71" s="39">
        <f>IF(C71="","","MIR-"&amp;TEXT(ROW()-4,"0000"))</f>
        <v/>
      </c>
      <c r="B71" s="47" t="n"/>
      <c r="C71" s="40" t="n"/>
      <c r="D71" s="39">
        <f>IF(C71="","",IFERROR(INDEX('أوامر التوريد'!$C$5:$C$304,MATCH(C71,'أوامر التوريد'!$A$5:$A$304,0)),""))</f>
        <v/>
      </c>
      <c r="E71" s="49">
        <f>IF(C71="","",IFERROR(INDEX('أوامر التوريد'!$E$5:$E$304,MATCH(C71,'أوامر التوريد'!$A$5:$A$304,0)),""))</f>
        <v/>
      </c>
      <c r="F71" s="39">
        <f>IF(C71="","",IFERROR(INDEX('أوامر التوريد'!$G$5:$G$304,MATCH(C71,'أوامر التوريد'!$A$5:$A$304,0)),""))</f>
        <v/>
      </c>
      <c r="G71" s="49">
        <f>IF(C71="","",IFERROR(INDEX('أوامر التوريد'!$H$5:$H$304,MATCH(C71,'أوامر التوريد'!$A$5:$A$304,0)),""))</f>
        <v/>
      </c>
      <c r="H71" s="39">
        <f>IF(C71="","",IFERROR(INDEX('أوامر التوريد'!$I$5:$I$304,MATCH(C71,'أوامر التوريد'!$A$5:$A$304,0)),""))</f>
        <v/>
      </c>
      <c r="I71" s="40" t="n"/>
      <c r="J71" s="41" t="n"/>
      <c r="K71" s="41" t="n"/>
      <c r="L71" s="46">
        <f>IF(J71="","",J71-K71)</f>
        <v/>
      </c>
      <c r="M71" s="49">
        <f>IF(J71="","",IF(K71=0,"مرفوض",IF(K71&lt;J71,"مقبول جزئياً","مقبول")))</f>
        <v/>
      </c>
      <c r="N71" s="40" t="n"/>
      <c r="O71" s="40" t="n"/>
    </row>
    <row r="72">
      <c r="A72" s="39">
        <f>IF(C72="","","MIR-"&amp;TEXT(ROW()-4,"0000"))</f>
        <v/>
      </c>
      <c r="B72" s="47" t="n"/>
      <c r="C72" s="40" t="n"/>
      <c r="D72" s="39">
        <f>IF(C72="","",IFERROR(INDEX('أوامر التوريد'!$C$5:$C$304,MATCH(C72,'أوامر التوريد'!$A$5:$A$304,0)),""))</f>
        <v/>
      </c>
      <c r="E72" s="49">
        <f>IF(C72="","",IFERROR(INDEX('أوامر التوريد'!$E$5:$E$304,MATCH(C72,'أوامر التوريد'!$A$5:$A$304,0)),""))</f>
        <v/>
      </c>
      <c r="F72" s="39">
        <f>IF(C72="","",IFERROR(INDEX('أوامر التوريد'!$G$5:$G$304,MATCH(C72,'أوامر التوريد'!$A$5:$A$304,0)),""))</f>
        <v/>
      </c>
      <c r="G72" s="49">
        <f>IF(C72="","",IFERROR(INDEX('أوامر التوريد'!$H$5:$H$304,MATCH(C72,'أوامر التوريد'!$A$5:$A$304,0)),""))</f>
        <v/>
      </c>
      <c r="H72" s="39">
        <f>IF(C72="","",IFERROR(INDEX('أوامر التوريد'!$I$5:$I$304,MATCH(C72,'أوامر التوريد'!$A$5:$A$304,0)),""))</f>
        <v/>
      </c>
      <c r="I72" s="40" t="n"/>
      <c r="J72" s="41" t="n"/>
      <c r="K72" s="41" t="n"/>
      <c r="L72" s="46">
        <f>IF(J72="","",J72-K72)</f>
        <v/>
      </c>
      <c r="M72" s="49">
        <f>IF(J72="","",IF(K72=0,"مرفوض",IF(K72&lt;J72,"مقبول جزئياً","مقبول")))</f>
        <v/>
      </c>
      <c r="N72" s="40" t="n"/>
      <c r="O72" s="40" t="n"/>
    </row>
    <row r="73">
      <c r="A73" s="39">
        <f>IF(C73="","","MIR-"&amp;TEXT(ROW()-4,"0000"))</f>
        <v/>
      </c>
      <c r="B73" s="47" t="n"/>
      <c r="C73" s="40" t="n"/>
      <c r="D73" s="39">
        <f>IF(C73="","",IFERROR(INDEX('أوامر التوريد'!$C$5:$C$304,MATCH(C73,'أوامر التوريد'!$A$5:$A$304,0)),""))</f>
        <v/>
      </c>
      <c r="E73" s="49">
        <f>IF(C73="","",IFERROR(INDEX('أوامر التوريد'!$E$5:$E$304,MATCH(C73,'أوامر التوريد'!$A$5:$A$304,0)),""))</f>
        <v/>
      </c>
      <c r="F73" s="39">
        <f>IF(C73="","",IFERROR(INDEX('أوامر التوريد'!$G$5:$G$304,MATCH(C73,'أوامر التوريد'!$A$5:$A$304,0)),""))</f>
        <v/>
      </c>
      <c r="G73" s="49">
        <f>IF(C73="","",IFERROR(INDEX('أوامر التوريد'!$H$5:$H$304,MATCH(C73,'أوامر التوريد'!$A$5:$A$304,0)),""))</f>
        <v/>
      </c>
      <c r="H73" s="39">
        <f>IF(C73="","",IFERROR(INDEX('أوامر التوريد'!$I$5:$I$304,MATCH(C73,'أوامر التوريد'!$A$5:$A$304,0)),""))</f>
        <v/>
      </c>
      <c r="I73" s="40" t="n"/>
      <c r="J73" s="41" t="n"/>
      <c r="K73" s="41" t="n"/>
      <c r="L73" s="46">
        <f>IF(J73="","",J73-K73)</f>
        <v/>
      </c>
      <c r="M73" s="49">
        <f>IF(J73="","",IF(K73=0,"مرفوض",IF(K73&lt;J73,"مقبول جزئياً","مقبول")))</f>
        <v/>
      </c>
      <c r="N73" s="40" t="n"/>
      <c r="O73" s="40" t="n"/>
    </row>
    <row r="74">
      <c r="A74" s="39">
        <f>IF(C74="","","MIR-"&amp;TEXT(ROW()-4,"0000"))</f>
        <v/>
      </c>
      <c r="B74" s="47" t="n"/>
      <c r="C74" s="40" t="n"/>
      <c r="D74" s="39">
        <f>IF(C74="","",IFERROR(INDEX('أوامر التوريد'!$C$5:$C$304,MATCH(C74,'أوامر التوريد'!$A$5:$A$304,0)),""))</f>
        <v/>
      </c>
      <c r="E74" s="49">
        <f>IF(C74="","",IFERROR(INDEX('أوامر التوريد'!$E$5:$E$304,MATCH(C74,'أوامر التوريد'!$A$5:$A$304,0)),""))</f>
        <v/>
      </c>
      <c r="F74" s="39">
        <f>IF(C74="","",IFERROR(INDEX('أوامر التوريد'!$G$5:$G$304,MATCH(C74,'أوامر التوريد'!$A$5:$A$304,0)),""))</f>
        <v/>
      </c>
      <c r="G74" s="49">
        <f>IF(C74="","",IFERROR(INDEX('أوامر التوريد'!$H$5:$H$304,MATCH(C74,'أوامر التوريد'!$A$5:$A$304,0)),""))</f>
        <v/>
      </c>
      <c r="H74" s="39">
        <f>IF(C74="","",IFERROR(INDEX('أوامر التوريد'!$I$5:$I$304,MATCH(C74,'أوامر التوريد'!$A$5:$A$304,0)),""))</f>
        <v/>
      </c>
      <c r="I74" s="40" t="n"/>
      <c r="J74" s="41" t="n"/>
      <c r="K74" s="41" t="n"/>
      <c r="L74" s="46">
        <f>IF(J74="","",J74-K74)</f>
        <v/>
      </c>
      <c r="M74" s="49">
        <f>IF(J74="","",IF(K74=0,"مرفوض",IF(K74&lt;J74,"مقبول جزئياً","مقبول")))</f>
        <v/>
      </c>
      <c r="N74" s="40" t="n"/>
      <c r="O74" s="40" t="n"/>
    </row>
    <row r="75">
      <c r="A75" s="39">
        <f>IF(C75="","","MIR-"&amp;TEXT(ROW()-4,"0000"))</f>
        <v/>
      </c>
      <c r="B75" s="47" t="n"/>
      <c r="C75" s="40" t="n"/>
      <c r="D75" s="39">
        <f>IF(C75="","",IFERROR(INDEX('أوامر التوريد'!$C$5:$C$304,MATCH(C75,'أوامر التوريد'!$A$5:$A$304,0)),""))</f>
        <v/>
      </c>
      <c r="E75" s="49">
        <f>IF(C75="","",IFERROR(INDEX('أوامر التوريد'!$E$5:$E$304,MATCH(C75,'أوامر التوريد'!$A$5:$A$304,0)),""))</f>
        <v/>
      </c>
      <c r="F75" s="39">
        <f>IF(C75="","",IFERROR(INDEX('أوامر التوريد'!$G$5:$G$304,MATCH(C75,'أوامر التوريد'!$A$5:$A$304,0)),""))</f>
        <v/>
      </c>
      <c r="G75" s="49">
        <f>IF(C75="","",IFERROR(INDEX('أوامر التوريد'!$H$5:$H$304,MATCH(C75,'أوامر التوريد'!$A$5:$A$304,0)),""))</f>
        <v/>
      </c>
      <c r="H75" s="39">
        <f>IF(C75="","",IFERROR(INDEX('أوامر التوريد'!$I$5:$I$304,MATCH(C75,'أوامر التوريد'!$A$5:$A$304,0)),""))</f>
        <v/>
      </c>
      <c r="I75" s="40" t="n"/>
      <c r="J75" s="41" t="n"/>
      <c r="K75" s="41" t="n"/>
      <c r="L75" s="46">
        <f>IF(J75="","",J75-K75)</f>
        <v/>
      </c>
      <c r="M75" s="49">
        <f>IF(J75="","",IF(K75=0,"مرفوض",IF(K75&lt;J75,"مقبول جزئياً","مقبول")))</f>
        <v/>
      </c>
      <c r="N75" s="40" t="n"/>
      <c r="O75" s="40" t="n"/>
    </row>
    <row r="76">
      <c r="A76" s="39">
        <f>IF(C76="","","MIR-"&amp;TEXT(ROW()-4,"0000"))</f>
        <v/>
      </c>
      <c r="B76" s="47" t="n"/>
      <c r="C76" s="40" t="n"/>
      <c r="D76" s="39">
        <f>IF(C76="","",IFERROR(INDEX('أوامر التوريد'!$C$5:$C$304,MATCH(C76,'أوامر التوريد'!$A$5:$A$304,0)),""))</f>
        <v/>
      </c>
      <c r="E76" s="49">
        <f>IF(C76="","",IFERROR(INDEX('أوامر التوريد'!$E$5:$E$304,MATCH(C76,'أوامر التوريد'!$A$5:$A$304,0)),""))</f>
        <v/>
      </c>
      <c r="F76" s="39">
        <f>IF(C76="","",IFERROR(INDEX('أوامر التوريد'!$G$5:$G$304,MATCH(C76,'أوامر التوريد'!$A$5:$A$304,0)),""))</f>
        <v/>
      </c>
      <c r="G76" s="49">
        <f>IF(C76="","",IFERROR(INDEX('أوامر التوريد'!$H$5:$H$304,MATCH(C76,'أوامر التوريد'!$A$5:$A$304,0)),""))</f>
        <v/>
      </c>
      <c r="H76" s="39">
        <f>IF(C76="","",IFERROR(INDEX('أوامر التوريد'!$I$5:$I$304,MATCH(C76,'أوامر التوريد'!$A$5:$A$304,0)),""))</f>
        <v/>
      </c>
      <c r="I76" s="40" t="n"/>
      <c r="J76" s="41" t="n"/>
      <c r="K76" s="41" t="n"/>
      <c r="L76" s="46">
        <f>IF(J76="","",J76-K76)</f>
        <v/>
      </c>
      <c r="M76" s="49">
        <f>IF(J76="","",IF(K76=0,"مرفوض",IF(K76&lt;J76,"مقبول جزئياً","مقبول")))</f>
        <v/>
      </c>
      <c r="N76" s="40" t="n"/>
      <c r="O76" s="40" t="n"/>
    </row>
    <row r="77">
      <c r="A77" s="39">
        <f>IF(C77="","","MIR-"&amp;TEXT(ROW()-4,"0000"))</f>
        <v/>
      </c>
      <c r="B77" s="47" t="n"/>
      <c r="C77" s="40" t="n"/>
      <c r="D77" s="39">
        <f>IF(C77="","",IFERROR(INDEX('أوامر التوريد'!$C$5:$C$304,MATCH(C77,'أوامر التوريد'!$A$5:$A$304,0)),""))</f>
        <v/>
      </c>
      <c r="E77" s="49">
        <f>IF(C77="","",IFERROR(INDEX('أوامر التوريد'!$E$5:$E$304,MATCH(C77,'أوامر التوريد'!$A$5:$A$304,0)),""))</f>
        <v/>
      </c>
      <c r="F77" s="39">
        <f>IF(C77="","",IFERROR(INDEX('أوامر التوريد'!$G$5:$G$304,MATCH(C77,'أوامر التوريد'!$A$5:$A$304,0)),""))</f>
        <v/>
      </c>
      <c r="G77" s="49">
        <f>IF(C77="","",IFERROR(INDEX('أوامر التوريد'!$H$5:$H$304,MATCH(C77,'أوامر التوريد'!$A$5:$A$304,0)),""))</f>
        <v/>
      </c>
      <c r="H77" s="39">
        <f>IF(C77="","",IFERROR(INDEX('أوامر التوريد'!$I$5:$I$304,MATCH(C77,'أوامر التوريد'!$A$5:$A$304,0)),""))</f>
        <v/>
      </c>
      <c r="I77" s="40" t="n"/>
      <c r="J77" s="41" t="n"/>
      <c r="K77" s="41" t="n"/>
      <c r="L77" s="46">
        <f>IF(J77="","",J77-K77)</f>
        <v/>
      </c>
      <c r="M77" s="49">
        <f>IF(J77="","",IF(K77=0,"مرفوض",IF(K77&lt;J77,"مقبول جزئياً","مقبول")))</f>
        <v/>
      </c>
      <c r="N77" s="40" t="n"/>
      <c r="O77" s="40" t="n"/>
    </row>
    <row r="78">
      <c r="A78" s="39">
        <f>IF(C78="","","MIR-"&amp;TEXT(ROW()-4,"0000"))</f>
        <v/>
      </c>
      <c r="B78" s="47" t="n"/>
      <c r="C78" s="40" t="n"/>
      <c r="D78" s="39">
        <f>IF(C78="","",IFERROR(INDEX('أوامر التوريد'!$C$5:$C$304,MATCH(C78,'أوامر التوريد'!$A$5:$A$304,0)),""))</f>
        <v/>
      </c>
      <c r="E78" s="49">
        <f>IF(C78="","",IFERROR(INDEX('أوامر التوريد'!$E$5:$E$304,MATCH(C78,'أوامر التوريد'!$A$5:$A$304,0)),""))</f>
        <v/>
      </c>
      <c r="F78" s="39">
        <f>IF(C78="","",IFERROR(INDEX('أوامر التوريد'!$G$5:$G$304,MATCH(C78,'أوامر التوريد'!$A$5:$A$304,0)),""))</f>
        <v/>
      </c>
      <c r="G78" s="49">
        <f>IF(C78="","",IFERROR(INDEX('أوامر التوريد'!$H$5:$H$304,MATCH(C78,'أوامر التوريد'!$A$5:$A$304,0)),""))</f>
        <v/>
      </c>
      <c r="H78" s="39">
        <f>IF(C78="","",IFERROR(INDEX('أوامر التوريد'!$I$5:$I$304,MATCH(C78,'أوامر التوريد'!$A$5:$A$304,0)),""))</f>
        <v/>
      </c>
      <c r="I78" s="40" t="n"/>
      <c r="J78" s="41" t="n"/>
      <c r="K78" s="41" t="n"/>
      <c r="L78" s="46">
        <f>IF(J78="","",J78-K78)</f>
        <v/>
      </c>
      <c r="M78" s="49">
        <f>IF(J78="","",IF(K78=0,"مرفوض",IF(K78&lt;J78,"مقبول جزئياً","مقبول")))</f>
        <v/>
      </c>
      <c r="N78" s="40" t="n"/>
      <c r="O78" s="40" t="n"/>
    </row>
    <row r="79">
      <c r="A79" s="39">
        <f>IF(C79="","","MIR-"&amp;TEXT(ROW()-4,"0000"))</f>
        <v/>
      </c>
      <c r="B79" s="47" t="n"/>
      <c r="C79" s="40" t="n"/>
      <c r="D79" s="39">
        <f>IF(C79="","",IFERROR(INDEX('أوامر التوريد'!$C$5:$C$304,MATCH(C79,'أوامر التوريد'!$A$5:$A$304,0)),""))</f>
        <v/>
      </c>
      <c r="E79" s="49">
        <f>IF(C79="","",IFERROR(INDEX('أوامر التوريد'!$E$5:$E$304,MATCH(C79,'أوامر التوريد'!$A$5:$A$304,0)),""))</f>
        <v/>
      </c>
      <c r="F79" s="39">
        <f>IF(C79="","",IFERROR(INDEX('أوامر التوريد'!$G$5:$G$304,MATCH(C79,'أوامر التوريد'!$A$5:$A$304,0)),""))</f>
        <v/>
      </c>
      <c r="G79" s="49">
        <f>IF(C79="","",IFERROR(INDEX('أوامر التوريد'!$H$5:$H$304,MATCH(C79,'أوامر التوريد'!$A$5:$A$304,0)),""))</f>
        <v/>
      </c>
      <c r="H79" s="39">
        <f>IF(C79="","",IFERROR(INDEX('أوامر التوريد'!$I$5:$I$304,MATCH(C79,'أوامر التوريد'!$A$5:$A$304,0)),""))</f>
        <v/>
      </c>
      <c r="I79" s="40" t="n"/>
      <c r="J79" s="41" t="n"/>
      <c r="K79" s="41" t="n"/>
      <c r="L79" s="46">
        <f>IF(J79="","",J79-K79)</f>
        <v/>
      </c>
      <c r="M79" s="49">
        <f>IF(J79="","",IF(K79=0,"مرفوض",IF(K79&lt;J79,"مقبول جزئياً","مقبول")))</f>
        <v/>
      </c>
      <c r="N79" s="40" t="n"/>
      <c r="O79" s="40" t="n"/>
    </row>
    <row r="80">
      <c r="A80" s="39">
        <f>IF(C80="","","MIR-"&amp;TEXT(ROW()-4,"0000"))</f>
        <v/>
      </c>
      <c r="B80" s="47" t="n"/>
      <c r="C80" s="40" t="n"/>
      <c r="D80" s="39">
        <f>IF(C80="","",IFERROR(INDEX('أوامر التوريد'!$C$5:$C$304,MATCH(C80,'أوامر التوريد'!$A$5:$A$304,0)),""))</f>
        <v/>
      </c>
      <c r="E80" s="49">
        <f>IF(C80="","",IFERROR(INDEX('أوامر التوريد'!$E$5:$E$304,MATCH(C80,'أوامر التوريد'!$A$5:$A$304,0)),""))</f>
        <v/>
      </c>
      <c r="F80" s="39">
        <f>IF(C80="","",IFERROR(INDEX('أوامر التوريد'!$G$5:$G$304,MATCH(C80,'أوامر التوريد'!$A$5:$A$304,0)),""))</f>
        <v/>
      </c>
      <c r="G80" s="49">
        <f>IF(C80="","",IFERROR(INDEX('أوامر التوريد'!$H$5:$H$304,MATCH(C80,'أوامر التوريد'!$A$5:$A$304,0)),""))</f>
        <v/>
      </c>
      <c r="H80" s="39">
        <f>IF(C80="","",IFERROR(INDEX('أوامر التوريد'!$I$5:$I$304,MATCH(C80,'أوامر التوريد'!$A$5:$A$304,0)),""))</f>
        <v/>
      </c>
      <c r="I80" s="40" t="n"/>
      <c r="J80" s="41" t="n"/>
      <c r="K80" s="41" t="n"/>
      <c r="L80" s="46">
        <f>IF(J80="","",J80-K80)</f>
        <v/>
      </c>
      <c r="M80" s="49">
        <f>IF(J80="","",IF(K80=0,"مرفوض",IF(K80&lt;J80,"مقبول جزئياً","مقبول")))</f>
        <v/>
      </c>
      <c r="N80" s="40" t="n"/>
      <c r="O80" s="40" t="n"/>
    </row>
    <row r="81">
      <c r="A81" s="39">
        <f>IF(C81="","","MIR-"&amp;TEXT(ROW()-4,"0000"))</f>
        <v/>
      </c>
      <c r="B81" s="47" t="n"/>
      <c r="C81" s="40" t="n"/>
      <c r="D81" s="39">
        <f>IF(C81="","",IFERROR(INDEX('أوامر التوريد'!$C$5:$C$304,MATCH(C81,'أوامر التوريد'!$A$5:$A$304,0)),""))</f>
        <v/>
      </c>
      <c r="E81" s="49">
        <f>IF(C81="","",IFERROR(INDEX('أوامر التوريد'!$E$5:$E$304,MATCH(C81,'أوامر التوريد'!$A$5:$A$304,0)),""))</f>
        <v/>
      </c>
      <c r="F81" s="39">
        <f>IF(C81="","",IFERROR(INDEX('أوامر التوريد'!$G$5:$G$304,MATCH(C81,'أوامر التوريد'!$A$5:$A$304,0)),""))</f>
        <v/>
      </c>
      <c r="G81" s="49">
        <f>IF(C81="","",IFERROR(INDEX('أوامر التوريد'!$H$5:$H$304,MATCH(C81,'أوامر التوريد'!$A$5:$A$304,0)),""))</f>
        <v/>
      </c>
      <c r="H81" s="39">
        <f>IF(C81="","",IFERROR(INDEX('أوامر التوريد'!$I$5:$I$304,MATCH(C81,'أوامر التوريد'!$A$5:$A$304,0)),""))</f>
        <v/>
      </c>
      <c r="I81" s="40" t="n"/>
      <c r="J81" s="41" t="n"/>
      <c r="K81" s="41" t="n"/>
      <c r="L81" s="46">
        <f>IF(J81="","",J81-K81)</f>
        <v/>
      </c>
      <c r="M81" s="49">
        <f>IF(J81="","",IF(K81=0,"مرفوض",IF(K81&lt;J81,"مقبول جزئياً","مقبول")))</f>
        <v/>
      </c>
      <c r="N81" s="40" t="n"/>
      <c r="O81" s="40" t="n"/>
    </row>
    <row r="82">
      <c r="A82" s="39">
        <f>IF(C82="","","MIR-"&amp;TEXT(ROW()-4,"0000"))</f>
        <v/>
      </c>
      <c r="B82" s="47" t="n"/>
      <c r="C82" s="40" t="n"/>
      <c r="D82" s="39">
        <f>IF(C82="","",IFERROR(INDEX('أوامر التوريد'!$C$5:$C$304,MATCH(C82,'أوامر التوريد'!$A$5:$A$304,0)),""))</f>
        <v/>
      </c>
      <c r="E82" s="49">
        <f>IF(C82="","",IFERROR(INDEX('أوامر التوريد'!$E$5:$E$304,MATCH(C82,'أوامر التوريد'!$A$5:$A$304,0)),""))</f>
        <v/>
      </c>
      <c r="F82" s="39">
        <f>IF(C82="","",IFERROR(INDEX('أوامر التوريد'!$G$5:$G$304,MATCH(C82,'أوامر التوريد'!$A$5:$A$304,0)),""))</f>
        <v/>
      </c>
      <c r="G82" s="49">
        <f>IF(C82="","",IFERROR(INDEX('أوامر التوريد'!$H$5:$H$304,MATCH(C82,'أوامر التوريد'!$A$5:$A$304,0)),""))</f>
        <v/>
      </c>
      <c r="H82" s="39">
        <f>IF(C82="","",IFERROR(INDEX('أوامر التوريد'!$I$5:$I$304,MATCH(C82,'أوامر التوريد'!$A$5:$A$304,0)),""))</f>
        <v/>
      </c>
      <c r="I82" s="40" t="n"/>
      <c r="J82" s="41" t="n"/>
      <c r="K82" s="41" t="n"/>
      <c r="L82" s="46">
        <f>IF(J82="","",J82-K82)</f>
        <v/>
      </c>
      <c r="M82" s="49">
        <f>IF(J82="","",IF(K82=0,"مرفوض",IF(K82&lt;J82,"مقبول جزئياً","مقبول")))</f>
        <v/>
      </c>
      <c r="N82" s="40" t="n"/>
      <c r="O82" s="40" t="n"/>
    </row>
    <row r="83">
      <c r="A83" s="39">
        <f>IF(C83="","","MIR-"&amp;TEXT(ROW()-4,"0000"))</f>
        <v/>
      </c>
      <c r="B83" s="47" t="n"/>
      <c r="C83" s="40" t="n"/>
      <c r="D83" s="39">
        <f>IF(C83="","",IFERROR(INDEX('أوامر التوريد'!$C$5:$C$304,MATCH(C83,'أوامر التوريد'!$A$5:$A$304,0)),""))</f>
        <v/>
      </c>
      <c r="E83" s="49">
        <f>IF(C83="","",IFERROR(INDEX('أوامر التوريد'!$E$5:$E$304,MATCH(C83,'أوامر التوريد'!$A$5:$A$304,0)),""))</f>
        <v/>
      </c>
      <c r="F83" s="39">
        <f>IF(C83="","",IFERROR(INDEX('أوامر التوريد'!$G$5:$G$304,MATCH(C83,'أوامر التوريد'!$A$5:$A$304,0)),""))</f>
        <v/>
      </c>
      <c r="G83" s="49">
        <f>IF(C83="","",IFERROR(INDEX('أوامر التوريد'!$H$5:$H$304,MATCH(C83,'أوامر التوريد'!$A$5:$A$304,0)),""))</f>
        <v/>
      </c>
      <c r="H83" s="39">
        <f>IF(C83="","",IFERROR(INDEX('أوامر التوريد'!$I$5:$I$304,MATCH(C83,'أوامر التوريد'!$A$5:$A$304,0)),""))</f>
        <v/>
      </c>
      <c r="I83" s="40" t="n"/>
      <c r="J83" s="41" t="n"/>
      <c r="K83" s="41" t="n"/>
      <c r="L83" s="46">
        <f>IF(J83="","",J83-K83)</f>
        <v/>
      </c>
      <c r="M83" s="49">
        <f>IF(J83="","",IF(K83=0,"مرفوض",IF(K83&lt;J83,"مقبول جزئياً","مقبول")))</f>
        <v/>
      </c>
      <c r="N83" s="40" t="n"/>
      <c r="O83" s="40" t="n"/>
    </row>
    <row r="84">
      <c r="A84" s="39">
        <f>IF(C84="","","MIR-"&amp;TEXT(ROW()-4,"0000"))</f>
        <v/>
      </c>
      <c r="B84" s="47" t="n"/>
      <c r="C84" s="40" t="n"/>
      <c r="D84" s="39">
        <f>IF(C84="","",IFERROR(INDEX('أوامر التوريد'!$C$5:$C$304,MATCH(C84,'أوامر التوريد'!$A$5:$A$304,0)),""))</f>
        <v/>
      </c>
      <c r="E84" s="49">
        <f>IF(C84="","",IFERROR(INDEX('أوامر التوريد'!$E$5:$E$304,MATCH(C84,'أوامر التوريد'!$A$5:$A$304,0)),""))</f>
        <v/>
      </c>
      <c r="F84" s="39">
        <f>IF(C84="","",IFERROR(INDEX('أوامر التوريد'!$G$5:$G$304,MATCH(C84,'أوامر التوريد'!$A$5:$A$304,0)),""))</f>
        <v/>
      </c>
      <c r="G84" s="49">
        <f>IF(C84="","",IFERROR(INDEX('أوامر التوريد'!$H$5:$H$304,MATCH(C84,'أوامر التوريد'!$A$5:$A$304,0)),""))</f>
        <v/>
      </c>
      <c r="H84" s="39">
        <f>IF(C84="","",IFERROR(INDEX('أوامر التوريد'!$I$5:$I$304,MATCH(C84,'أوامر التوريد'!$A$5:$A$304,0)),""))</f>
        <v/>
      </c>
      <c r="I84" s="40" t="n"/>
      <c r="J84" s="41" t="n"/>
      <c r="K84" s="41" t="n"/>
      <c r="L84" s="46">
        <f>IF(J84="","",J84-K84)</f>
        <v/>
      </c>
      <c r="M84" s="49">
        <f>IF(J84="","",IF(K84=0,"مرفوض",IF(K84&lt;J84,"مقبول جزئياً","مقبول")))</f>
        <v/>
      </c>
      <c r="N84" s="40" t="n"/>
      <c r="O84" s="40" t="n"/>
    </row>
    <row r="85">
      <c r="A85" s="39">
        <f>IF(C85="","","MIR-"&amp;TEXT(ROW()-4,"0000"))</f>
        <v/>
      </c>
      <c r="B85" s="47" t="n"/>
      <c r="C85" s="40" t="n"/>
      <c r="D85" s="39">
        <f>IF(C85="","",IFERROR(INDEX('أوامر التوريد'!$C$5:$C$304,MATCH(C85,'أوامر التوريد'!$A$5:$A$304,0)),""))</f>
        <v/>
      </c>
      <c r="E85" s="49">
        <f>IF(C85="","",IFERROR(INDEX('أوامر التوريد'!$E$5:$E$304,MATCH(C85,'أوامر التوريد'!$A$5:$A$304,0)),""))</f>
        <v/>
      </c>
      <c r="F85" s="39">
        <f>IF(C85="","",IFERROR(INDEX('أوامر التوريد'!$G$5:$G$304,MATCH(C85,'أوامر التوريد'!$A$5:$A$304,0)),""))</f>
        <v/>
      </c>
      <c r="G85" s="49">
        <f>IF(C85="","",IFERROR(INDEX('أوامر التوريد'!$H$5:$H$304,MATCH(C85,'أوامر التوريد'!$A$5:$A$304,0)),""))</f>
        <v/>
      </c>
      <c r="H85" s="39">
        <f>IF(C85="","",IFERROR(INDEX('أوامر التوريد'!$I$5:$I$304,MATCH(C85,'أوامر التوريد'!$A$5:$A$304,0)),""))</f>
        <v/>
      </c>
      <c r="I85" s="40" t="n"/>
      <c r="J85" s="41" t="n"/>
      <c r="K85" s="41" t="n"/>
      <c r="L85" s="46">
        <f>IF(J85="","",J85-K85)</f>
        <v/>
      </c>
      <c r="M85" s="49">
        <f>IF(J85="","",IF(K85=0,"مرفوض",IF(K85&lt;J85,"مقبول جزئياً","مقبول")))</f>
        <v/>
      </c>
      <c r="N85" s="40" t="n"/>
      <c r="O85" s="40" t="n"/>
    </row>
    <row r="86">
      <c r="A86" s="39">
        <f>IF(C86="","","MIR-"&amp;TEXT(ROW()-4,"0000"))</f>
        <v/>
      </c>
      <c r="B86" s="47" t="n"/>
      <c r="C86" s="40" t="n"/>
      <c r="D86" s="39">
        <f>IF(C86="","",IFERROR(INDEX('أوامر التوريد'!$C$5:$C$304,MATCH(C86,'أوامر التوريد'!$A$5:$A$304,0)),""))</f>
        <v/>
      </c>
      <c r="E86" s="49">
        <f>IF(C86="","",IFERROR(INDEX('أوامر التوريد'!$E$5:$E$304,MATCH(C86,'أوامر التوريد'!$A$5:$A$304,0)),""))</f>
        <v/>
      </c>
      <c r="F86" s="39">
        <f>IF(C86="","",IFERROR(INDEX('أوامر التوريد'!$G$5:$G$304,MATCH(C86,'أوامر التوريد'!$A$5:$A$304,0)),""))</f>
        <v/>
      </c>
      <c r="G86" s="49">
        <f>IF(C86="","",IFERROR(INDEX('أوامر التوريد'!$H$5:$H$304,MATCH(C86,'أوامر التوريد'!$A$5:$A$304,0)),""))</f>
        <v/>
      </c>
      <c r="H86" s="39">
        <f>IF(C86="","",IFERROR(INDEX('أوامر التوريد'!$I$5:$I$304,MATCH(C86,'أوامر التوريد'!$A$5:$A$304,0)),""))</f>
        <v/>
      </c>
      <c r="I86" s="40" t="n"/>
      <c r="J86" s="41" t="n"/>
      <c r="K86" s="41" t="n"/>
      <c r="L86" s="46">
        <f>IF(J86="","",J86-K86)</f>
        <v/>
      </c>
      <c r="M86" s="49">
        <f>IF(J86="","",IF(K86=0,"مرفوض",IF(K86&lt;J86,"مقبول جزئياً","مقبول")))</f>
        <v/>
      </c>
      <c r="N86" s="40" t="n"/>
      <c r="O86" s="40" t="n"/>
    </row>
    <row r="87">
      <c r="A87" s="39">
        <f>IF(C87="","","MIR-"&amp;TEXT(ROW()-4,"0000"))</f>
        <v/>
      </c>
      <c r="B87" s="47" t="n"/>
      <c r="C87" s="40" t="n"/>
      <c r="D87" s="39">
        <f>IF(C87="","",IFERROR(INDEX('أوامر التوريد'!$C$5:$C$304,MATCH(C87,'أوامر التوريد'!$A$5:$A$304,0)),""))</f>
        <v/>
      </c>
      <c r="E87" s="49">
        <f>IF(C87="","",IFERROR(INDEX('أوامر التوريد'!$E$5:$E$304,MATCH(C87,'أوامر التوريد'!$A$5:$A$304,0)),""))</f>
        <v/>
      </c>
      <c r="F87" s="39">
        <f>IF(C87="","",IFERROR(INDEX('أوامر التوريد'!$G$5:$G$304,MATCH(C87,'أوامر التوريد'!$A$5:$A$304,0)),""))</f>
        <v/>
      </c>
      <c r="G87" s="49">
        <f>IF(C87="","",IFERROR(INDEX('أوامر التوريد'!$H$5:$H$304,MATCH(C87,'أوامر التوريد'!$A$5:$A$304,0)),""))</f>
        <v/>
      </c>
      <c r="H87" s="39">
        <f>IF(C87="","",IFERROR(INDEX('أوامر التوريد'!$I$5:$I$304,MATCH(C87,'أوامر التوريد'!$A$5:$A$304,0)),""))</f>
        <v/>
      </c>
      <c r="I87" s="40" t="n"/>
      <c r="J87" s="41" t="n"/>
      <c r="K87" s="41" t="n"/>
      <c r="L87" s="46">
        <f>IF(J87="","",J87-K87)</f>
        <v/>
      </c>
      <c r="M87" s="49">
        <f>IF(J87="","",IF(K87=0,"مرفوض",IF(K87&lt;J87,"مقبول جزئياً","مقبول")))</f>
        <v/>
      </c>
      <c r="N87" s="40" t="n"/>
      <c r="O87" s="40" t="n"/>
    </row>
    <row r="88">
      <c r="A88" s="39">
        <f>IF(C88="","","MIR-"&amp;TEXT(ROW()-4,"0000"))</f>
        <v/>
      </c>
      <c r="B88" s="47" t="n"/>
      <c r="C88" s="40" t="n"/>
      <c r="D88" s="39">
        <f>IF(C88="","",IFERROR(INDEX('أوامر التوريد'!$C$5:$C$304,MATCH(C88,'أوامر التوريد'!$A$5:$A$304,0)),""))</f>
        <v/>
      </c>
      <c r="E88" s="49">
        <f>IF(C88="","",IFERROR(INDEX('أوامر التوريد'!$E$5:$E$304,MATCH(C88,'أوامر التوريد'!$A$5:$A$304,0)),""))</f>
        <v/>
      </c>
      <c r="F88" s="39">
        <f>IF(C88="","",IFERROR(INDEX('أوامر التوريد'!$G$5:$G$304,MATCH(C88,'أوامر التوريد'!$A$5:$A$304,0)),""))</f>
        <v/>
      </c>
      <c r="G88" s="49">
        <f>IF(C88="","",IFERROR(INDEX('أوامر التوريد'!$H$5:$H$304,MATCH(C88,'أوامر التوريد'!$A$5:$A$304,0)),""))</f>
        <v/>
      </c>
      <c r="H88" s="39">
        <f>IF(C88="","",IFERROR(INDEX('أوامر التوريد'!$I$5:$I$304,MATCH(C88,'أوامر التوريد'!$A$5:$A$304,0)),""))</f>
        <v/>
      </c>
      <c r="I88" s="40" t="n"/>
      <c r="J88" s="41" t="n"/>
      <c r="K88" s="41" t="n"/>
      <c r="L88" s="46">
        <f>IF(J88="","",J88-K88)</f>
        <v/>
      </c>
      <c r="M88" s="49">
        <f>IF(J88="","",IF(K88=0,"مرفوض",IF(K88&lt;J88,"مقبول جزئياً","مقبول")))</f>
        <v/>
      </c>
      <c r="N88" s="40" t="n"/>
      <c r="O88" s="40" t="n"/>
    </row>
    <row r="89">
      <c r="A89" s="39">
        <f>IF(C89="","","MIR-"&amp;TEXT(ROW()-4,"0000"))</f>
        <v/>
      </c>
      <c r="B89" s="47" t="n"/>
      <c r="C89" s="40" t="n"/>
      <c r="D89" s="39">
        <f>IF(C89="","",IFERROR(INDEX('أوامر التوريد'!$C$5:$C$304,MATCH(C89,'أوامر التوريد'!$A$5:$A$304,0)),""))</f>
        <v/>
      </c>
      <c r="E89" s="49">
        <f>IF(C89="","",IFERROR(INDEX('أوامر التوريد'!$E$5:$E$304,MATCH(C89,'أوامر التوريد'!$A$5:$A$304,0)),""))</f>
        <v/>
      </c>
      <c r="F89" s="39">
        <f>IF(C89="","",IFERROR(INDEX('أوامر التوريد'!$G$5:$G$304,MATCH(C89,'أوامر التوريد'!$A$5:$A$304,0)),""))</f>
        <v/>
      </c>
      <c r="G89" s="49">
        <f>IF(C89="","",IFERROR(INDEX('أوامر التوريد'!$H$5:$H$304,MATCH(C89,'أوامر التوريد'!$A$5:$A$304,0)),""))</f>
        <v/>
      </c>
      <c r="H89" s="39">
        <f>IF(C89="","",IFERROR(INDEX('أوامر التوريد'!$I$5:$I$304,MATCH(C89,'أوامر التوريد'!$A$5:$A$304,0)),""))</f>
        <v/>
      </c>
      <c r="I89" s="40" t="n"/>
      <c r="J89" s="41" t="n"/>
      <c r="K89" s="41" t="n"/>
      <c r="L89" s="46">
        <f>IF(J89="","",J89-K89)</f>
        <v/>
      </c>
      <c r="M89" s="49">
        <f>IF(J89="","",IF(K89=0,"مرفوض",IF(K89&lt;J89,"مقبول جزئياً","مقبول")))</f>
        <v/>
      </c>
      <c r="N89" s="40" t="n"/>
      <c r="O89" s="40" t="n"/>
    </row>
    <row r="90">
      <c r="A90" s="39">
        <f>IF(C90="","","MIR-"&amp;TEXT(ROW()-4,"0000"))</f>
        <v/>
      </c>
      <c r="B90" s="47" t="n"/>
      <c r="C90" s="40" t="n"/>
      <c r="D90" s="39">
        <f>IF(C90="","",IFERROR(INDEX('أوامر التوريد'!$C$5:$C$304,MATCH(C90,'أوامر التوريد'!$A$5:$A$304,0)),""))</f>
        <v/>
      </c>
      <c r="E90" s="49">
        <f>IF(C90="","",IFERROR(INDEX('أوامر التوريد'!$E$5:$E$304,MATCH(C90,'أوامر التوريد'!$A$5:$A$304,0)),""))</f>
        <v/>
      </c>
      <c r="F90" s="39">
        <f>IF(C90="","",IFERROR(INDEX('أوامر التوريد'!$G$5:$G$304,MATCH(C90,'أوامر التوريد'!$A$5:$A$304,0)),""))</f>
        <v/>
      </c>
      <c r="G90" s="49">
        <f>IF(C90="","",IFERROR(INDEX('أوامر التوريد'!$H$5:$H$304,MATCH(C90,'أوامر التوريد'!$A$5:$A$304,0)),""))</f>
        <v/>
      </c>
      <c r="H90" s="39">
        <f>IF(C90="","",IFERROR(INDEX('أوامر التوريد'!$I$5:$I$304,MATCH(C90,'أوامر التوريد'!$A$5:$A$304,0)),""))</f>
        <v/>
      </c>
      <c r="I90" s="40" t="n"/>
      <c r="J90" s="41" t="n"/>
      <c r="K90" s="41" t="n"/>
      <c r="L90" s="46">
        <f>IF(J90="","",J90-K90)</f>
        <v/>
      </c>
      <c r="M90" s="49">
        <f>IF(J90="","",IF(K90=0,"مرفوض",IF(K90&lt;J90,"مقبول جزئياً","مقبول")))</f>
        <v/>
      </c>
      <c r="N90" s="40" t="n"/>
      <c r="O90" s="40" t="n"/>
    </row>
    <row r="91">
      <c r="A91" s="39">
        <f>IF(C91="","","MIR-"&amp;TEXT(ROW()-4,"0000"))</f>
        <v/>
      </c>
      <c r="B91" s="47" t="n"/>
      <c r="C91" s="40" t="n"/>
      <c r="D91" s="39">
        <f>IF(C91="","",IFERROR(INDEX('أوامر التوريد'!$C$5:$C$304,MATCH(C91,'أوامر التوريد'!$A$5:$A$304,0)),""))</f>
        <v/>
      </c>
      <c r="E91" s="49">
        <f>IF(C91="","",IFERROR(INDEX('أوامر التوريد'!$E$5:$E$304,MATCH(C91,'أوامر التوريد'!$A$5:$A$304,0)),""))</f>
        <v/>
      </c>
      <c r="F91" s="39">
        <f>IF(C91="","",IFERROR(INDEX('أوامر التوريد'!$G$5:$G$304,MATCH(C91,'أوامر التوريد'!$A$5:$A$304,0)),""))</f>
        <v/>
      </c>
      <c r="G91" s="49">
        <f>IF(C91="","",IFERROR(INDEX('أوامر التوريد'!$H$5:$H$304,MATCH(C91,'أوامر التوريد'!$A$5:$A$304,0)),""))</f>
        <v/>
      </c>
      <c r="H91" s="39">
        <f>IF(C91="","",IFERROR(INDEX('أوامر التوريد'!$I$5:$I$304,MATCH(C91,'أوامر التوريد'!$A$5:$A$304,0)),""))</f>
        <v/>
      </c>
      <c r="I91" s="40" t="n"/>
      <c r="J91" s="41" t="n"/>
      <c r="K91" s="41" t="n"/>
      <c r="L91" s="46">
        <f>IF(J91="","",J91-K91)</f>
        <v/>
      </c>
      <c r="M91" s="49">
        <f>IF(J91="","",IF(K91=0,"مرفوض",IF(K91&lt;J91,"مقبول جزئياً","مقبول")))</f>
        <v/>
      </c>
      <c r="N91" s="40" t="n"/>
      <c r="O91" s="40" t="n"/>
    </row>
    <row r="92">
      <c r="A92" s="39">
        <f>IF(C92="","","MIR-"&amp;TEXT(ROW()-4,"0000"))</f>
        <v/>
      </c>
      <c r="B92" s="47" t="n"/>
      <c r="C92" s="40" t="n"/>
      <c r="D92" s="39">
        <f>IF(C92="","",IFERROR(INDEX('أوامر التوريد'!$C$5:$C$304,MATCH(C92,'أوامر التوريد'!$A$5:$A$304,0)),""))</f>
        <v/>
      </c>
      <c r="E92" s="49">
        <f>IF(C92="","",IFERROR(INDEX('أوامر التوريد'!$E$5:$E$304,MATCH(C92,'أوامر التوريد'!$A$5:$A$304,0)),""))</f>
        <v/>
      </c>
      <c r="F92" s="39">
        <f>IF(C92="","",IFERROR(INDEX('أوامر التوريد'!$G$5:$G$304,MATCH(C92,'أوامر التوريد'!$A$5:$A$304,0)),""))</f>
        <v/>
      </c>
      <c r="G92" s="49">
        <f>IF(C92="","",IFERROR(INDEX('أوامر التوريد'!$H$5:$H$304,MATCH(C92,'أوامر التوريد'!$A$5:$A$304,0)),""))</f>
        <v/>
      </c>
      <c r="H92" s="39">
        <f>IF(C92="","",IFERROR(INDEX('أوامر التوريد'!$I$5:$I$304,MATCH(C92,'أوامر التوريد'!$A$5:$A$304,0)),""))</f>
        <v/>
      </c>
      <c r="I92" s="40" t="n"/>
      <c r="J92" s="41" t="n"/>
      <c r="K92" s="41" t="n"/>
      <c r="L92" s="46">
        <f>IF(J92="","",J92-K92)</f>
        <v/>
      </c>
      <c r="M92" s="49">
        <f>IF(J92="","",IF(K92=0,"مرفوض",IF(K92&lt;J92,"مقبول جزئياً","مقبول")))</f>
        <v/>
      </c>
      <c r="N92" s="40" t="n"/>
      <c r="O92" s="40" t="n"/>
    </row>
    <row r="93">
      <c r="A93" s="39">
        <f>IF(C93="","","MIR-"&amp;TEXT(ROW()-4,"0000"))</f>
        <v/>
      </c>
      <c r="B93" s="47" t="n"/>
      <c r="C93" s="40" t="n"/>
      <c r="D93" s="39">
        <f>IF(C93="","",IFERROR(INDEX('أوامر التوريد'!$C$5:$C$304,MATCH(C93,'أوامر التوريد'!$A$5:$A$304,0)),""))</f>
        <v/>
      </c>
      <c r="E93" s="49">
        <f>IF(C93="","",IFERROR(INDEX('أوامر التوريد'!$E$5:$E$304,MATCH(C93,'أوامر التوريد'!$A$5:$A$304,0)),""))</f>
        <v/>
      </c>
      <c r="F93" s="39">
        <f>IF(C93="","",IFERROR(INDEX('أوامر التوريد'!$G$5:$G$304,MATCH(C93,'أوامر التوريد'!$A$5:$A$304,0)),""))</f>
        <v/>
      </c>
      <c r="G93" s="49">
        <f>IF(C93="","",IFERROR(INDEX('أوامر التوريد'!$H$5:$H$304,MATCH(C93,'أوامر التوريد'!$A$5:$A$304,0)),""))</f>
        <v/>
      </c>
      <c r="H93" s="39">
        <f>IF(C93="","",IFERROR(INDEX('أوامر التوريد'!$I$5:$I$304,MATCH(C93,'أوامر التوريد'!$A$5:$A$304,0)),""))</f>
        <v/>
      </c>
      <c r="I93" s="40" t="n"/>
      <c r="J93" s="41" t="n"/>
      <c r="K93" s="41" t="n"/>
      <c r="L93" s="46">
        <f>IF(J93="","",J93-K93)</f>
        <v/>
      </c>
      <c r="M93" s="49">
        <f>IF(J93="","",IF(K93=0,"مرفوض",IF(K93&lt;J93,"مقبول جزئياً","مقبول")))</f>
        <v/>
      </c>
      <c r="N93" s="40" t="n"/>
      <c r="O93" s="40" t="n"/>
    </row>
    <row r="94">
      <c r="A94" s="39">
        <f>IF(C94="","","MIR-"&amp;TEXT(ROW()-4,"0000"))</f>
        <v/>
      </c>
      <c r="B94" s="47" t="n"/>
      <c r="C94" s="40" t="n"/>
      <c r="D94" s="39">
        <f>IF(C94="","",IFERROR(INDEX('أوامر التوريد'!$C$5:$C$304,MATCH(C94,'أوامر التوريد'!$A$5:$A$304,0)),""))</f>
        <v/>
      </c>
      <c r="E94" s="49">
        <f>IF(C94="","",IFERROR(INDEX('أوامر التوريد'!$E$5:$E$304,MATCH(C94,'أوامر التوريد'!$A$5:$A$304,0)),""))</f>
        <v/>
      </c>
      <c r="F94" s="39">
        <f>IF(C94="","",IFERROR(INDEX('أوامر التوريد'!$G$5:$G$304,MATCH(C94,'أوامر التوريد'!$A$5:$A$304,0)),""))</f>
        <v/>
      </c>
      <c r="G94" s="49">
        <f>IF(C94="","",IFERROR(INDEX('أوامر التوريد'!$H$5:$H$304,MATCH(C94,'أوامر التوريد'!$A$5:$A$304,0)),""))</f>
        <v/>
      </c>
      <c r="H94" s="39">
        <f>IF(C94="","",IFERROR(INDEX('أوامر التوريد'!$I$5:$I$304,MATCH(C94,'أوامر التوريد'!$A$5:$A$304,0)),""))</f>
        <v/>
      </c>
      <c r="I94" s="40" t="n"/>
      <c r="J94" s="41" t="n"/>
      <c r="K94" s="41" t="n"/>
      <c r="L94" s="46">
        <f>IF(J94="","",J94-K94)</f>
        <v/>
      </c>
      <c r="M94" s="49">
        <f>IF(J94="","",IF(K94=0,"مرفوض",IF(K94&lt;J94,"مقبول جزئياً","مقبول")))</f>
        <v/>
      </c>
      <c r="N94" s="40" t="n"/>
      <c r="O94" s="40" t="n"/>
    </row>
    <row r="95">
      <c r="A95" s="39">
        <f>IF(C95="","","MIR-"&amp;TEXT(ROW()-4,"0000"))</f>
        <v/>
      </c>
      <c r="B95" s="47" t="n"/>
      <c r="C95" s="40" t="n"/>
      <c r="D95" s="39">
        <f>IF(C95="","",IFERROR(INDEX('أوامر التوريد'!$C$5:$C$304,MATCH(C95,'أوامر التوريد'!$A$5:$A$304,0)),""))</f>
        <v/>
      </c>
      <c r="E95" s="49">
        <f>IF(C95="","",IFERROR(INDEX('أوامر التوريد'!$E$5:$E$304,MATCH(C95,'أوامر التوريد'!$A$5:$A$304,0)),""))</f>
        <v/>
      </c>
      <c r="F95" s="39">
        <f>IF(C95="","",IFERROR(INDEX('أوامر التوريد'!$G$5:$G$304,MATCH(C95,'أوامر التوريد'!$A$5:$A$304,0)),""))</f>
        <v/>
      </c>
      <c r="G95" s="49">
        <f>IF(C95="","",IFERROR(INDEX('أوامر التوريد'!$H$5:$H$304,MATCH(C95,'أوامر التوريد'!$A$5:$A$304,0)),""))</f>
        <v/>
      </c>
      <c r="H95" s="39">
        <f>IF(C95="","",IFERROR(INDEX('أوامر التوريد'!$I$5:$I$304,MATCH(C95,'أوامر التوريد'!$A$5:$A$304,0)),""))</f>
        <v/>
      </c>
      <c r="I95" s="40" t="n"/>
      <c r="J95" s="41" t="n"/>
      <c r="K95" s="41" t="n"/>
      <c r="L95" s="46">
        <f>IF(J95="","",J95-K95)</f>
        <v/>
      </c>
      <c r="M95" s="49">
        <f>IF(J95="","",IF(K95=0,"مرفوض",IF(K95&lt;J95,"مقبول جزئياً","مقبول")))</f>
        <v/>
      </c>
      <c r="N95" s="40" t="n"/>
      <c r="O95" s="40" t="n"/>
    </row>
    <row r="96">
      <c r="A96" s="39">
        <f>IF(C96="","","MIR-"&amp;TEXT(ROW()-4,"0000"))</f>
        <v/>
      </c>
      <c r="B96" s="47" t="n"/>
      <c r="C96" s="40" t="n"/>
      <c r="D96" s="39">
        <f>IF(C96="","",IFERROR(INDEX('أوامر التوريد'!$C$5:$C$304,MATCH(C96,'أوامر التوريد'!$A$5:$A$304,0)),""))</f>
        <v/>
      </c>
      <c r="E96" s="49">
        <f>IF(C96="","",IFERROR(INDEX('أوامر التوريد'!$E$5:$E$304,MATCH(C96,'أوامر التوريد'!$A$5:$A$304,0)),""))</f>
        <v/>
      </c>
      <c r="F96" s="39">
        <f>IF(C96="","",IFERROR(INDEX('أوامر التوريد'!$G$5:$G$304,MATCH(C96,'أوامر التوريد'!$A$5:$A$304,0)),""))</f>
        <v/>
      </c>
      <c r="G96" s="49">
        <f>IF(C96="","",IFERROR(INDEX('أوامر التوريد'!$H$5:$H$304,MATCH(C96,'أوامر التوريد'!$A$5:$A$304,0)),""))</f>
        <v/>
      </c>
      <c r="H96" s="39">
        <f>IF(C96="","",IFERROR(INDEX('أوامر التوريد'!$I$5:$I$304,MATCH(C96,'أوامر التوريد'!$A$5:$A$304,0)),""))</f>
        <v/>
      </c>
      <c r="I96" s="40" t="n"/>
      <c r="J96" s="41" t="n"/>
      <c r="K96" s="41" t="n"/>
      <c r="L96" s="46">
        <f>IF(J96="","",J96-K96)</f>
        <v/>
      </c>
      <c r="M96" s="49">
        <f>IF(J96="","",IF(K96=0,"مرفوض",IF(K96&lt;J96,"مقبول جزئياً","مقبول")))</f>
        <v/>
      </c>
      <c r="N96" s="40" t="n"/>
      <c r="O96" s="40" t="n"/>
    </row>
    <row r="97">
      <c r="A97" s="39">
        <f>IF(C97="","","MIR-"&amp;TEXT(ROW()-4,"0000"))</f>
        <v/>
      </c>
      <c r="B97" s="47" t="n"/>
      <c r="C97" s="40" t="n"/>
      <c r="D97" s="39">
        <f>IF(C97="","",IFERROR(INDEX('أوامر التوريد'!$C$5:$C$304,MATCH(C97,'أوامر التوريد'!$A$5:$A$304,0)),""))</f>
        <v/>
      </c>
      <c r="E97" s="49">
        <f>IF(C97="","",IFERROR(INDEX('أوامر التوريد'!$E$5:$E$304,MATCH(C97,'أوامر التوريد'!$A$5:$A$304,0)),""))</f>
        <v/>
      </c>
      <c r="F97" s="39">
        <f>IF(C97="","",IFERROR(INDEX('أوامر التوريد'!$G$5:$G$304,MATCH(C97,'أوامر التوريد'!$A$5:$A$304,0)),""))</f>
        <v/>
      </c>
      <c r="G97" s="49">
        <f>IF(C97="","",IFERROR(INDEX('أوامر التوريد'!$H$5:$H$304,MATCH(C97,'أوامر التوريد'!$A$5:$A$304,0)),""))</f>
        <v/>
      </c>
      <c r="H97" s="39">
        <f>IF(C97="","",IFERROR(INDEX('أوامر التوريد'!$I$5:$I$304,MATCH(C97,'أوامر التوريد'!$A$5:$A$304,0)),""))</f>
        <v/>
      </c>
      <c r="I97" s="40" t="n"/>
      <c r="J97" s="41" t="n"/>
      <c r="K97" s="41" t="n"/>
      <c r="L97" s="46">
        <f>IF(J97="","",J97-K97)</f>
        <v/>
      </c>
      <c r="M97" s="49">
        <f>IF(J97="","",IF(K97=0,"مرفوض",IF(K97&lt;J97,"مقبول جزئياً","مقبول")))</f>
        <v/>
      </c>
      <c r="N97" s="40" t="n"/>
      <c r="O97" s="40" t="n"/>
    </row>
    <row r="98">
      <c r="A98" s="39">
        <f>IF(C98="","","MIR-"&amp;TEXT(ROW()-4,"0000"))</f>
        <v/>
      </c>
      <c r="B98" s="47" t="n"/>
      <c r="C98" s="40" t="n"/>
      <c r="D98" s="39">
        <f>IF(C98="","",IFERROR(INDEX('أوامر التوريد'!$C$5:$C$304,MATCH(C98,'أوامر التوريد'!$A$5:$A$304,0)),""))</f>
        <v/>
      </c>
      <c r="E98" s="49">
        <f>IF(C98="","",IFERROR(INDEX('أوامر التوريد'!$E$5:$E$304,MATCH(C98,'أوامر التوريد'!$A$5:$A$304,0)),""))</f>
        <v/>
      </c>
      <c r="F98" s="39">
        <f>IF(C98="","",IFERROR(INDEX('أوامر التوريد'!$G$5:$G$304,MATCH(C98,'أوامر التوريد'!$A$5:$A$304,0)),""))</f>
        <v/>
      </c>
      <c r="G98" s="49">
        <f>IF(C98="","",IFERROR(INDEX('أوامر التوريد'!$H$5:$H$304,MATCH(C98,'أوامر التوريد'!$A$5:$A$304,0)),""))</f>
        <v/>
      </c>
      <c r="H98" s="39">
        <f>IF(C98="","",IFERROR(INDEX('أوامر التوريد'!$I$5:$I$304,MATCH(C98,'أوامر التوريد'!$A$5:$A$304,0)),""))</f>
        <v/>
      </c>
      <c r="I98" s="40" t="n"/>
      <c r="J98" s="41" t="n"/>
      <c r="K98" s="41" t="n"/>
      <c r="L98" s="46">
        <f>IF(J98="","",J98-K98)</f>
        <v/>
      </c>
      <c r="M98" s="49">
        <f>IF(J98="","",IF(K98=0,"مرفوض",IF(K98&lt;J98,"مقبول جزئياً","مقبول")))</f>
        <v/>
      </c>
      <c r="N98" s="40" t="n"/>
      <c r="O98" s="40" t="n"/>
    </row>
    <row r="99">
      <c r="A99" s="39">
        <f>IF(C99="","","MIR-"&amp;TEXT(ROW()-4,"0000"))</f>
        <v/>
      </c>
      <c r="B99" s="47" t="n"/>
      <c r="C99" s="40" t="n"/>
      <c r="D99" s="39">
        <f>IF(C99="","",IFERROR(INDEX('أوامر التوريد'!$C$5:$C$304,MATCH(C99,'أوامر التوريد'!$A$5:$A$304,0)),""))</f>
        <v/>
      </c>
      <c r="E99" s="49">
        <f>IF(C99="","",IFERROR(INDEX('أوامر التوريد'!$E$5:$E$304,MATCH(C99,'أوامر التوريد'!$A$5:$A$304,0)),""))</f>
        <v/>
      </c>
      <c r="F99" s="39">
        <f>IF(C99="","",IFERROR(INDEX('أوامر التوريد'!$G$5:$G$304,MATCH(C99,'أوامر التوريد'!$A$5:$A$304,0)),""))</f>
        <v/>
      </c>
      <c r="G99" s="49">
        <f>IF(C99="","",IFERROR(INDEX('أوامر التوريد'!$H$5:$H$304,MATCH(C99,'أوامر التوريد'!$A$5:$A$304,0)),""))</f>
        <v/>
      </c>
      <c r="H99" s="39">
        <f>IF(C99="","",IFERROR(INDEX('أوامر التوريد'!$I$5:$I$304,MATCH(C99,'أوامر التوريد'!$A$5:$A$304,0)),""))</f>
        <v/>
      </c>
      <c r="I99" s="40" t="n"/>
      <c r="J99" s="41" t="n"/>
      <c r="K99" s="41" t="n"/>
      <c r="L99" s="46">
        <f>IF(J99="","",J99-K99)</f>
        <v/>
      </c>
      <c r="M99" s="49">
        <f>IF(J99="","",IF(K99=0,"مرفوض",IF(K99&lt;J99,"مقبول جزئياً","مقبول")))</f>
        <v/>
      </c>
      <c r="N99" s="40" t="n"/>
      <c r="O99" s="40" t="n"/>
    </row>
    <row r="100">
      <c r="A100" s="39">
        <f>IF(C100="","","MIR-"&amp;TEXT(ROW()-4,"0000"))</f>
        <v/>
      </c>
      <c r="B100" s="47" t="n"/>
      <c r="C100" s="40" t="n"/>
      <c r="D100" s="39">
        <f>IF(C100="","",IFERROR(INDEX('أوامر التوريد'!$C$5:$C$304,MATCH(C100,'أوامر التوريد'!$A$5:$A$304,0)),""))</f>
        <v/>
      </c>
      <c r="E100" s="49">
        <f>IF(C100="","",IFERROR(INDEX('أوامر التوريد'!$E$5:$E$304,MATCH(C100,'أوامر التوريد'!$A$5:$A$304,0)),""))</f>
        <v/>
      </c>
      <c r="F100" s="39">
        <f>IF(C100="","",IFERROR(INDEX('أوامر التوريد'!$G$5:$G$304,MATCH(C100,'أوامر التوريد'!$A$5:$A$304,0)),""))</f>
        <v/>
      </c>
      <c r="G100" s="49">
        <f>IF(C100="","",IFERROR(INDEX('أوامر التوريد'!$H$5:$H$304,MATCH(C100,'أوامر التوريد'!$A$5:$A$304,0)),""))</f>
        <v/>
      </c>
      <c r="H100" s="39">
        <f>IF(C100="","",IFERROR(INDEX('أوامر التوريد'!$I$5:$I$304,MATCH(C100,'أوامر التوريد'!$A$5:$A$304,0)),""))</f>
        <v/>
      </c>
      <c r="I100" s="40" t="n"/>
      <c r="J100" s="41" t="n"/>
      <c r="K100" s="41" t="n"/>
      <c r="L100" s="46">
        <f>IF(J100="","",J100-K100)</f>
        <v/>
      </c>
      <c r="M100" s="49">
        <f>IF(J100="","",IF(K100=0,"مرفوض",IF(K100&lt;J100,"مقبول جزئياً","مقبول")))</f>
        <v/>
      </c>
      <c r="N100" s="40" t="n"/>
      <c r="O100" s="40" t="n"/>
    </row>
    <row r="101">
      <c r="A101" s="39">
        <f>IF(C101="","","MIR-"&amp;TEXT(ROW()-4,"0000"))</f>
        <v/>
      </c>
      <c r="B101" s="47" t="n"/>
      <c r="C101" s="40" t="n"/>
      <c r="D101" s="39">
        <f>IF(C101="","",IFERROR(INDEX('أوامر التوريد'!$C$5:$C$304,MATCH(C101,'أوامر التوريد'!$A$5:$A$304,0)),""))</f>
        <v/>
      </c>
      <c r="E101" s="49">
        <f>IF(C101="","",IFERROR(INDEX('أوامر التوريد'!$E$5:$E$304,MATCH(C101,'أوامر التوريد'!$A$5:$A$304,0)),""))</f>
        <v/>
      </c>
      <c r="F101" s="39">
        <f>IF(C101="","",IFERROR(INDEX('أوامر التوريد'!$G$5:$G$304,MATCH(C101,'أوامر التوريد'!$A$5:$A$304,0)),""))</f>
        <v/>
      </c>
      <c r="G101" s="49">
        <f>IF(C101="","",IFERROR(INDEX('أوامر التوريد'!$H$5:$H$304,MATCH(C101,'أوامر التوريد'!$A$5:$A$304,0)),""))</f>
        <v/>
      </c>
      <c r="H101" s="39">
        <f>IF(C101="","",IFERROR(INDEX('أوامر التوريد'!$I$5:$I$304,MATCH(C101,'أوامر التوريد'!$A$5:$A$304,0)),""))</f>
        <v/>
      </c>
      <c r="I101" s="40" t="n"/>
      <c r="J101" s="41" t="n"/>
      <c r="K101" s="41" t="n"/>
      <c r="L101" s="46">
        <f>IF(J101="","",J101-K101)</f>
        <v/>
      </c>
      <c r="M101" s="49">
        <f>IF(J101="","",IF(K101=0,"مرفوض",IF(K101&lt;J101,"مقبول جزئياً","مقبول")))</f>
        <v/>
      </c>
      <c r="N101" s="40" t="n"/>
      <c r="O101" s="40" t="n"/>
    </row>
    <row r="102">
      <c r="A102" s="39">
        <f>IF(C102="","","MIR-"&amp;TEXT(ROW()-4,"0000"))</f>
        <v/>
      </c>
      <c r="B102" s="47" t="n"/>
      <c r="C102" s="40" t="n"/>
      <c r="D102" s="39">
        <f>IF(C102="","",IFERROR(INDEX('أوامر التوريد'!$C$5:$C$304,MATCH(C102,'أوامر التوريد'!$A$5:$A$304,0)),""))</f>
        <v/>
      </c>
      <c r="E102" s="49">
        <f>IF(C102="","",IFERROR(INDEX('أوامر التوريد'!$E$5:$E$304,MATCH(C102,'أوامر التوريد'!$A$5:$A$304,0)),""))</f>
        <v/>
      </c>
      <c r="F102" s="39">
        <f>IF(C102="","",IFERROR(INDEX('أوامر التوريد'!$G$5:$G$304,MATCH(C102,'أوامر التوريد'!$A$5:$A$304,0)),""))</f>
        <v/>
      </c>
      <c r="G102" s="49">
        <f>IF(C102="","",IFERROR(INDEX('أوامر التوريد'!$H$5:$H$304,MATCH(C102,'أوامر التوريد'!$A$5:$A$304,0)),""))</f>
        <v/>
      </c>
      <c r="H102" s="39">
        <f>IF(C102="","",IFERROR(INDEX('أوامر التوريد'!$I$5:$I$304,MATCH(C102,'أوامر التوريد'!$A$5:$A$304,0)),""))</f>
        <v/>
      </c>
      <c r="I102" s="40" t="n"/>
      <c r="J102" s="41" t="n"/>
      <c r="K102" s="41" t="n"/>
      <c r="L102" s="46">
        <f>IF(J102="","",J102-K102)</f>
        <v/>
      </c>
      <c r="M102" s="49">
        <f>IF(J102="","",IF(K102=0,"مرفوض",IF(K102&lt;J102,"مقبول جزئياً","مقبول")))</f>
        <v/>
      </c>
      <c r="N102" s="40" t="n"/>
      <c r="O102" s="40" t="n"/>
    </row>
    <row r="103">
      <c r="A103" s="39">
        <f>IF(C103="","","MIR-"&amp;TEXT(ROW()-4,"0000"))</f>
        <v/>
      </c>
      <c r="B103" s="47" t="n"/>
      <c r="C103" s="40" t="n"/>
      <c r="D103" s="39">
        <f>IF(C103="","",IFERROR(INDEX('أوامر التوريد'!$C$5:$C$304,MATCH(C103,'أوامر التوريد'!$A$5:$A$304,0)),""))</f>
        <v/>
      </c>
      <c r="E103" s="49">
        <f>IF(C103="","",IFERROR(INDEX('أوامر التوريد'!$E$5:$E$304,MATCH(C103,'أوامر التوريد'!$A$5:$A$304,0)),""))</f>
        <v/>
      </c>
      <c r="F103" s="39">
        <f>IF(C103="","",IFERROR(INDEX('أوامر التوريد'!$G$5:$G$304,MATCH(C103,'أوامر التوريد'!$A$5:$A$304,0)),""))</f>
        <v/>
      </c>
      <c r="G103" s="49">
        <f>IF(C103="","",IFERROR(INDEX('أوامر التوريد'!$H$5:$H$304,MATCH(C103,'أوامر التوريد'!$A$5:$A$304,0)),""))</f>
        <v/>
      </c>
      <c r="H103" s="39">
        <f>IF(C103="","",IFERROR(INDEX('أوامر التوريد'!$I$5:$I$304,MATCH(C103,'أوامر التوريد'!$A$5:$A$304,0)),""))</f>
        <v/>
      </c>
      <c r="I103" s="40" t="n"/>
      <c r="J103" s="41" t="n"/>
      <c r="K103" s="41" t="n"/>
      <c r="L103" s="46">
        <f>IF(J103="","",J103-K103)</f>
        <v/>
      </c>
      <c r="M103" s="49">
        <f>IF(J103="","",IF(K103=0,"مرفوض",IF(K103&lt;J103,"مقبول جزئياً","مقبول")))</f>
        <v/>
      </c>
      <c r="N103" s="40" t="n"/>
      <c r="O103" s="40" t="n"/>
    </row>
    <row r="104">
      <c r="A104" s="39">
        <f>IF(C104="","","MIR-"&amp;TEXT(ROW()-4,"0000"))</f>
        <v/>
      </c>
      <c r="B104" s="47" t="n"/>
      <c r="C104" s="40" t="n"/>
      <c r="D104" s="39">
        <f>IF(C104="","",IFERROR(INDEX('أوامر التوريد'!$C$5:$C$304,MATCH(C104,'أوامر التوريد'!$A$5:$A$304,0)),""))</f>
        <v/>
      </c>
      <c r="E104" s="49">
        <f>IF(C104="","",IFERROR(INDEX('أوامر التوريد'!$E$5:$E$304,MATCH(C104,'أوامر التوريد'!$A$5:$A$304,0)),""))</f>
        <v/>
      </c>
      <c r="F104" s="39">
        <f>IF(C104="","",IFERROR(INDEX('أوامر التوريد'!$G$5:$G$304,MATCH(C104,'أوامر التوريد'!$A$5:$A$304,0)),""))</f>
        <v/>
      </c>
      <c r="G104" s="49">
        <f>IF(C104="","",IFERROR(INDEX('أوامر التوريد'!$H$5:$H$304,MATCH(C104,'أوامر التوريد'!$A$5:$A$304,0)),""))</f>
        <v/>
      </c>
      <c r="H104" s="39">
        <f>IF(C104="","",IFERROR(INDEX('أوامر التوريد'!$I$5:$I$304,MATCH(C104,'أوامر التوريد'!$A$5:$A$304,0)),""))</f>
        <v/>
      </c>
      <c r="I104" s="40" t="n"/>
      <c r="J104" s="41" t="n"/>
      <c r="K104" s="41" t="n"/>
      <c r="L104" s="46">
        <f>IF(J104="","",J104-K104)</f>
        <v/>
      </c>
      <c r="M104" s="49">
        <f>IF(J104="","",IF(K104=0,"مرفوض",IF(K104&lt;J104,"مقبول جزئياً","مقبول")))</f>
        <v/>
      </c>
      <c r="N104" s="40" t="n"/>
      <c r="O104" s="40" t="n"/>
    </row>
    <row r="105">
      <c r="A105" s="39">
        <f>IF(C105="","","MIR-"&amp;TEXT(ROW()-4,"0000"))</f>
        <v/>
      </c>
      <c r="B105" s="47" t="n"/>
      <c r="C105" s="40" t="n"/>
      <c r="D105" s="39">
        <f>IF(C105="","",IFERROR(INDEX('أوامر التوريد'!$C$5:$C$304,MATCH(C105,'أوامر التوريد'!$A$5:$A$304,0)),""))</f>
        <v/>
      </c>
      <c r="E105" s="49">
        <f>IF(C105="","",IFERROR(INDEX('أوامر التوريد'!$E$5:$E$304,MATCH(C105,'أوامر التوريد'!$A$5:$A$304,0)),""))</f>
        <v/>
      </c>
      <c r="F105" s="39">
        <f>IF(C105="","",IFERROR(INDEX('أوامر التوريد'!$G$5:$G$304,MATCH(C105,'أوامر التوريد'!$A$5:$A$304,0)),""))</f>
        <v/>
      </c>
      <c r="G105" s="49">
        <f>IF(C105="","",IFERROR(INDEX('أوامر التوريد'!$H$5:$H$304,MATCH(C105,'أوامر التوريد'!$A$5:$A$304,0)),""))</f>
        <v/>
      </c>
      <c r="H105" s="39">
        <f>IF(C105="","",IFERROR(INDEX('أوامر التوريد'!$I$5:$I$304,MATCH(C105,'أوامر التوريد'!$A$5:$A$304,0)),""))</f>
        <v/>
      </c>
      <c r="I105" s="40" t="n"/>
      <c r="J105" s="41" t="n"/>
      <c r="K105" s="41" t="n"/>
      <c r="L105" s="46">
        <f>IF(J105="","",J105-K105)</f>
        <v/>
      </c>
      <c r="M105" s="49">
        <f>IF(J105="","",IF(K105=0,"مرفوض",IF(K105&lt;J105,"مقبول جزئياً","مقبول")))</f>
        <v/>
      </c>
      <c r="N105" s="40" t="n"/>
      <c r="O105" s="40" t="n"/>
    </row>
    <row r="106">
      <c r="A106" s="39">
        <f>IF(C106="","","MIR-"&amp;TEXT(ROW()-4,"0000"))</f>
        <v/>
      </c>
      <c r="B106" s="47" t="n"/>
      <c r="C106" s="40" t="n"/>
      <c r="D106" s="39">
        <f>IF(C106="","",IFERROR(INDEX('أوامر التوريد'!$C$5:$C$304,MATCH(C106,'أوامر التوريد'!$A$5:$A$304,0)),""))</f>
        <v/>
      </c>
      <c r="E106" s="49">
        <f>IF(C106="","",IFERROR(INDEX('أوامر التوريد'!$E$5:$E$304,MATCH(C106,'أوامر التوريد'!$A$5:$A$304,0)),""))</f>
        <v/>
      </c>
      <c r="F106" s="39">
        <f>IF(C106="","",IFERROR(INDEX('أوامر التوريد'!$G$5:$G$304,MATCH(C106,'أوامر التوريد'!$A$5:$A$304,0)),""))</f>
        <v/>
      </c>
      <c r="G106" s="49">
        <f>IF(C106="","",IFERROR(INDEX('أوامر التوريد'!$H$5:$H$304,MATCH(C106,'أوامر التوريد'!$A$5:$A$304,0)),""))</f>
        <v/>
      </c>
      <c r="H106" s="39">
        <f>IF(C106="","",IFERROR(INDEX('أوامر التوريد'!$I$5:$I$304,MATCH(C106,'أوامر التوريد'!$A$5:$A$304,0)),""))</f>
        <v/>
      </c>
      <c r="I106" s="40" t="n"/>
      <c r="J106" s="41" t="n"/>
      <c r="K106" s="41" t="n"/>
      <c r="L106" s="46">
        <f>IF(J106="","",J106-K106)</f>
        <v/>
      </c>
      <c r="M106" s="49">
        <f>IF(J106="","",IF(K106=0,"مرفوض",IF(K106&lt;J106,"مقبول جزئياً","مقبول")))</f>
        <v/>
      </c>
      <c r="N106" s="40" t="n"/>
      <c r="O106" s="40" t="n"/>
    </row>
    <row r="107">
      <c r="A107" s="39">
        <f>IF(C107="","","MIR-"&amp;TEXT(ROW()-4,"0000"))</f>
        <v/>
      </c>
      <c r="B107" s="47" t="n"/>
      <c r="C107" s="40" t="n"/>
      <c r="D107" s="39">
        <f>IF(C107="","",IFERROR(INDEX('أوامر التوريد'!$C$5:$C$304,MATCH(C107,'أوامر التوريد'!$A$5:$A$304,0)),""))</f>
        <v/>
      </c>
      <c r="E107" s="49">
        <f>IF(C107="","",IFERROR(INDEX('أوامر التوريد'!$E$5:$E$304,MATCH(C107,'أوامر التوريد'!$A$5:$A$304,0)),""))</f>
        <v/>
      </c>
      <c r="F107" s="39">
        <f>IF(C107="","",IFERROR(INDEX('أوامر التوريد'!$G$5:$G$304,MATCH(C107,'أوامر التوريد'!$A$5:$A$304,0)),""))</f>
        <v/>
      </c>
      <c r="G107" s="49">
        <f>IF(C107="","",IFERROR(INDEX('أوامر التوريد'!$H$5:$H$304,MATCH(C107,'أوامر التوريد'!$A$5:$A$304,0)),""))</f>
        <v/>
      </c>
      <c r="H107" s="39">
        <f>IF(C107="","",IFERROR(INDEX('أوامر التوريد'!$I$5:$I$304,MATCH(C107,'أوامر التوريد'!$A$5:$A$304,0)),""))</f>
        <v/>
      </c>
      <c r="I107" s="40" t="n"/>
      <c r="J107" s="41" t="n"/>
      <c r="K107" s="41" t="n"/>
      <c r="L107" s="46">
        <f>IF(J107="","",J107-K107)</f>
        <v/>
      </c>
      <c r="M107" s="49">
        <f>IF(J107="","",IF(K107=0,"مرفوض",IF(K107&lt;J107,"مقبول جزئياً","مقبول")))</f>
        <v/>
      </c>
      <c r="N107" s="40" t="n"/>
      <c r="O107" s="40" t="n"/>
    </row>
    <row r="108">
      <c r="A108" s="39">
        <f>IF(C108="","","MIR-"&amp;TEXT(ROW()-4,"0000"))</f>
        <v/>
      </c>
      <c r="B108" s="47" t="n"/>
      <c r="C108" s="40" t="n"/>
      <c r="D108" s="39">
        <f>IF(C108="","",IFERROR(INDEX('أوامر التوريد'!$C$5:$C$304,MATCH(C108,'أوامر التوريد'!$A$5:$A$304,0)),""))</f>
        <v/>
      </c>
      <c r="E108" s="49">
        <f>IF(C108="","",IFERROR(INDEX('أوامر التوريد'!$E$5:$E$304,MATCH(C108,'أوامر التوريد'!$A$5:$A$304,0)),""))</f>
        <v/>
      </c>
      <c r="F108" s="39">
        <f>IF(C108="","",IFERROR(INDEX('أوامر التوريد'!$G$5:$G$304,MATCH(C108,'أوامر التوريد'!$A$5:$A$304,0)),""))</f>
        <v/>
      </c>
      <c r="G108" s="49">
        <f>IF(C108="","",IFERROR(INDEX('أوامر التوريد'!$H$5:$H$304,MATCH(C108,'أوامر التوريد'!$A$5:$A$304,0)),""))</f>
        <v/>
      </c>
      <c r="H108" s="39">
        <f>IF(C108="","",IFERROR(INDEX('أوامر التوريد'!$I$5:$I$304,MATCH(C108,'أوامر التوريد'!$A$5:$A$304,0)),""))</f>
        <v/>
      </c>
      <c r="I108" s="40" t="n"/>
      <c r="J108" s="41" t="n"/>
      <c r="K108" s="41" t="n"/>
      <c r="L108" s="46">
        <f>IF(J108="","",J108-K108)</f>
        <v/>
      </c>
      <c r="M108" s="49">
        <f>IF(J108="","",IF(K108=0,"مرفوض",IF(K108&lt;J108,"مقبول جزئياً","مقبول")))</f>
        <v/>
      </c>
      <c r="N108" s="40" t="n"/>
      <c r="O108" s="40" t="n"/>
    </row>
    <row r="109">
      <c r="A109" s="39">
        <f>IF(C109="","","MIR-"&amp;TEXT(ROW()-4,"0000"))</f>
        <v/>
      </c>
      <c r="B109" s="47" t="n"/>
      <c r="C109" s="40" t="n"/>
      <c r="D109" s="39">
        <f>IF(C109="","",IFERROR(INDEX('أوامر التوريد'!$C$5:$C$304,MATCH(C109,'أوامر التوريد'!$A$5:$A$304,0)),""))</f>
        <v/>
      </c>
      <c r="E109" s="49">
        <f>IF(C109="","",IFERROR(INDEX('أوامر التوريد'!$E$5:$E$304,MATCH(C109,'أوامر التوريد'!$A$5:$A$304,0)),""))</f>
        <v/>
      </c>
      <c r="F109" s="39">
        <f>IF(C109="","",IFERROR(INDEX('أوامر التوريد'!$G$5:$G$304,MATCH(C109,'أوامر التوريد'!$A$5:$A$304,0)),""))</f>
        <v/>
      </c>
      <c r="G109" s="49">
        <f>IF(C109="","",IFERROR(INDEX('أوامر التوريد'!$H$5:$H$304,MATCH(C109,'أوامر التوريد'!$A$5:$A$304,0)),""))</f>
        <v/>
      </c>
      <c r="H109" s="39">
        <f>IF(C109="","",IFERROR(INDEX('أوامر التوريد'!$I$5:$I$304,MATCH(C109,'أوامر التوريد'!$A$5:$A$304,0)),""))</f>
        <v/>
      </c>
      <c r="I109" s="40" t="n"/>
      <c r="J109" s="41" t="n"/>
      <c r="K109" s="41" t="n"/>
      <c r="L109" s="46">
        <f>IF(J109="","",J109-K109)</f>
        <v/>
      </c>
      <c r="M109" s="49">
        <f>IF(J109="","",IF(K109=0,"مرفوض",IF(K109&lt;J109,"مقبول جزئياً","مقبول")))</f>
        <v/>
      </c>
      <c r="N109" s="40" t="n"/>
      <c r="O109" s="40" t="n"/>
    </row>
    <row r="110">
      <c r="A110" s="39">
        <f>IF(C110="","","MIR-"&amp;TEXT(ROW()-4,"0000"))</f>
        <v/>
      </c>
      <c r="B110" s="47" t="n"/>
      <c r="C110" s="40" t="n"/>
      <c r="D110" s="39">
        <f>IF(C110="","",IFERROR(INDEX('أوامر التوريد'!$C$5:$C$304,MATCH(C110,'أوامر التوريد'!$A$5:$A$304,0)),""))</f>
        <v/>
      </c>
      <c r="E110" s="49">
        <f>IF(C110="","",IFERROR(INDEX('أوامر التوريد'!$E$5:$E$304,MATCH(C110,'أوامر التوريد'!$A$5:$A$304,0)),""))</f>
        <v/>
      </c>
      <c r="F110" s="39">
        <f>IF(C110="","",IFERROR(INDEX('أوامر التوريد'!$G$5:$G$304,MATCH(C110,'أوامر التوريد'!$A$5:$A$304,0)),""))</f>
        <v/>
      </c>
      <c r="G110" s="49">
        <f>IF(C110="","",IFERROR(INDEX('أوامر التوريد'!$H$5:$H$304,MATCH(C110,'أوامر التوريد'!$A$5:$A$304,0)),""))</f>
        <v/>
      </c>
      <c r="H110" s="39">
        <f>IF(C110="","",IFERROR(INDEX('أوامر التوريد'!$I$5:$I$304,MATCH(C110,'أوامر التوريد'!$A$5:$A$304,0)),""))</f>
        <v/>
      </c>
      <c r="I110" s="40" t="n"/>
      <c r="J110" s="41" t="n"/>
      <c r="K110" s="41" t="n"/>
      <c r="L110" s="46">
        <f>IF(J110="","",J110-K110)</f>
        <v/>
      </c>
      <c r="M110" s="49">
        <f>IF(J110="","",IF(K110=0,"مرفوض",IF(K110&lt;J110,"مقبول جزئياً","مقبول")))</f>
        <v/>
      </c>
      <c r="N110" s="40" t="n"/>
      <c r="O110" s="40" t="n"/>
    </row>
    <row r="111">
      <c r="A111" s="39">
        <f>IF(C111="","","MIR-"&amp;TEXT(ROW()-4,"0000"))</f>
        <v/>
      </c>
      <c r="B111" s="47" t="n"/>
      <c r="C111" s="40" t="n"/>
      <c r="D111" s="39">
        <f>IF(C111="","",IFERROR(INDEX('أوامر التوريد'!$C$5:$C$304,MATCH(C111,'أوامر التوريد'!$A$5:$A$304,0)),""))</f>
        <v/>
      </c>
      <c r="E111" s="49">
        <f>IF(C111="","",IFERROR(INDEX('أوامر التوريد'!$E$5:$E$304,MATCH(C111,'أوامر التوريد'!$A$5:$A$304,0)),""))</f>
        <v/>
      </c>
      <c r="F111" s="39">
        <f>IF(C111="","",IFERROR(INDEX('أوامر التوريد'!$G$5:$G$304,MATCH(C111,'أوامر التوريد'!$A$5:$A$304,0)),""))</f>
        <v/>
      </c>
      <c r="G111" s="49">
        <f>IF(C111="","",IFERROR(INDEX('أوامر التوريد'!$H$5:$H$304,MATCH(C111,'أوامر التوريد'!$A$5:$A$304,0)),""))</f>
        <v/>
      </c>
      <c r="H111" s="39">
        <f>IF(C111="","",IFERROR(INDEX('أوامر التوريد'!$I$5:$I$304,MATCH(C111,'أوامر التوريد'!$A$5:$A$304,0)),""))</f>
        <v/>
      </c>
      <c r="I111" s="40" t="n"/>
      <c r="J111" s="41" t="n"/>
      <c r="K111" s="41" t="n"/>
      <c r="L111" s="46">
        <f>IF(J111="","",J111-K111)</f>
        <v/>
      </c>
      <c r="M111" s="49">
        <f>IF(J111="","",IF(K111=0,"مرفوض",IF(K111&lt;J111,"مقبول جزئياً","مقبول")))</f>
        <v/>
      </c>
      <c r="N111" s="40" t="n"/>
      <c r="O111" s="40" t="n"/>
    </row>
    <row r="112">
      <c r="A112" s="39">
        <f>IF(C112="","","MIR-"&amp;TEXT(ROW()-4,"0000"))</f>
        <v/>
      </c>
      <c r="B112" s="47" t="n"/>
      <c r="C112" s="40" t="n"/>
      <c r="D112" s="39">
        <f>IF(C112="","",IFERROR(INDEX('أوامر التوريد'!$C$5:$C$304,MATCH(C112,'أوامر التوريد'!$A$5:$A$304,0)),""))</f>
        <v/>
      </c>
      <c r="E112" s="49">
        <f>IF(C112="","",IFERROR(INDEX('أوامر التوريد'!$E$5:$E$304,MATCH(C112,'أوامر التوريد'!$A$5:$A$304,0)),""))</f>
        <v/>
      </c>
      <c r="F112" s="39">
        <f>IF(C112="","",IFERROR(INDEX('أوامر التوريد'!$G$5:$G$304,MATCH(C112,'أوامر التوريد'!$A$5:$A$304,0)),""))</f>
        <v/>
      </c>
      <c r="G112" s="49">
        <f>IF(C112="","",IFERROR(INDEX('أوامر التوريد'!$H$5:$H$304,MATCH(C112,'أوامر التوريد'!$A$5:$A$304,0)),""))</f>
        <v/>
      </c>
      <c r="H112" s="39">
        <f>IF(C112="","",IFERROR(INDEX('أوامر التوريد'!$I$5:$I$304,MATCH(C112,'أوامر التوريد'!$A$5:$A$304,0)),""))</f>
        <v/>
      </c>
      <c r="I112" s="40" t="n"/>
      <c r="J112" s="41" t="n"/>
      <c r="K112" s="41" t="n"/>
      <c r="L112" s="46">
        <f>IF(J112="","",J112-K112)</f>
        <v/>
      </c>
      <c r="M112" s="49">
        <f>IF(J112="","",IF(K112=0,"مرفوض",IF(K112&lt;J112,"مقبول جزئياً","مقبول")))</f>
        <v/>
      </c>
      <c r="N112" s="40" t="n"/>
      <c r="O112" s="40" t="n"/>
    </row>
    <row r="113">
      <c r="A113" s="39">
        <f>IF(C113="","","MIR-"&amp;TEXT(ROW()-4,"0000"))</f>
        <v/>
      </c>
      <c r="B113" s="47" t="n"/>
      <c r="C113" s="40" t="n"/>
      <c r="D113" s="39">
        <f>IF(C113="","",IFERROR(INDEX('أوامر التوريد'!$C$5:$C$304,MATCH(C113,'أوامر التوريد'!$A$5:$A$304,0)),""))</f>
        <v/>
      </c>
      <c r="E113" s="49">
        <f>IF(C113="","",IFERROR(INDEX('أوامر التوريد'!$E$5:$E$304,MATCH(C113,'أوامر التوريد'!$A$5:$A$304,0)),""))</f>
        <v/>
      </c>
      <c r="F113" s="39">
        <f>IF(C113="","",IFERROR(INDEX('أوامر التوريد'!$G$5:$G$304,MATCH(C113,'أوامر التوريد'!$A$5:$A$304,0)),""))</f>
        <v/>
      </c>
      <c r="G113" s="49">
        <f>IF(C113="","",IFERROR(INDEX('أوامر التوريد'!$H$5:$H$304,MATCH(C113,'أوامر التوريد'!$A$5:$A$304,0)),""))</f>
        <v/>
      </c>
      <c r="H113" s="39">
        <f>IF(C113="","",IFERROR(INDEX('أوامر التوريد'!$I$5:$I$304,MATCH(C113,'أوامر التوريد'!$A$5:$A$304,0)),""))</f>
        <v/>
      </c>
      <c r="I113" s="40" t="n"/>
      <c r="J113" s="41" t="n"/>
      <c r="K113" s="41" t="n"/>
      <c r="L113" s="46">
        <f>IF(J113="","",J113-K113)</f>
        <v/>
      </c>
      <c r="M113" s="49">
        <f>IF(J113="","",IF(K113=0,"مرفوض",IF(K113&lt;J113,"مقبول جزئياً","مقبول")))</f>
        <v/>
      </c>
      <c r="N113" s="40" t="n"/>
      <c r="O113" s="40" t="n"/>
    </row>
    <row r="114">
      <c r="A114" s="39">
        <f>IF(C114="","","MIR-"&amp;TEXT(ROW()-4,"0000"))</f>
        <v/>
      </c>
      <c r="B114" s="47" t="n"/>
      <c r="C114" s="40" t="n"/>
      <c r="D114" s="39">
        <f>IF(C114="","",IFERROR(INDEX('أوامر التوريد'!$C$5:$C$304,MATCH(C114,'أوامر التوريد'!$A$5:$A$304,0)),""))</f>
        <v/>
      </c>
      <c r="E114" s="49">
        <f>IF(C114="","",IFERROR(INDEX('أوامر التوريد'!$E$5:$E$304,MATCH(C114,'أوامر التوريد'!$A$5:$A$304,0)),""))</f>
        <v/>
      </c>
      <c r="F114" s="39">
        <f>IF(C114="","",IFERROR(INDEX('أوامر التوريد'!$G$5:$G$304,MATCH(C114,'أوامر التوريد'!$A$5:$A$304,0)),""))</f>
        <v/>
      </c>
      <c r="G114" s="49">
        <f>IF(C114="","",IFERROR(INDEX('أوامر التوريد'!$H$5:$H$304,MATCH(C114,'أوامر التوريد'!$A$5:$A$304,0)),""))</f>
        <v/>
      </c>
      <c r="H114" s="39">
        <f>IF(C114="","",IFERROR(INDEX('أوامر التوريد'!$I$5:$I$304,MATCH(C114,'أوامر التوريد'!$A$5:$A$304,0)),""))</f>
        <v/>
      </c>
      <c r="I114" s="40" t="n"/>
      <c r="J114" s="41" t="n"/>
      <c r="K114" s="41" t="n"/>
      <c r="L114" s="46">
        <f>IF(J114="","",J114-K114)</f>
        <v/>
      </c>
      <c r="M114" s="49">
        <f>IF(J114="","",IF(K114=0,"مرفوض",IF(K114&lt;J114,"مقبول جزئياً","مقبول")))</f>
        <v/>
      </c>
      <c r="N114" s="40" t="n"/>
      <c r="O114" s="40" t="n"/>
    </row>
    <row r="115">
      <c r="A115" s="39">
        <f>IF(C115="","","MIR-"&amp;TEXT(ROW()-4,"0000"))</f>
        <v/>
      </c>
      <c r="B115" s="47" t="n"/>
      <c r="C115" s="40" t="n"/>
      <c r="D115" s="39">
        <f>IF(C115="","",IFERROR(INDEX('أوامر التوريد'!$C$5:$C$304,MATCH(C115,'أوامر التوريد'!$A$5:$A$304,0)),""))</f>
        <v/>
      </c>
      <c r="E115" s="49">
        <f>IF(C115="","",IFERROR(INDEX('أوامر التوريد'!$E$5:$E$304,MATCH(C115,'أوامر التوريد'!$A$5:$A$304,0)),""))</f>
        <v/>
      </c>
      <c r="F115" s="39">
        <f>IF(C115="","",IFERROR(INDEX('أوامر التوريد'!$G$5:$G$304,MATCH(C115,'أوامر التوريد'!$A$5:$A$304,0)),""))</f>
        <v/>
      </c>
      <c r="G115" s="49">
        <f>IF(C115="","",IFERROR(INDEX('أوامر التوريد'!$H$5:$H$304,MATCH(C115,'أوامر التوريد'!$A$5:$A$304,0)),""))</f>
        <v/>
      </c>
      <c r="H115" s="39">
        <f>IF(C115="","",IFERROR(INDEX('أوامر التوريد'!$I$5:$I$304,MATCH(C115,'أوامر التوريد'!$A$5:$A$304,0)),""))</f>
        <v/>
      </c>
      <c r="I115" s="40" t="n"/>
      <c r="J115" s="41" t="n"/>
      <c r="K115" s="41" t="n"/>
      <c r="L115" s="46">
        <f>IF(J115="","",J115-K115)</f>
        <v/>
      </c>
      <c r="M115" s="49">
        <f>IF(J115="","",IF(K115=0,"مرفوض",IF(K115&lt;J115,"مقبول جزئياً","مقبول")))</f>
        <v/>
      </c>
      <c r="N115" s="40" t="n"/>
      <c r="O115" s="40" t="n"/>
    </row>
    <row r="116">
      <c r="A116" s="39">
        <f>IF(C116="","","MIR-"&amp;TEXT(ROW()-4,"0000"))</f>
        <v/>
      </c>
      <c r="B116" s="47" t="n"/>
      <c r="C116" s="40" t="n"/>
      <c r="D116" s="39">
        <f>IF(C116="","",IFERROR(INDEX('أوامر التوريد'!$C$5:$C$304,MATCH(C116,'أوامر التوريد'!$A$5:$A$304,0)),""))</f>
        <v/>
      </c>
      <c r="E116" s="49">
        <f>IF(C116="","",IFERROR(INDEX('أوامر التوريد'!$E$5:$E$304,MATCH(C116,'أوامر التوريد'!$A$5:$A$304,0)),""))</f>
        <v/>
      </c>
      <c r="F116" s="39">
        <f>IF(C116="","",IFERROR(INDEX('أوامر التوريد'!$G$5:$G$304,MATCH(C116,'أوامر التوريد'!$A$5:$A$304,0)),""))</f>
        <v/>
      </c>
      <c r="G116" s="49">
        <f>IF(C116="","",IFERROR(INDEX('أوامر التوريد'!$H$5:$H$304,MATCH(C116,'أوامر التوريد'!$A$5:$A$304,0)),""))</f>
        <v/>
      </c>
      <c r="H116" s="39">
        <f>IF(C116="","",IFERROR(INDEX('أوامر التوريد'!$I$5:$I$304,MATCH(C116,'أوامر التوريد'!$A$5:$A$304,0)),""))</f>
        <v/>
      </c>
      <c r="I116" s="40" t="n"/>
      <c r="J116" s="41" t="n"/>
      <c r="K116" s="41" t="n"/>
      <c r="L116" s="46">
        <f>IF(J116="","",J116-K116)</f>
        <v/>
      </c>
      <c r="M116" s="49">
        <f>IF(J116="","",IF(K116=0,"مرفوض",IF(K116&lt;J116,"مقبول جزئياً","مقبول")))</f>
        <v/>
      </c>
      <c r="N116" s="40" t="n"/>
      <c r="O116" s="40" t="n"/>
    </row>
    <row r="117">
      <c r="A117" s="39">
        <f>IF(C117="","","MIR-"&amp;TEXT(ROW()-4,"0000"))</f>
        <v/>
      </c>
      <c r="B117" s="47" t="n"/>
      <c r="C117" s="40" t="n"/>
      <c r="D117" s="39">
        <f>IF(C117="","",IFERROR(INDEX('أوامر التوريد'!$C$5:$C$304,MATCH(C117,'أوامر التوريد'!$A$5:$A$304,0)),""))</f>
        <v/>
      </c>
      <c r="E117" s="49">
        <f>IF(C117="","",IFERROR(INDEX('أوامر التوريد'!$E$5:$E$304,MATCH(C117,'أوامر التوريد'!$A$5:$A$304,0)),""))</f>
        <v/>
      </c>
      <c r="F117" s="39">
        <f>IF(C117="","",IFERROR(INDEX('أوامر التوريد'!$G$5:$G$304,MATCH(C117,'أوامر التوريد'!$A$5:$A$304,0)),""))</f>
        <v/>
      </c>
      <c r="G117" s="49">
        <f>IF(C117="","",IFERROR(INDEX('أوامر التوريد'!$H$5:$H$304,MATCH(C117,'أوامر التوريد'!$A$5:$A$304,0)),""))</f>
        <v/>
      </c>
      <c r="H117" s="39">
        <f>IF(C117="","",IFERROR(INDEX('أوامر التوريد'!$I$5:$I$304,MATCH(C117,'أوامر التوريد'!$A$5:$A$304,0)),""))</f>
        <v/>
      </c>
      <c r="I117" s="40" t="n"/>
      <c r="J117" s="41" t="n"/>
      <c r="K117" s="41" t="n"/>
      <c r="L117" s="46">
        <f>IF(J117="","",J117-K117)</f>
        <v/>
      </c>
      <c r="M117" s="49">
        <f>IF(J117="","",IF(K117=0,"مرفوض",IF(K117&lt;J117,"مقبول جزئياً","مقبول")))</f>
        <v/>
      </c>
      <c r="N117" s="40" t="n"/>
      <c r="O117" s="40" t="n"/>
    </row>
    <row r="118">
      <c r="A118" s="39">
        <f>IF(C118="","","MIR-"&amp;TEXT(ROW()-4,"0000"))</f>
        <v/>
      </c>
      <c r="B118" s="47" t="n"/>
      <c r="C118" s="40" t="n"/>
      <c r="D118" s="39">
        <f>IF(C118="","",IFERROR(INDEX('أوامر التوريد'!$C$5:$C$304,MATCH(C118,'أوامر التوريد'!$A$5:$A$304,0)),""))</f>
        <v/>
      </c>
      <c r="E118" s="49">
        <f>IF(C118="","",IFERROR(INDEX('أوامر التوريد'!$E$5:$E$304,MATCH(C118,'أوامر التوريد'!$A$5:$A$304,0)),""))</f>
        <v/>
      </c>
      <c r="F118" s="39">
        <f>IF(C118="","",IFERROR(INDEX('أوامر التوريد'!$G$5:$G$304,MATCH(C118,'أوامر التوريد'!$A$5:$A$304,0)),""))</f>
        <v/>
      </c>
      <c r="G118" s="49">
        <f>IF(C118="","",IFERROR(INDEX('أوامر التوريد'!$H$5:$H$304,MATCH(C118,'أوامر التوريد'!$A$5:$A$304,0)),""))</f>
        <v/>
      </c>
      <c r="H118" s="39">
        <f>IF(C118="","",IFERROR(INDEX('أوامر التوريد'!$I$5:$I$304,MATCH(C118,'أوامر التوريد'!$A$5:$A$304,0)),""))</f>
        <v/>
      </c>
      <c r="I118" s="40" t="n"/>
      <c r="J118" s="41" t="n"/>
      <c r="K118" s="41" t="n"/>
      <c r="L118" s="46">
        <f>IF(J118="","",J118-K118)</f>
        <v/>
      </c>
      <c r="M118" s="49">
        <f>IF(J118="","",IF(K118=0,"مرفوض",IF(K118&lt;J118,"مقبول جزئياً","مقبول")))</f>
        <v/>
      </c>
      <c r="N118" s="40" t="n"/>
      <c r="O118" s="40" t="n"/>
    </row>
    <row r="119">
      <c r="A119" s="39">
        <f>IF(C119="","","MIR-"&amp;TEXT(ROW()-4,"0000"))</f>
        <v/>
      </c>
      <c r="B119" s="47" t="n"/>
      <c r="C119" s="40" t="n"/>
      <c r="D119" s="39">
        <f>IF(C119="","",IFERROR(INDEX('أوامر التوريد'!$C$5:$C$304,MATCH(C119,'أوامر التوريد'!$A$5:$A$304,0)),""))</f>
        <v/>
      </c>
      <c r="E119" s="49">
        <f>IF(C119="","",IFERROR(INDEX('أوامر التوريد'!$E$5:$E$304,MATCH(C119,'أوامر التوريد'!$A$5:$A$304,0)),""))</f>
        <v/>
      </c>
      <c r="F119" s="39">
        <f>IF(C119="","",IFERROR(INDEX('أوامر التوريد'!$G$5:$G$304,MATCH(C119,'أوامر التوريد'!$A$5:$A$304,0)),""))</f>
        <v/>
      </c>
      <c r="G119" s="49">
        <f>IF(C119="","",IFERROR(INDEX('أوامر التوريد'!$H$5:$H$304,MATCH(C119,'أوامر التوريد'!$A$5:$A$304,0)),""))</f>
        <v/>
      </c>
      <c r="H119" s="39">
        <f>IF(C119="","",IFERROR(INDEX('أوامر التوريد'!$I$5:$I$304,MATCH(C119,'أوامر التوريد'!$A$5:$A$304,0)),""))</f>
        <v/>
      </c>
      <c r="I119" s="40" t="n"/>
      <c r="J119" s="41" t="n"/>
      <c r="K119" s="41" t="n"/>
      <c r="L119" s="46">
        <f>IF(J119="","",J119-K119)</f>
        <v/>
      </c>
      <c r="M119" s="49">
        <f>IF(J119="","",IF(K119=0,"مرفوض",IF(K119&lt;J119,"مقبول جزئياً","مقبول")))</f>
        <v/>
      </c>
      <c r="N119" s="40" t="n"/>
      <c r="O119" s="40" t="n"/>
    </row>
    <row r="120">
      <c r="A120" s="39">
        <f>IF(C120="","","MIR-"&amp;TEXT(ROW()-4,"0000"))</f>
        <v/>
      </c>
      <c r="B120" s="47" t="n"/>
      <c r="C120" s="40" t="n"/>
      <c r="D120" s="39">
        <f>IF(C120="","",IFERROR(INDEX('أوامر التوريد'!$C$5:$C$304,MATCH(C120,'أوامر التوريد'!$A$5:$A$304,0)),""))</f>
        <v/>
      </c>
      <c r="E120" s="49">
        <f>IF(C120="","",IFERROR(INDEX('أوامر التوريد'!$E$5:$E$304,MATCH(C120,'أوامر التوريد'!$A$5:$A$304,0)),""))</f>
        <v/>
      </c>
      <c r="F120" s="39">
        <f>IF(C120="","",IFERROR(INDEX('أوامر التوريد'!$G$5:$G$304,MATCH(C120,'أوامر التوريد'!$A$5:$A$304,0)),""))</f>
        <v/>
      </c>
      <c r="G120" s="49">
        <f>IF(C120="","",IFERROR(INDEX('أوامر التوريد'!$H$5:$H$304,MATCH(C120,'أوامر التوريد'!$A$5:$A$304,0)),""))</f>
        <v/>
      </c>
      <c r="H120" s="39">
        <f>IF(C120="","",IFERROR(INDEX('أوامر التوريد'!$I$5:$I$304,MATCH(C120,'أوامر التوريد'!$A$5:$A$304,0)),""))</f>
        <v/>
      </c>
      <c r="I120" s="40" t="n"/>
      <c r="J120" s="41" t="n"/>
      <c r="K120" s="41" t="n"/>
      <c r="L120" s="46">
        <f>IF(J120="","",J120-K120)</f>
        <v/>
      </c>
      <c r="M120" s="49">
        <f>IF(J120="","",IF(K120=0,"مرفوض",IF(K120&lt;J120,"مقبول جزئياً","مقبول")))</f>
        <v/>
      </c>
      <c r="N120" s="40" t="n"/>
      <c r="O120" s="40" t="n"/>
    </row>
    <row r="121">
      <c r="A121" s="39">
        <f>IF(C121="","","MIR-"&amp;TEXT(ROW()-4,"0000"))</f>
        <v/>
      </c>
      <c r="B121" s="47" t="n"/>
      <c r="C121" s="40" t="n"/>
      <c r="D121" s="39">
        <f>IF(C121="","",IFERROR(INDEX('أوامر التوريد'!$C$5:$C$304,MATCH(C121,'أوامر التوريد'!$A$5:$A$304,0)),""))</f>
        <v/>
      </c>
      <c r="E121" s="49">
        <f>IF(C121="","",IFERROR(INDEX('أوامر التوريد'!$E$5:$E$304,MATCH(C121,'أوامر التوريد'!$A$5:$A$304,0)),""))</f>
        <v/>
      </c>
      <c r="F121" s="39">
        <f>IF(C121="","",IFERROR(INDEX('أوامر التوريد'!$G$5:$G$304,MATCH(C121,'أوامر التوريد'!$A$5:$A$304,0)),""))</f>
        <v/>
      </c>
      <c r="G121" s="49">
        <f>IF(C121="","",IFERROR(INDEX('أوامر التوريد'!$H$5:$H$304,MATCH(C121,'أوامر التوريد'!$A$5:$A$304,0)),""))</f>
        <v/>
      </c>
      <c r="H121" s="39">
        <f>IF(C121="","",IFERROR(INDEX('أوامر التوريد'!$I$5:$I$304,MATCH(C121,'أوامر التوريد'!$A$5:$A$304,0)),""))</f>
        <v/>
      </c>
      <c r="I121" s="40" t="n"/>
      <c r="J121" s="41" t="n"/>
      <c r="K121" s="41" t="n"/>
      <c r="L121" s="46">
        <f>IF(J121="","",J121-K121)</f>
        <v/>
      </c>
      <c r="M121" s="49">
        <f>IF(J121="","",IF(K121=0,"مرفوض",IF(K121&lt;J121,"مقبول جزئياً","مقبول")))</f>
        <v/>
      </c>
      <c r="N121" s="40" t="n"/>
      <c r="O121" s="40" t="n"/>
    </row>
    <row r="122">
      <c r="A122" s="39">
        <f>IF(C122="","","MIR-"&amp;TEXT(ROW()-4,"0000"))</f>
        <v/>
      </c>
      <c r="B122" s="47" t="n"/>
      <c r="C122" s="40" t="n"/>
      <c r="D122" s="39">
        <f>IF(C122="","",IFERROR(INDEX('أوامر التوريد'!$C$5:$C$304,MATCH(C122,'أوامر التوريد'!$A$5:$A$304,0)),""))</f>
        <v/>
      </c>
      <c r="E122" s="49">
        <f>IF(C122="","",IFERROR(INDEX('أوامر التوريد'!$E$5:$E$304,MATCH(C122,'أوامر التوريد'!$A$5:$A$304,0)),""))</f>
        <v/>
      </c>
      <c r="F122" s="39">
        <f>IF(C122="","",IFERROR(INDEX('أوامر التوريد'!$G$5:$G$304,MATCH(C122,'أوامر التوريد'!$A$5:$A$304,0)),""))</f>
        <v/>
      </c>
      <c r="G122" s="49">
        <f>IF(C122="","",IFERROR(INDEX('أوامر التوريد'!$H$5:$H$304,MATCH(C122,'أوامر التوريد'!$A$5:$A$304,0)),""))</f>
        <v/>
      </c>
      <c r="H122" s="39">
        <f>IF(C122="","",IFERROR(INDEX('أوامر التوريد'!$I$5:$I$304,MATCH(C122,'أوامر التوريد'!$A$5:$A$304,0)),""))</f>
        <v/>
      </c>
      <c r="I122" s="40" t="n"/>
      <c r="J122" s="41" t="n"/>
      <c r="K122" s="41" t="n"/>
      <c r="L122" s="46">
        <f>IF(J122="","",J122-K122)</f>
        <v/>
      </c>
      <c r="M122" s="49">
        <f>IF(J122="","",IF(K122=0,"مرفوض",IF(K122&lt;J122,"مقبول جزئياً","مقبول")))</f>
        <v/>
      </c>
      <c r="N122" s="40" t="n"/>
      <c r="O122" s="40" t="n"/>
    </row>
    <row r="123">
      <c r="A123" s="39">
        <f>IF(C123="","","MIR-"&amp;TEXT(ROW()-4,"0000"))</f>
        <v/>
      </c>
      <c r="B123" s="47" t="n"/>
      <c r="C123" s="40" t="n"/>
      <c r="D123" s="39">
        <f>IF(C123="","",IFERROR(INDEX('أوامر التوريد'!$C$5:$C$304,MATCH(C123,'أوامر التوريد'!$A$5:$A$304,0)),""))</f>
        <v/>
      </c>
      <c r="E123" s="49">
        <f>IF(C123="","",IFERROR(INDEX('أوامر التوريد'!$E$5:$E$304,MATCH(C123,'أوامر التوريد'!$A$5:$A$304,0)),""))</f>
        <v/>
      </c>
      <c r="F123" s="39">
        <f>IF(C123="","",IFERROR(INDEX('أوامر التوريد'!$G$5:$G$304,MATCH(C123,'أوامر التوريد'!$A$5:$A$304,0)),""))</f>
        <v/>
      </c>
      <c r="G123" s="49">
        <f>IF(C123="","",IFERROR(INDEX('أوامر التوريد'!$H$5:$H$304,MATCH(C123,'أوامر التوريد'!$A$5:$A$304,0)),""))</f>
        <v/>
      </c>
      <c r="H123" s="39">
        <f>IF(C123="","",IFERROR(INDEX('أوامر التوريد'!$I$5:$I$304,MATCH(C123,'أوامر التوريد'!$A$5:$A$304,0)),""))</f>
        <v/>
      </c>
      <c r="I123" s="40" t="n"/>
      <c r="J123" s="41" t="n"/>
      <c r="K123" s="41" t="n"/>
      <c r="L123" s="46">
        <f>IF(J123="","",J123-K123)</f>
        <v/>
      </c>
      <c r="M123" s="49">
        <f>IF(J123="","",IF(K123=0,"مرفوض",IF(K123&lt;J123,"مقبول جزئياً","مقبول")))</f>
        <v/>
      </c>
      <c r="N123" s="40" t="n"/>
      <c r="O123" s="40" t="n"/>
    </row>
    <row r="124">
      <c r="A124" s="39">
        <f>IF(C124="","","MIR-"&amp;TEXT(ROW()-4,"0000"))</f>
        <v/>
      </c>
      <c r="B124" s="47" t="n"/>
      <c r="C124" s="40" t="n"/>
      <c r="D124" s="39">
        <f>IF(C124="","",IFERROR(INDEX('أوامر التوريد'!$C$5:$C$304,MATCH(C124,'أوامر التوريد'!$A$5:$A$304,0)),""))</f>
        <v/>
      </c>
      <c r="E124" s="49">
        <f>IF(C124="","",IFERROR(INDEX('أوامر التوريد'!$E$5:$E$304,MATCH(C124,'أوامر التوريد'!$A$5:$A$304,0)),""))</f>
        <v/>
      </c>
      <c r="F124" s="39">
        <f>IF(C124="","",IFERROR(INDEX('أوامر التوريد'!$G$5:$G$304,MATCH(C124,'أوامر التوريد'!$A$5:$A$304,0)),""))</f>
        <v/>
      </c>
      <c r="G124" s="49">
        <f>IF(C124="","",IFERROR(INDEX('أوامر التوريد'!$H$5:$H$304,MATCH(C124,'أوامر التوريد'!$A$5:$A$304,0)),""))</f>
        <v/>
      </c>
      <c r="H124" s="39">
        <f>IF(C124="","",IFERROR(INDEX('أوامر التوريد'!$I$5:$I$304,MATCH(C124,'أوامر التوريد'!$A$5:$A$304,0)),""))</f>
        <v/>
      </c>
      <c r="I124" s="40" t="n"/>
      <c r="J124" s="41" t="n"/>
      <c r="K124" s="41" t="n"/>
      <c r="L124" s="46">
        <f>IF(J124="","",J124-K124)</f>
        <v/>
      </c>
      <c r="M124" s="49">
        <f>IF(J124="","",IF(K124=0,"مرفوض",IF(K124&lt;J124,"مقبول جزئياً","مقبول")))</f>
        <v/>
      </c>
      <c r="N124" s="40" t="n"/>
      <c r="O124" s="40" t="n"/>
    </row>
    <row r="125">
      <c r="A125" s="39">
        <f>IF(C125="","","MIR-"&amp;TEXT(ROW()-4,"0000"))</f>
        <v/>
      </c>
      <c r="B125" s="47" t="n"/>
      <c r="C125" s="40" t="n"/>
      <c r="D125" s="39">
        <f>IF(C125="","",IFERROR(INDEX('أوامر التوريد'!$C$5:$C$304,MATCH(C125,'أوامر التوريد'!$A$5:$A$304,0)),""))</f>
        <v/>
      </c>
      <c r="E125" s="49">
        <f>IF(C125="","",IFERROR(INDEX('أوامر التوريد'!$E$5:$E$304,MATCH(C125,'أوامر التوريد'!$A$5:$A$304,0)),""))</f>
        <v/>
      </c>
      <c r="F125" s="39">
        <f>IF(C125="","",IFERROR(INDEX('أوامر التوريد'!$G$5:$G$304,MATCH(C125,'أوامر التوريد'!$A$5:$A$304,0)),""))</f>
        <v/>
      </c>
      <c r="G125" s="49">
        <f>IF(C125="","",IFERROR(INDEX('أوامر التوريد'!$H$5:$H$304,MATCH(C125,'أوامر التوريد'!$A$5:$A$304,0)),""))</f>
        <v/>
      </c>
      <c r="H125" s="39">
        <f>IF(C125="","",IFERROR(INDEX('أوامر التوريد'!$I$5:$I$304,MATCH(C125,'أوامر التوريد'!$A$5:$A$304,0)),""))</f>
        <v/>
      </c>
      <c r="I125" s="40" t="n"/>
      <c r="J125" s="41" t="n"/>
      <c r="K125" s="41" t="n"/>
      <c r="L125" s="46">
        <f>IF(J125="","",J125-K125)</f>
        <v/>
      </c>
      <c r="M125" s="49">
        <f>IF(J125="","",IF(K125=0,"مرفوض",IF(K125&lt;J125,"مقبول جزئياً","مقبول")))</f>
        <v/>
      </c>
      <c r="N125" s="40" t="n"/>
      <c r="O125" s="40" t="n"/>
    </row>
    <row r="126">
      <c r="A126" s="39">
        <f>IF(C126="","","MIR-"&amp;TEXT(ROW()-4,"0000"))</f>
        <v/>
      </c>
      <c r="B126" s="47" t="n"/>
      <c r="C126" s="40" t="n"/>
      <c r="D126" s="39">
        <f>IF(C126="","",IFERROR(INDEX('أوامر التوريد'!$C$5:$C$304,MATCH(C126,'أوامر التوريد'!$A$5:$A$304,0)),""))</f>
        <v/>
      </c>
      <c r="E126" s="49">
        <f>IF(C126="","",IFERROR(INDEX('أوامر التوريد'!$E$5:$E$304,MATCH(C126,'أوامر التوريد'!$A$5:$A$304,0)),""))</f>
        <v/>
      </c>
      <c r="F126" s="39">
        <f>IF(C126="","",IFERROR(INDEX('أوامر التوريد'!$G$5:$G$304,MATCH(C126,'أوامر التوريد'!$A$5:$A$304,0)),""))</f>
        <v/>
      </c>
      <c r="G126" s="49">
        <f>IF(C126="","",IFERROR(INDEX('أوامر التوريد'!$H$5:$H$304,MATCH(C126,'أوامر التوريد'!$A$5:$A$304,0)),""))</f>
        <v/>
      </c>
      <c r="H126" s="39">
        <f>IF(C126="","",IFERROR(INDEX('أوامر التوريد'!$I$5:$I$304,MATCH(C126,'أوامر التوريد'!$A$5:$A$304,0)),""))</f>
        <v/>
      </c>
      <c r="I126" s="40" t="n"/>
      <c r="J126" s="41" t="n"/>
      <c r="K126" s="41" t="n"/>
      <c r="L126" s="46">
        <f>IF(J126="","",J126-K126)</f>
        <v/>
      </c>
      <c r="M126" s="49">
        <f>IF(J126="","",IF(K126=0,"مرفوض",IF(K126&lt;J126,"مقبول جزئياً","مقبول")))</f>
        <v/>
      </c>
      <c r="N126" s="40" t="n"/>
      <c r="O126" s="40" t="n"/>
    </row>
    <row r="127">
      <c r="A127" s="39">
        <f>IF(C127="","","MIR-"&amp;TEXT(ROW()-4,"0000"))</f>
        <v/>
      </c>
      <c r="B127" s="47" t="n"/>
      <c r="C127" s="40" t="n"/>
      <c r="D127" s="39">
        <f>IF(C127="","",IFERROR(INDEX('أوامر التوريد'!$C$5:$C$304,MATCH(C127,'أوامر التوريد'!$A$5:$A$304,0)),""))</f>
        <v/>
      </c>
      <c r="E127" s="49">
        <f>IF(C127="","",IFERROR(INDEX('أوامر التوريد'!$E$5:$E$304,MATCH(C127,'أوامر التوريد'!$A$5:$A$304,0)),""))</f>
        <v/>
      </c>
      <c r="F127" s="39">
        <f>IF(C127="","",IFERROR(INDEX('أوامر التوريد'!$G$5:$G$304,MATCH(C127,'أوامر التوريد'!$A$5:$A$304,0)),""))</f>
        <v/>
      </c>
      <c r="G127" s="49">
        <f>IF(C127="","",IFERROR(INDEX('أوامر التوريد'!$H$5:$H$304,MATCH(C127,'أوامر التوريد'!$A$5:$A$304,0)),""))</f>
        <v/>
      </c>
      <c r="H127" s="39">
        <f>IF(C127="","",IFERROR(INDEX('أوامر التوريد'!$I$5:$I$304,MATCH(C127,'أوامر التوريد'!$A$5:$A$304,0)),""))</f>
        <v/>
      </c>
      <c r="I127" s="40" t="n"/>
      <c r="J127" s="41" t="n"/>
      <c r="K127" s="41" t="n"/>
      <c r="L127" s="46">
        <f>IF(J127="","",J127-K127)</f>
        <v/>
      </c>
      <c r="M127" s="49">
        <f>IF(J127="","",IF(K127=0,"مرفوض",IF(K127&lt;J127,"مقبول جزئياً","مقبول")))</f>
        <v/>
      </c>
      <c r="N127" s="40" t="n"/>
      <c r="O127" s="40" t="n"/>
    </row>
    <row r="128">
      <c r="A128" s="39">
        <f>IF(C128="","","MIR-"&amp;TEXT(ROW()-4,"0000"))</f>
        <v/>
      </c>
      <c r="B128" s="47" t="n"/>
      <c r="C128" s="40" t="n"/>
      <c r="D128" s="39">
        <f>IF(C128="","",IFERROR(INDEX('أوامر التوريد'!$C$5:$C$304,MATCH(C128,'أوامر التوريد'!$A$5:$A$304,0)),""))</f>
        <v/>
      </c>
      <c r="E128" s="49">
        <f>IF(C128="","",IFERROR(INDEX('أوامر التوريد'!$E$5:$E$304,MATCH(C128,'أوامر التوريد'!$A$5:$A$304,0)),""))</f>
        <v/>
      </c>
      <c r="F128" s="39">
        <f>IF(C128="","",IFERROR(INDEX('أوامر التوريد'!$G$5:$G$304,MATCH(C128,'أوامر التوريد'!$A$5:$A$304,0)),""))</f>
        <v/>
      </c>
      <c r="G128" s="49">
        <f>IF(C128="","",IFERROR(INDEX('أوامر التوريد'!$H$5:$H$304,MATCH(C128,'أوامر التوريد'!$A$5:$A$304,0)),""))</f>
        <v/>
      </c>
      <c r="H128" s="39">
        <f>IF(C128="","",IFERROR(INDEX('أوامر التوريد'!$I$5:$I$304,MATCH(C128,'أوامر التوريد'!$A$5:$A$304,0)),""))</f>
        <v/>
      </c>
      <c r="I128" s="40" t="n"/>
      <c r="J128" s="41" t="n"/>
      <c r="K128" s="41" t="n"/>
      <c r="L128" s="46">
        <f>IF(J128="","",J128-K128)</f>
        <v/>
      </c>
      <c r="M128" s="49">
        <f>IF(J128="","",IF(K128=0,"مرفوض",IF(K128&lt;J128,"مقبول جزئياً","مقبول")))</f>
        <v/>
      </c>
      <c r="N128" s="40" t="n"/>
      <c r="O128" s="40" t="n"/>
    </row>
    <row r="129">
      <c r="A129" s="39">
        <f>IF(C129="","","MIR-"&amp;TEXT(ROW()-4,"0000"))</f>
        <v/>
      </c>
      <c r="B129" s="47" t="n"/>
      <c r="C129" s="40" t="n"/>
      <c r="D129" s="39">
        <f>IF(C129="","",IFERROR(INDEX('أوامر التوريد'!$C$5:$C$304,MATCH(C129,'أوامر التوريد'!$A$5:$A$304,0)),""))</f>
        <v/>
      </c>
      <c r="E129" s="49">
        <f>IF(C129="","",IFERROR(INDEX('أوامر التوريد'!$E$5:$E$304,MATCH(C129,'أوامر التوريد'!$A$5:$A$304,0)),""))</f>
        <v/>
      </c>
      <c r="F129" s="39">
        <f>IF(C129="","",IFERROR(INDEX('أوامر التوريد'!$G$5:$G$304,MATCH(C129,'أوامر التوريد'!$A$5:$A$304,0)),""))</f>
        <v/>
      </c>
      <c r="G129" s="49">
        <f>IF(C129="","",IFERROR(INDEX('أوامر التوريد'!$H$5:$H$304,MATCH(C129,'أوامر التوريد'!$A$5:$A$304,0)),""))</f>
        <v/>
      </c>
      <c r="H129" s="39">
        <f>IF(C129="","",IFERROR(INDEX('أوامر التوريد'!$I$5:$I$304,MATCH(C129,'أوامر التوريد'!$A$5:$A$304,0)),""))</f>
        <v/>
      </c>
      <c r="I129" s="40" t="n"/>
      <c r="J129" s="41" t="n"/>
      <c r="K129" s="41" t="n"/>
      <c r="L129" s="46">
        <f>IF(J129="","",J129-K129)</f>
        <v/>
      </c>
      <c r="M129" s="49">
        <f>IF(J129="","",IF(K129=0,"مرفوض",IF(K129&lt;J129,"مقبول جزئياً","مقبول")))</f>
        <v/>
      </c>
      <c r="N129" s="40" t="n"/>
      <c r="O129" s="40" t="n"/>
    </row>
    <row r="130">
      <c r="A130" s="39">
        <f>IF(C130="","","MIR-"&amp;TEXT(ROW()-4,"0000"))</f>
        <v/>
      </c>
      <c r="B130" s="47" t="n"/>
      <c r="C130" s="40" t="n"/>
      <c r="D130" s="39">
        <f>IF(C130="","",IFERROR(INDEX('أوامر التوريد'!$C$5:$C$304,MATCH(C130,'أوامر التوريد'!$A$5:$A$304,0)),""))</f>
        <v/>
      </c>
      <c r="E130" s="49">
        <f>IF(C130="","",IFERROR(INDEX('أوامر التوريد'!$E$5:$E$304,MATCH(C130,'أوامر التوريد'!$A$5:$A$304,0)),""))</f>
        <v/>
      </c>
      <c r="F130" s="39">
        <f>IF(C130="","",IFERROR(INDEX('أوامر التوريد'!$G$5:$G$304,MATCH(C130,'أوامر التوريد'!$A$5:$A$304,0)),""))</f>
        <v/>
      </c>
      <c r="G130" s="49">
        <f>IF(C130="","",IFERROR(INDEX('أوامر التوريد'!$H$5:$H$304,MATCH(C130,'أوامر التوريد'!$A$5:$A$304,0)),""))</f>
        <v/>
      </c>
      <c r="H130" s="39">
        <f>IF(C130="","",IFERROR(INDEX('أوامر التوريد'!$I$5:$I$304,MATCH(C130,'أوامر التوريد'!$A$5:$A$304,0)),""))</f>
        <v/>
      </c>
      <c r="I130" s="40" t="n"/>
      <c r="J130" s="41" t="n"/>
      <c r="K130" s="41" t="n"/>
      <c r="L130" s="46">
        <f>IF(J130="","",J130-K130)</f>
        <v/>
      </c>
      <c r="M130" s="49">
        <f>IF(J130="","",IF(K130=0,"مرفوض",IF(K130&lt;J130,"مقبول جزئياً","مقبول")))</f>
        <v/>
      </c>
      <c r="N130" s="40" t="n"/>
      <c r="O130" s="40" t="n"/>
    </row>
    <row r="131">
      <c r="A131" s="39">
        <f>IF(C131="","","MIR-"&amp;TEXT(ROW()-4,"0000"))</f>
        <v/>
      </c>
      <c r="B131" s="47" t="n"/>
      <c r="C131" s="40" t="n"/>
      <c r="D131" s="39">
        <f>IF(C131="","",IFERROR(INDEX('أوامر التوريد'!$C$5:$C$304,MATCH(C131,'أوامر التوريد'!$A$5:$A$304,0)),""))</f>
        <v/>
      </c>
      <c r="E131" s="49">
        <f>IF(C131="","",IFERROR(INDEX('أوامر التوريد'!$E$5:$E$304,MATCH(C131,'أوامر التوريد'!$A$5:$A$304,0)),""))</f>
        <v/>
      </c>
      <c r="F131" s="39">
        <f>IF(C131="","",IFERROR(INDEX('أوامر التوريد'!$G$5:$G$304,MATCH(C131,'أوامر التوريد'!$A$5:$A$304,0)),""))</f>
        <v/>
      </c>
      <c r="G131" s="49">
        <f>IF(C131="","",IFERROR(INDEX('أوامر التوريد'!$H$5:$H$304,MATCH(C131,'أوامر التوريد'!$A$5:$A$304,0)),""))</f>
        <v/>
      </c>
      <c r="H131" s="39">
        <f>IF(C131="","",IFERROR(INDEX('أوامر التوريد'!$I$5:$I$304,MATCH(C131,'أوامر التوريد'!$A$5:$A$304,0)),""))</f>
        <v/>
      </c>
      <c r="I131" s="40" t="n"/>
      <c r="J131" s="41" t="n"/>
      <c r="K131" s="41" t="n"/>
      <c r="L131" s="46">
        <f>IF(J131="","",J131-K131)</f>
        <v/>
      </c>
      <c r="M131" s="49">
        <f>IF(J131="","",IF(K131=0,"مرفوض",IF(K131&lt;J131,"مقبول جزئياً","مقبول")))</f>
        <v/>
      </c>
      <c r="N131" s="40" t="n"/>
      <c r="O131" s="40" t="n"/>
    </row>
    <row r="132">
      <c r="A132" s="39">
        <f>IF(C132="","","MIR-"&amp;TEXT(ROW()-4,"0000"))</f>
        <v/>
      </c>
      <c r="B132" s="47" t="n"/>
      <c r="C132" s="40" t="n"/>
      <c r="D132" s="39">
        <f>IF(C132="","",IFERROR(INDEX('أوامر التوريد'!$C$5:$C$304,MATCH(C132,'أوامر التوريد'!$A$5:$A$304,0)),""))</f>
        <v/>
      </c>
      <c r="E132" s="49">
        <f>IF(C132="","",IFERROR(INDEX('أوامر التوريد'!$E$5:$E$304,MATCH(C132,'أوامر التوريد'!$A$5:$A$304,0)),""))</f>
        <v/>
      </c>
      <c r="F132" s="39">
        <f>IF(C132="","",IFERROR(INDEX('أوامر التوريد'!$G$5:$G$304,MATCH(C132,'أوامر التوريد'!$A$5:$A$304,0)),""))</f>
        <v/>
      </c>
      <c r="G132" s="49">
        <f>IF(C132="","",IFERROR(INDEX('أوامر التوريد'!$H$5:$H$304,MATCH(C132,'أوامر التوريد'!$A$5:$A$304,0)),""))</f>
        <v/>
      </c>
      <c r="H132" s="39">
        <f>IF(C132="","",IFERROR(INDEX('أوامر التوريد'!$I$5:$I$304,MATCH(C132,'أوامر التوريد'!$A$5:$A$304,0)),""))</f>
        <v/>
      </c>
      <c r="I132" s="40" t="n"/>
      <c r="J132" s="41" t="n"/>
      <c r="K132" s="41" t="n"/>
      <c r="L132" s="46">
        <f>IF(J132="","",J132-K132)</f>
        <v/>
      </c>
      <c r="M132" s="49">
        <f>IF(J132="","",IF(K132=0,"مرفوض",IF(K132&lt;J132,"مقبول جزئياً","مقبول")))</f>
        <v/>
      </c>
      <c r="N132" s="40" t="n"/>
      <c r="O132" s="40" t="n"/>
    </row>
    <row r="133">
      <c r="A133" s="39">
        <f>IF(C133="","","MIR-"&amp;TEXT(ROW()-4,"0000"))</f>
        <v/>
      </c>
      <c r="B133" s="47" t="n"/>
      <c r="C133" s="40" t="n"/>
      <c r="D133" s="39">
        <f>IF(C133="","",IFERROR(INDEX('أوامر التوريد'!$C$5:$C$304,MATCH(C133,'أوامر التوريد'!$A$5:$A$304,0)),""))</f>
        <v/>
      </c>
      <c r="E133" s="49">
        <f>IF(C133="","",IFERROR(INDEX('أوامر التوريد'!$E$5:$E$304,MATCH(C133,'أوامر التوريد'!$A$5:$A$304,0)),""))</f>
        <v/>
      </c>
      <c r="F133" s="39">
        <f>IF(C133="","",IFERROR(INDEX('أوامر التوريد'!$G$5:$G$304,MATCH(C133,'أوامر التوريد'!$A$5:$A$304,0)),""))</f>
        <v/>
      </c>
      <c r="G133" s="49">
        <f>IF(C133="","",IFERROR(INDEX('أوامر التوريد'!$H$5:$H$304,MATCH(C133,'أوامر التوريد'!$A$5:$A$304,0)),""))</f>
        <v/>
      </c>
      <c r="H133" s="39">
        <f>IF(C133="","",IFERROR(INDEX('أوامر التوريد'!$I$5:$I$304,MATCH(C133,'أوامر التوريد'!$A$5:$A$304,0)),""))</f>
        <v/>
      </c>
      <c r="I133" s="40" t="n"/>
      <c r="J133" s="41" t="n"/>
      <c r="K133" s="41" t="n"/>
      <c r="L133" s="46">
        <f>IF(J133="","",J133-K133)</f>
        <v/>
      </c>
      <c r="M133" s="49">
        <f>IF(J133="","",IF(K133=0,"مرفوض",IF(K133&lt;J133,"مقبول جزئياً","مقبول")))</f>
        <v/>
      </c>
      <c r="N133" s="40" t="n"/>
      <c r="O133" s="40" t="n"/>
    </row>
    <row r="134">
      <c r="A134" s="39">
        <f>IF(C134="","","MIR-"&amp;TEXT(ROW()-4,"0000"))</f>
        <v/>
      </c>
      <c r="B134" s="47" t="n"/>
      <c r="C134" s="40" t="n"/>
      <c r="D134" s="39">
        <f>IF(C134="","",IFERROR(INDEX('أوامر التوريد'!$C$5:$C$304,MATCH(C134,'أوامر التوريد'!$A$5:$A$304,0)),""))</f>
        <v/>
      </c>
      <c r="E134" s="49">
        <f>IF(C134="","",IFERROR(INDEX('أوامر التوريد'!$E$5:$E$304,MATCH(C134,'أوامر التوريد'!$A$5:$A$304,0)),""))</f>
        <v/>
      </c>
      <c r="F134" s="39">
        <f>IF(C134="","",IFERROR(INDEX('أوامر التوريد'!$G$5:$G$304,MATCH(C134,'أوامر التوريد'!$A$5:$A$304,0)),""))</f>
        <v/>
      </c>
      <c r="G134" s="49">
        <f>IF(C134="","",IFERROR(INDEX('أوامر التوريد'!$H$5:$H$304,MATCH(C134,'أوامر التوريد'!$A$5:$A$304,0)),""))</f>
        <v/>
      </c>
      <c r="H134" s="39">
        <f>IF(C134="","",IFERROR(INDEX('أوامر التوريد'!$I$5:$I$304,MATCH(C134,'أوامر التوريد'!$A$5:$A$304,0)),""))</f>
        <v/>
      </c>
      <c r="I134" s="40" t="n"/>
      <c r="J134" s="41" t="n"/>
      <c r="K134" s="41" t="n"/>
      <c r="L134" s="46">
        <f>IF(J134="","",J134-K134)</f>
        <v/>
      </c>
      <c r="M134" s="49">
        <f>IF(J134="","",IF(K134=0,"مرفوض",IF(K134&lt;J134,"مقبول جزئياً","مقبول")))</f>
        <v/>
      </c>
      <c r="N134" s="40" t="n"/>
      <c r="O134" s="40" t="n"/>
    </row>
    <row r="135">
      <c r="A135" s="39">
        <f>IF(C135="","","MIR-"&amp;TEXT(ROW()-4,"0000"))</f>
        <v/>
      </c>
      <c r="B135" s="47" t="n"/>
      <c r="C135" s="40" t="n"/>
      <c r="D135" s="39">
        <f>IF(C135="","",IFERROR(INDEX('أوامر التوريد'!$C$5:$C$304,MATCH(C135,'أوامر التوريد'!$A$5:$A$304,0)),""))</f>
        <v/>
      </c>
      <c r="E135" s="49">
        <f>IF(C135="","",IFERROR(INDEX('أوامر التوريد'!$E$5:$E$304,MATCH(C135,'أوامر التوريد'!$A$5:$A$304,0)),""))</f>
        <v/>
      </c>
      <c r="F135" s="39">
        <f>IF(C135="","",IFERROR(INDEX('أوامر التوريد'!$G$5:$G$304,MATCH(C135,'أوامر التوريد'!$A$5:$A$304,0)),""))</f>
        <v/>
      </c>
      <c r="G135" s="49">
        <f>IF(C135="","",IFERROR(INDEX('أوامر التوريد'!$H$5:$H$304,MATCH(C135,'أوامر التوريد'!$A$5:$A$304,0)),""))</f>
        <v/>
      </c>
      <c r="H135" s="39">
        <f>IF(C135="","",IFERROR(INDEX('أوامر التوريد'!$I$5:$I$304,MATCH(C135,'أوامر التوريد'!$A$5:$A$304,0)),""))</f>
        <v/>
      </c>
      <c r="I135" s="40" t="n"/>
      <c r="J135" s="41" t="n"/>
      <c r="K135" s="41" t="n"/>
      <c r="L135" s="46">
        <f>IF(J135="","",J135-K135)</f>
        <v/>
      </c>
      <c r="M135" s="49">
        <f>IF(J135="","",IF(K135=0,"مرفوض",IF(K135&lt;J135,"مقبول جزئياً","مقبول")))</f>
        <v/>
      </c>
      <c r="N135" s="40" t="n"/>
      <c r="O135" s="40" t="n"/>
    </row>
    <row r="136">
      <c r="A136" s="39">
        <f>IF(C136="","","MIR-"&amp;TEXT(ROW()-4,"0000"))</f>
        <v/>
      </c>
      <c r="B136" s="47" t="n"/>
      <c r="C136" s="40" t="n"/>
      <c r="D136" s="39">
        <f>IF(C136="","",IFERROR(INDEX('أوامر التوريد'!$C$5:$C$304,MATCH(C136,'أوامر التوريد'!$A$5:$A$304,0)),""))</f>
        <v/>
      </c>
      <c r="E136" s="49">
        <f>IF(C136="","",IFERROR(INDEX('أوامر التوريد'!$E$5:$E$304,MATCH(C136,'أوامر التوريد'!$A$5:$A$304,0)),""))</f>
        <v/>
      </c>
      <c r="F136" s="39">
        <f>IF(C136="","",IFERROR(INDEX('أوامر التوريد'!$G$5:$G$304,MATCH(C136,'أوامر التوريد'!$A$5:$A$304,0)),""))</f>
        <v/>
      </c>
      <c r="G136" s="49">
        <f>IF(C136="","",IFERROR(INDEX('أوامر التوريد'!$H$5:$H$304,MATCH(C136,'أوامر التوريد'!$A$5:$A$304,0)),""))</f>
        <v/>
      </c>
      <c r="H136" s="39">
        <f>IF(C136="","",IFERROR(INDEX('أوامر التوريد'!$I$5:$I$304,MATCH(C136,'أوامر التوريد'!$A$5:$A$304,0)),""))</f>
        <v/>
      </c>
      <c r="I136" s="40" t="n"/>
      <c r="J136" s="41" t="n"/>
      <c r="K136" s="41" t="n"/>
      <c r="L136" s="46">
        <f>IF(J136="","",J136-K136)</f>
        <v/>
      </c>
      <c r="M136" s="49">
        <f>IF(J136="","",IF(K136=0,"مرفوض",IF(K136&lt;J136,"مقبول جزئياً","مقبول")))</f>
        <v/>
      </c>
      <c r="N136" s="40" t="n"/>
      <c r="O136" s="40" t="n"/>
    </row>
    <row r="137">
      <c r="A137" s="39">
        <f>IF(C137="","","MIR-"&amp;TEXT(ROW()-4,"0000"))</f>
        <v/>
      </c>
      <c r="B137" s="47" t="n"/>
      <c r="C137" s="40" t="n"/>
      <c r="D137" s="39">
        <f>IF(C137="","",IFERROR(INDEX('أوامر التوريد'!$C$5:$C$304,MATCH(C137,'أوامر التوريد'!$A$5:$A$304,0)),""))</f>
        <v/>
      </c>
      <c r="E137" s="49">
        <f>IF(C137="","",IFERROR(INDEX('أوامر التوريد'!$E$5:$E$304,MATCH(C137,'أوامر التوريد'!$A$5:$A$304,0)),""))</f>
        <v/>
      </c>
      <c r="F137" s="39">
        <f>IF(C137="","",IFERROR(INDEX('أوامر التوريد'!$G$5:$G$304,MATCH(C137,'أوامر التوريد'!$A$5:$A$304,0)),""))</f>
        <v/>
      </c>
      <c r="G137" s="49">
        <f>IF(C137="","",IFERROR(INDEX('أوامر التوريد'!$H$5:$H$304,MATCH(C137,'أوامر التوريد'!$A$5:$A$304,0)),""))</f>
        <v/>
      </c>
      <c r="H137" s="39">
        <f>IF(C137="","",IFERROR(INDEX('أوامر التوريد'!$I$5:$I$304,MATCH(C137,'أوامر التوريد'!$A$5:$A$304,0)),""))</f>
        <v/>
      </c>
      <c r="I137" s="40" t="n"/>
      <c r="J137" s="41" t="n"/>
      <c r="K137" s="41" t="n"/>
      <c r="L137" s="46">
        <f>IF(J137="","",J137-K137)</f>
        <v/>
      </c>
      <c r="M137" s="49">
        <f>IF(J137="","",IF(K137=0,"مرفوض",IF(K137&lt;J137,"مقبول جزئياً","مقبول")))</f>
        <v/>
      </c>
      <c r="N137" s="40" t="n"/>
      <c r="O137" s="40" t="n"/>
    </row>
    <row r="138">
      <c r="A138" s="39">
        <f>IF(C138="","","MIR-"&amp;TEXT(ROW()-4,"0000"))</f>
        <v/>
      </c>
      <c r="B138" s="47" t="n"/>
      <c r="C138" s="40" t="n"/>
      <c r="D138" s="39">
        <f>IF(C138="","",IFERROR(INDEX('أوامر التوريد'!$C$5:$C$304,MATCH(C138,'أوامر التوريد'!$A$5:$A$304,0)),""))</f>
        <v/>
      </c>
      <c r="E138" s="49">
        <f>IF(C138="","",IFERROR(INDEX('أوامر التوريد'!$E$5:$E$304,MATCH(C138,'أوامر التوريد'!$A$5:$A$304,0)),""))</f>
        <v/>
      </c>
      <c r="F138" s="39">
        <f>IF(C138="","",IFERROR(INDEX('أوامر التوريد'!$G$5:$G$304,MATCH(C138,'أوامر التوريد'!$A$5:$A$304,0)),""))</f>
        <v/>
      </c>
      <c r="G138" s="49">
        <f>IF(C138="","",IFERROR(INDEX('أوامر التوريد'!$H$5:$H$304,MATCH(C138,'أوامر التوريد'!$A$5:$A$304,0)),""))</f>
        <v/>
      </c>
      <c r="H138" s="39">
        <f>IF(C138="","",IFERROR(INDEX('أوامر التوريد'!$I$5:$I$304,MATCH(C138,'أوامر التوريد'!$A$5:$A$304,0)),""))</f>
        <v/>
      </c>
      <c r="I138" s="40" t="n"/>
      <c r="J138" s="41" t="n"/>
      <c r="K138" s="41" t="n"/>
      <c r="L138" s="46">
        <f>IF(J138="","",J138-K138)</f>
        <v/>
      </c>
      <c r="M138" s="49">
        <f>IF(J138="","",IF(K138=0,"مرفوض",IF(K138&lt;J138,"مقبول جزئياً","مقبول")))</f>
        <v/>
      </c>
      <c r="N138" s="40" t="n"/>
      <c r="O138" s="40" t="n"/>
    </row>
    <row r="139">
      <c r="A139" s="39">
        <f>IF(C139="","","MIR-"&amp;TEXT(ROW()-4,"0000"))</f>
        <v/>
      </c>
      <c r="B139" s="47" t="n"/>
      <c r="C139" s="40" t="n"/>
      <c r="D139" s="39">
        <f>IF(C139="","",IFERROR(INDEX('أوامر التوريد'!$C$5:$C$304,MATCH(C139,'أوامر التوريد'!$A$5:$A$304,0)),""))</f>
        <v/>
      </c>
      <c r="E139" s="49">
        <f>IF(C139="","",IFERROR(INDEX('أوامر التوريد'!$E$5:$E$304,MATCH(C139,'أوامر التوريد'!$A$5:$A$304,0)),""))</f>
        <v/>
      </c>
      <c r="F139" s="39">
        <f>IF(C139="","",IFERROR(INDEX('أوامر التوريد'!$G$5:$G$304,MATCH(C139,'أوامر التوريد'!$A$5:$A$304,0)),""))</f>
        <v/>
      </c>
      <c r="G139" s="49">
        <f>IF(C139="","",IFERROR(INDEX('أوامر التوريد'!$H$5:$H$304,MATCH(C139,'أوامر التوريد'!$A$5:$A$304,0)),""))</f>
        <v/>
      </c>
      <c r="H139" s="39">
        <f>IF(C139="","",IFERROR(INDEX('أوامر التوريد'!$I$5:$I$304,MATCH(C139,'أوامر التوريد'!$A$5:$A$304,0)),""))</f>
        <v/>
      </c>
      <c r="I139" s="40" t="n"/>
      <c r="J139" s="41" t="n"/>
      <c r="K139" s="41" t="n"/>
      <c r="L139" s="46">
        <f>IF(J139="","",J139-K139)</f>
        <v/>
      </c>
      <c r="M139" s="49">
        <f>IF(J139="","",IF(K139=0,"مرفوض",IF(K139&lt;J139,"مقبول جزئياً","مقبول")))</f>
        <v/>
      </c>
      <c r="N139" s="40" t="n"/>
      <c r="O139" s="40" t="n"/>
    </row>
    <row r="140">
      <c r="A140" s="39">
        <f>IF(C140="","","MIR-"&amp;TEXT(ROW()-4,"0000"))</f>
        <v/>
      </c>
      <c r="B140" s="47" t="n"/>
      <c r="C140" s="40" t="n"/>
      <c r="D140" s="39">
        <f>IF(C140="","",IFERROR(INDEX('أوامر التوريد'!$C$5:$C$304,MATCH(C140,'أوامر التوريد'!$A$5:$A$304,0)),""))</f>
        <v/>
      </c>
      <c r="E140" s="49">
        <f>IF(C140="","",IFERROR(INDEX('أوامر التوريد'!$E$5:$E$304,MATCH(C140,'أوامر التوريد'!$A$5:$A$304,0)),""))</f>
        <v/>
      </c>
      <c r="F140" s="39">
        <f>IF(C140="","",IFERROR(INDEX('أوامر التوريد'!$G$5:$G$304,MATCH(C140,'أوامر التوريد'!$A$5:$A$304,0)),""))</f>
        <v/>
      </c>
      <c r="G140" s="49">
        <f>IF(C140="","",IFERROR(INDEX('أوامر التوريد'!$H$5:$H$304,MATCH(C140,'أوامر التوريد'!$A$5:$A$304,0)),""))</f>
        <v/>
      </c>
      <c r="H140" s="39">
        <f>IF(C140="","",IFERROR(INDEX('أوامر التوريد'!$I$5:$I$304,MATCH(C140,'أوامر التوريد'!$A$5:$A$304,0)),""))</f>
        <v/>
      </c>
      <c r="I140" s="40" t="n"/>
      <c r="J140" s="41" t="n"/>
      <c r="K140" s="41" t="n"/>
      <c r="L140" s="46">
        <f>IF(J140="","",J140-K140)</f>
        <v/>
      </c>
      <c r="M140" s="49">
        <f>IF(J140="","",IF(K140=0,"مرفوض",IF(K140&lt;J140,"مقبول جزئياً","مقبول")))</f>
        <v/>
      </c>
      <c r="N140" s="40" t="n"/>
      <c r="O140" s="40" t="n"/>
    </row>
    <row r="141">
      <c r="A141" s="39">
        <f>IF(C141="","","MIR-"&amp;TEXT(ROW()-4,"0000"))</f>
        <v/>
      </c>
      <c r="B141" s="47" t="n"/>
      <c r="C141" s="40" t="n"/>
      <c r="D141" s="39">
        <f>IF(C141="","",IFERROR(INDEX('أوامر التوريد'!$C$5:$C$304,MATCH(C141,'أوامر التوريد'!$A$5:$A$304,0)),""))</f>
        <v/>
      </c>
      <c r="E141" s="49">
        <f>IF(C141="","",IFERROR(INDEX('أوامر التوريد'!$E$5:$E$304,MATCH(C141,'أوامر التوريد'!$A$5:$A$304,0)),""))</f>
        <v/>
      </c>
      <c r="F141" s="39">
        <f>IF(C141="","",IFERROR(INDEX('أوامر التوريد'!$G$5:$G$304,MATCH(C141,'أوامر التوريد'!$A$5:$A$304,0)),""))</f>
        <v/>
      </c>
      <c r="G141" s="49">
        <f>IF(C141="","",IFERROR(INDEX('أوامر التوريد'!$H$5:$H$304,MATCH(C141,'أوامر التوريد'!$A$5:$A$304,0)),""))</f>
        <v/>
      </c>
      <c r="H141" s="39">
        <f>IF(C141="","",IFERROR(INDEX('أوامر التوريد'!$I$5:$I$304,MATCH(C141,'أوامر التوريد'!$A$5:$A$304,0)),""))</f>
        <v/>
      </c>
      <c r="I141" s="40" t="n"/>
      <c r="J141" s="41" t="n"/>
      <c r="K141" s="41" t="n"/>
      <c r="L141" s="46">
        <f>IF(J141="","",J141-K141)</f>
        <v/>
      </c>
      <c r="M141" s="49">
        <f>IF(J141="","",IF(K141=0,"مرفوض",IF(K141&lt;J141,"مقبول جزئياً","مقبول")))</f>
        <v/>
      </c>
      <c r="N141" s="40" t="n"/>
      <c r="O141" s="40" t="n"/>
    </row>
    <row r="142">
      <c r="A142" s="39">
        <f>IF(C142="","","MIR-"&amp;TEXT(ROW()-4,"0000"))</f>
        <v/>
      </c>
      <c r="B142" s="47" t="n"/>
      <c r="C142" s="40" t="n"/>
      <c r="D142" s="39">
        <f>IF(C142="","",IFERROR(INDEX('أوامر التوريد'!$C$5:$C$304,MATCH(C142,'أوامر التوريد'!$A$5:$A$304,0)),""))</f>
        <v/>
      </c>
      <c r="E142" s="49">
        <f>IF(C142="","",IFERROR(INDEX('أوامر التوريد'!$E$5:$E$304,MATCH(C142,'أوامر التوريد'!$A$5:$A$304,0)),""))</f>
        <v/>
      </c>
      <c r="F142" s="39">
        <f>IF(C142="","",IFERROR(INDEX('أوامر التوريد'!$G$5:$G$304,MATCH(C142,'أوامر التوريد'!$A$5:$A$304,0)),""))</f>
        <v/>
      </c>
      <c r="G142" s="49">
        <f>IF(C142="","",IFERROR(INDEX('أوامر التوريد'!$H$5:$H$304,MATCH(C142,'أوامر التوريد'!$A$5:$A$304,0)),""))</f>
        <v/>
      </c>
      <c r="H142" s="39">
        <f>IF(C142="","",IFERROR(INDEX('أوامر التوريد'!$I$5:$I$304,MATCH(C142,'أوامر التوريد'!$A$5:$A$304,0)),""))</f>
        <v/>
      </c>
      <c r="I142" s="40" t="n"/>
      <c r="J142" s="41" t="n"/>
      <c r="K142" s="41" t="n"/>
      <c r="L142" s="46">
        <f>IF(J142="","",J142-K142)</f>
        <v/>
      </c>
      <c r="M142" s="49">
        <f>IF(J142="","",IF(K142=0,"مرفوض",IF(K142&lt;J142,"مقبول جزئياً","مقبول")))</f>
        <v/>
      </c>
      <c r="N142" s="40" t="n"/>
      <c r="O142" s="40" t="n"/>
    </row>
    <row r="143">
      <c r="A143" s="39">
        <f>IF(C143="","","MIR-"&amp;TEXT(ROW()-4,"0000"))</f>
        <v/>
      </c>
      <c r="B143" s="47" t="n"/>
      <c r="C143" s="40" t="n"/>
      <c r="D143" s="39">
        <f>IF(C143="","",IFERROR(INDEX('أوامر التوريد'!$C$5:$C$304,MATCH(C143,'أوامر التوريد'!$A$5:$A$304,0)),""))</f>
        <v/>
      </c>
      <c r="E143" s="49">
        <f>IF(C143="","",IFERROR(INDEX('أوامر التوريد'!$E$5:$E$304,MATCH(C143,'أوامر التوريد'!$A$5:$A$304,0)),""))</f>
        <v/>
      </c>
      <c r="F143" s="39">
        <f>IF(C143="","",IFERROR(INDEX('أوامر التوريد'!$G$5:$G$304,MATCH(C143,'أوامر التوريد'!$A$5:$A$304,0)),""))</f>
        <v/>
      </c>
      <c r="G143" s="49">
        <f>IF(C143="","",IFERROR(INDEX('أوامر التوريد'!$H$5:$H$304,MATCH(C143,'أوامر التوريد'!$A$5:$A$304,0)),""))</f>
        <v/>
      </c>
      <c r="H143" s="39">
        <f>IF(C143="","",IFERROR(INDEX('أوامر التوريد'!$I$5:$I$304,MATCH(C143,'أوامر التوريد'!$A$5:$A$304,0)),""))</f>
        <v/>
      </c>
      <c r="I143" s="40" t="n"/>
      <c r="J143" s="41" t="n"/>
      <c r="K143" s="41" t="n"/>
      <c r="L143" s="46">
        <f>IF(J143="","",J143-K143)</f>
        <v/>
      </c>
      <c r="M143" s="49">
        <f>IF(J143="","",IF(K143=0,"مرفوض",IF(K143&lt;J143,"مقبول جزئياً","مقبول")))</f>
        <v/>
      </c>
      <c r="N143" s="40" t="n"/>
      <c r="O143" s="40" t="n"/>
    </row>
    <row r="144">
      <c r="A144" s="39">
        <f>IF(C144="","","MIR-"&amp;TEXT(ROW()-4,"0000"))</f>
        <v/>
      </c>
      <c r="B144" s="47" t="n"/>
      <c r="C144" s="40" t="n"/>
      <c r="D144" s="39">
        <f>IF(C144="","",IFERROR(INDEX('أوامر التوريد'!$C$5:$C$304,MATCH(C144,'أوامر التوريد'!$A$5:$A$304,0)),""))</f>
        <v/>
      </c>
      <c r="E144" s="49">
        <f>IF(C144="","",IFERROR(INDEX('أوامر التوريد'!$E$5:$E$304,MATCH(C144,'أوامر التوريد'!$A$5:$A$304,0)),""))</f>
        <v/>
      </c>
      <c r="F144" s="39">
        <f>IF(C144="","",IFERROR(INDEX('أوامر التوريد'!$G$5:$G$304,MATCH(C144,'أوامر التوريد'!$A$5:$A$304,0)),""))</f>
        <v/>
      </c>
      <c r="G144" s="49">
        <f>IF(C144="","",IFERROR(INDEX('أوامر التوريد'!$H$5:$H$304,MATCH(C144,'أوامر التوريد'!$A$5:$A$304,0)),""))</f>
        <v/>
      </c>
      <c r="H144" s="39">
        <f>IF(C144="","",IFERROR(INDEX('أوامر التوريد'!$I$5:$I$304,MATCH(C144,'أوامر التوريد'!$A$5:$A$304,0)),""))</f>
        <v/>
      </c>
      <c r="I144" s="40" t="n"/>
      <c r="J144" s="41" t="n"/>
      <c r="K144" s="41" t="n"/>
      <c r="L144" s="46">
        <f>IF(J144="","",J144-K144)</f>
        <v/>
      </c>
      <c r="M144" s="49">
        <f>IF(J144="","",IF(K144=0,"مرفوض",IF(K144&lt;J144,"مقبول جزئياً","مقبول")))</f>
        <v/>
      </c>
      <c r="N144" s="40" t="n"/>
      <c r="O144" s="40" t="n"/>
    </row>
    <row r="145">
      <c r="A145" s="39">
        <f>IF(C145="","","MIR-"&amp;TEXT(ROW()-4,"0000"))</f>
        <v/>
      </c>
      <c r="B145" s="47" t="n"/>
      <c r="C145" s="40" t="n"/>
      <c r="D145" s="39">
        <f>IF(C145="","",IFERROR(INDEX('أوامر التوريد'!$C$5:$C$304,MATCH(C145,'أوامر التوريد'!$A$5:$A$304,0)),""))</f>
        <v/>
      </c>
      <c r="E145" s="49">
        <f>IF(C145="","",IFERROR(INDEX('أوامر التوريد'!$E$5:$E$304,MATCH(C145,'أوامر التوريد'!$A$5:$A$304,0)),""))</f>
        <v/>
      </c>
      <c r="F145" s="39">
        <f>IF(C145="","",IFERROR(INDEX('أوامر التوريد'!$G$5:$G$304,MATCH(C145,'أوامر التوريد'!$A$5:$A$304,0)),""))</f>
        <v/>
      </c>
      <c r="G145" s="49">
        <f>IF(C145="","",IFERROR(INDEX('أوامر التوريد'!$H$5:$H$304,MATCH(C145,'أوامر التوريد'!$A$5:$A$304,0)),""))</f>
        <v/>
      </c>
      <c r="H145" s="39">
        <f>IF(C145="","",IFERROR(INDEX('أوامر التوريد'!$I$5:$I$304,MATCH(C145,'أوامر التوريد'!$A$5:$A$304,0)),""))</f>
        <v/>
      </c>
      <c r="I145" s="40" t="n"/>
      <c r="J145" s="41" t="n"/>
      <c r="K145" s="41" t="n"/>
      <c r="L145" s="46">
        <f>IF(J145="","",J145-K145)</f>
        <v/>
      </c>
      <c r="M145" s="49">
        <f>IF(J145="","",IF(K145=0,"مرفوض",IF(K145&lt;J145,"مقبول جزئياً","مقبول")))</f>
        <v/>
      </c>
      <c r="N145" s="40" t="n"/>
      <c r="O145" s="40" t="n"/>
    </row>
    <row r="146">
      <c r="A146" s="39">
        <f>IF(C146="","","MIR-"&amp;TEXT(ROW()-4,"0000"))</f>
        <v/>
      </c>
      <c r="B146" s="47" t="n"/>
      <c r="C146" s="40" t="n"/>
      <c r="D146" s="39">
        <f>IF(C146="","",IFERROR(INDEX('أوامر التوريد'!$C$5:$C$304,MATCH(C146,'أوامر التوريد'!$A$5:$A$304,0)),""))</f>
        <v/>
      </c>
      <c r="E146" s="49">
        <f>IF(C146="","",IFERROR(INDEX('أوامر التوريد'!$E$5:$E$304,MATCH(C146,'أوامر التوريد'!$A$5:$A$304,0)),""))</f>
        <v/>
      </c>
      <c r="F146" s="39">
        <f>IF(C146="","",IFERROR(INDEX('أوامر التوريد'!$G$5:$G$304,MATCH(C146,'أوامر التوريد'!$A$5:$A$304,0)),""))</f>
        <v/>
      </c>
      <c r="G146" s="49">
        <f>IF(C146="","",IFERROR(INDEX('أوامر التوريد'!$H$5:$H$304,MATCH(C146,'أوامر التوريد'!$A$5:$A$304,0)),""))</f>
        <v/>
      </c>
      <c r="H146" s="39">
        <f>IF(C146="","",IFERROR(INDEX('أوامر التوريد'!$I$5:$I$304,MATCH(C146,'أوامر التوريد'!$A$5:$A$304,0)),""))</f>
        <v/>
      </c>
      <c r="I146" s="40" t="n"/>
      <c r="J146" s="41" t="n"/>
      <c r="K146" s="41" t="n"/>
      <c r="L146" s="46">
        <f>IF(J146="","",J146-K146)</f>
        <v/>
      </c>
      <c r="M146" s="49">
        <f>IF(J146="","",IF(K146=0,"مرفوض",IF(K146&lt;J146,"مقبول جزئياً","مقبول")))</f>
        <v/>
      </c>
      <c r="N146" s="40" t="n"/>
      <c r="O146" s="40" t="n"/>
    </row>
    <row r="147">
      <c r="A147" s="39">
        <f>IF(C147="","","MIR-"&amp;TEXT(ROW()-4,"0000"))</f>
        <v/>
      </c>
      <c r="B147" s="47" t="n"/>
      <c r="C147" s="40" t="n"/>
      <c r="D147" s="39">
        <f>IF(C147="","",IFERROR(INDEX('أوامر التوريد'!$C$5:$C$304,MATCH(C147,'أوامر التوريد'!$A$5:$A$304,0)),""))</f>
        <v/>
      </c>
      <c r="E147" s="49">
        <f>IF(C147="","",IFERROR(INDEX('أوامر التوريد'!$E$5:$E$304,MATCH(C147,'أوامر التوريد'!$A$5:$A$304,0)),""))</f>
        <v/>
      </c>
      <c r="F147" s="39">
        <f>IF(C147="","",IFERROR(INDEX('أوامر التوريد'!$G$5:$G$304,MATCH(C147,'أوامر التوريد'!$A$5:$A$304,0)),""))</f>
        <v/>
      </c>
      <c r="G147" s="49">
        <f>IF(C147="","",IFERROR(INDEX('أوامر التوريد'!$H$5:$H$304,MATCH(C147,'أوامر التوريد'!$A$5:$A$304,0)),""))</f>
        <v/>
      </c>
      <c r="H147" s="39">
        <f>IF(C147="","",IFERROR(INDEX('أوامر التوريد'!$I$5:$I$304,MATCH(C147,'أوامر التوريد'!$A$5:$A$304,0)),""))</f>
        <v/>
      </c>
      <c r="I147" s="40" t="n"/>
      <c r="J147" s="41" t="n"/>
      <c r="K147" s="41" t="n"/>
      <c r="L147" s="46">
        <f>IF(J147="","",J147-K147)</f>
        <v/>
      </c>
      <c r="M147" s="49">
        <f>IF(J147="","",IF(K147=0,"مرفوض",IF(K147&lt;J147,"مقبول جزئياً","مقبول")))</f>
        <v/>
      </c>
      <c r="N147" s="40" t="n"/>
      <c r="O147" s="40" t="n"/>
    </row>
    <row r="148">
      <c r="A148" s="39">
        <f>IF(C148="","","MIR-"&amp;TEXT(ROW()-4,"0000"))</f>
        <v/>
      </c>
      <c r="B148" s="47" t="n"/>
      <c r="C148" s="40" t="n"/>
      <c r="D148" s="39">
        <f>IF(C148="","",IFERROR(INDEX('أوامر التوريد'!$C$5:$C$304,MATCH(C148,'أوامر التوريد'!$A$5:$A$304,0)),""))</f>
        <v/>
      </c>
      <c r="E148" s="49">
        <f>IF(C148="","",IFERROR(INDEX('أوامر التوريد'!$E$5:$E$304,MATCH(C148,'أوامر التوريد'!$A$5:$A$304,0)),""))</f>
        <v/>
      </c>
      <c r="F148" s="39">
        <f>IF(C148="","",IFERROR(INDEX('أوامر التوريد'!$G$5:$G$304,MATCH(C148,'أوامر التوريد'!$A$5:$A$304,0)),""))</f>
        <v/>
      </c>
      <c r="G148" s="49">
        <f>IF(C148="","",IFERROR(INDEX('أوامر التوريد'!$H$5:$H$304,MATCH(C148,'أوامر التوريد'!$A$5:$A$304,0)),""))</f>
        <v/>
      </c>
      <c r="H148" s="39">
        <f>IF(C148="","",IFERROR(INDEX('أوامر التوريد'!$I$5:$I$304,MATCH(C148,'أوامر التوريد'!$A$5:$A$304,0)),""))</f>
        <v/>
      </c>
      <c r="I148" s="40" t="n"/>
      <c r="J148" s="41" t="n"/>
      <c r="K148" s="41" t="n"/>
      <c r="L148" s="46">
        <f>IF(J148="","",J148-K148)</f>
        <v/>
      </c>
      <c r="M148" s="49">
        <f>IF(J148="","",IF(K148=0,"مرفوض",IF(K148&lt;J148,"مقبول جزئياً","مقبول")))</f>
        <v/>
      </c>
      <c r="N148" s="40" t="n"/>
      <c r="O148" s="40" t="n"/>
    </row>
    <row r="149">
      <c r="A149" s="39">
        <f>IF(C149="","","MIR-"&amp;TEXT(ROW()-4,"0000"))</f>
        <v/>
      </c>
      <c r="B149" s="47" t="n"/>
      <c r="C149" s="40" t="n"/>
      <c r="D149" s="39">
        <f>IF(C149="","",IFERROR(INDEX('أوامر التوريد'!$C$5:$C$304,MATCH(C149,'أوامر التوريد'!$A$5:$A$304,0)),""))</f>
        <v/>
      </c>
      <c r="E149" s="49">
        <f>IF(C149="","",IFERROR(INDEX('أوامر التوريد'!$E$5:$E$304,MATCH(C149,'أوامر التوريد'!$A$5:$A$304,0)),""))</f>
        <v/>
      </c>
      <c r="F149" s="39">
        <f>IF(C149="","",IFERROR(INDEX('أوامر التوريد'!$G$5:$G$304,MATCH(C149,'أوامر التوريد'!$A$5:$A$304,0)),""))</f>
        <v/>
      </c>
      <c r="G149" s="49">
        <f>IF(C149="","",IFERROR(INDEX('أوامر التوريد'!$H$5:$H$304,MATCH(C149,'أوامر التوريد'!$A$5:$A$304,0)),""))</f>
        <v/>
      </c>
      <c r="H149" s="39">
        <f>IF(C149="","",IFERROR(INDEX('أوامر التوريد'!$I$5:$I$304,MATCH(C149,'أوامر التوريد'!$A$5:$A$304,0)),""))</f>
        <v/>
      </c>
      <c r="I149" s="40" t="n"/>
      <c r="J149" s="41" t="n"/>
      <c r="K149" s="41" t="n"/>
      <c r="L149" s="46">
        <f>IF(J149="","",J149-K149)</f>
        <v/>
      </c>
      <c r="M149" s="49">
        <f>IF(J149="","",IF(K149=0,"مرفوض",IF(K149&lt;J149,"مقبول جزئياً","مقبول")))</f>
        <v/>
      </c>
      <c r="N149" s="40" t="n"/>
      <c r="O149" s="40" t="n"/>
    </row>
    <row r="150">
      <c r="A150" s="39">
        <f>IF(C150="","","MIR-"&amp;TEXT(ROW()-4,"0000"))</f>
        <v/>
      </c>
      <c r="B150" s="47" t="n"/>
      <c r="C150" s="40" t="n"/>
      <c r="D150" s="39">
        <f>IF(C150="","",IFERROR(INDEX('أوامر التوريد'!$C$5:$C$304,MATCH(C150,'أوامر التوريد'!$A$5:$A$304,0)),""))</f>
        <v/>
      </c>
      <c r="E150" s="49">
        <f>IF(C150="","",IFERROR(INDEX('أوامر التوريد'!$E$5:$E$304,MATCH(C150,'أوامر التوريد'!$A$5:$A$304,0)),""))</f>
        <v/>
      </c>
      <c r="F150" s="39">
        <f>IF(C150="","",IFERROR(INDEX('أوامر التوريد'!$G$5:$G$304,MATCH(C150,'أوامر التوريد'!$A$5:$A$304,0)),""))</f>
        <v/>
      </c>
      <c r="G150" s="49">
        <f>IF(C150="","",IFERROR(INDEX('أوامر التوريد'!$H$5:$H$304,MATCH(C150,'أوامر التوريد'!$A$5:$A$304,0)),""))</f>
        <v/>
      </c>
      <c r="H150" s="39">
        <f>IF(C150="","",IFERROR(INDEX('أوامر التوريد'!$I$5:$I$304,MATCH(C150,'أوامر التوريد'!$A$5:$A$304,0)),""))</f>
        <v/>
      </c>
      <c r="I150" s="40" t="n"/>
      <c r="J150" s="41" t="n"/>
      <c r="K150" s="41" t="n"/>
      <c r="L150" s="46">
        <f>IF(J150="","",J150-K150)</f>
        <v/>
      </c>
      <c r="M150" s="49">
        <f>IF(J150="","",IF(K150=0,"مرفوض",IF(K150&lt;J150,"مقبول جزئياً","مقبول")))</f>
        <v/>
      </c>
      <c r="N150" s="40" t="n"/>
      <c r="O150" s="40" t="n"/>
    </row>
    <row r="151">
      <c r="A151" s="39">
        <f>IF(C151="","","MIR-"&amp;TEXT(ROW()-4,"0000"))</f>
        <v/>
      </c>
      <c r="B151" s="47" t="n"/>
      <c r="C151" s="40" t="n"/>
      <c r="D151" s="39">
        <f>IF(C151="","",IFERROR(INDEX('أوامر التوريد'!$C$5:$C$304,MATCH(C151,'أوامر التوريد'!$A$5:$A$304,0)),""))</f>
        <v/>
      </c>
      <c r="E151" s="49">
        <f>IF(C151="","",IFERROR(INDEX('أوامر التوريد'!$E$5:$E$304,MATCH(C151,'أوامر التوريد'!$A$5:$A$304,0)),""))</f>
        <v/>
      </c>
      <c r="F151" s="39">
        <f>IF(C151="","",IFERROR(INDEX('أوامر التوريد'!$G$5:$G$304,MATCH(C151,'أوامر التوريد'!$A$5:$A$304,0)),""))</f>
        <v/>
      </c>
      <c r="G151" s="49">
        <f>IF(C151="","",IFERROR(INDEX('أوامر التوريد'!$H$5:$H$304,MATCH(C151,'أوامر التوريد'!$A$5:$A$304,0)),""))</f>
        <v/>
      </c>
      <c r="H151" s="39">
        <f>IF(C151="","",IFERROR(INDEX('أوامر التوريد'!$I$5:$I$304,MATCH(C151,'أوامر التوريد'!$A$5:$A$304,0)),""))</f>
        <v/>
      </c>
      <c r="I151" s="40" t="n"/>
      <c r="J151" s="41" t="n"/>
      <c r="K151" s="41" t="n"/>
      <c r="L151" s="46">
        <f>IF(J151="","",J151-K151)</f>
        <v/>
      </c>
      <c r="M151" s="49">
        <f>IF(J151="","",IF(K151=0,"مرفوض",IF(K151&lt;J151,"مقبول جزئياً","مقبول")))</f>
        <v/>
      </c>
      <c r="N151" s="40" t="n"/>
      <c r="O151" s="40" t="n"/>
    </row>
    <row r="152">
      <c r="A152" s="39">
        <f>IF(C152="","","MIR-"&amp;TEXT(ROW()-4,"0000"))</f>
        <v/>
      </c>
      <c r="B152" s="47" t="n"/>
      <c r="C152" s="40" t="n"/>
      <c r="D152" s="39">
        <f>IF(C152="","",IFERROR(INDEX('أوامر التوريد'!$C$5:$C$304,MATCH(C152,'أوامر التوريد'!$A$5:$A$304,0)),""))</f>
        <v/>
      </c>
      <c r="E152" s="49">
        <f>IF(C152="","",IFERROR(INDEX('أوامر التوريد'!$E$5:$E$304,MATCH(C152,'أوامر التوريد'!$A$5:$A$304,0)),""))</f>
        <v/>
      </c>
      <c r="F152" s="39">
        <f>IF(C152="","",IFERROR(INDEX('أوامر التوريد'!$G$5:$G$304,MATCH(C152,'أوامر التوريد'!$A$5:$A$304,0)),""))</f>
        <v/>
      </c>
      <c r="G152" s="49">
        <f>IF(C152="","",IFERROR(INDEX('أوامر التوريد'!$H$5:$H$304,MATCH(C152,'أوامر التوريد'!$A$5:$A$304,0)),""))</f>
        <v/>
      </c>
      <c r="H152" s="39">
        <f>IF(C152="","",IFERROR(INDEX('أوامر التوريد'!$I$5:$I$304,MATCH(C152,'أوامر التوريد'!$A$5:$A$304,0)),""))</f>
        <v/>
      </c>
      <c r="I152" s="40" t="n"/>
      <c r="J152" s="41" t="n"/>
      <c r="K152" s="41" t="n"/>
      <c r="L152" s="46">
        <f>IF(J152="","",J152-K152)</f>
        <v/>
      </c>
      <c r="M152" s="49">
        <f>IF(J152="","",IF(K152=0,"مرفوض",IF(K152&lt;J152,"مقبول جزئياً","مقبول")))</f>
        <v/>
      </c>
      <c r="N152" s="40" t="n"/>
      <c r="O152" s="40" t="n"/>
    </row>
    <row r="153">
      <c r="A153" s="39">
        <f>IF(C153="","","MIR-"&amp;TEXT(ROW()-4,"0000"))</f>
        <v/>
      </c>
      <c r="B153" s="47" t="n"/>
      <c r="C153" s="40" t="n"/>
      <c r="D153" s="39">
        <f>IF(C153="","",IFERROR(INDEX('أوامر التوريد'!$C$5:$C$304,MATCH(C153,'أوامر التوريد'!$A$5:$A$304,0)),""))</f>
        <v/>
      </c>
      <c r="E153" s="49">
        <f>IF(C153="","",IFERROR(INDEX('أوامر التوريد'!$E$5:$E$304,MATCH(C153,'أوامر التوريد'!$A$5:$A$304,0)),""))</f>
        <v/>
      </c>
      <c r="F153" s="39">
        <f>IF(C153="","",IFERROR(INDEX('أوامر التوريد'!$G$5:$G$304,MATCH(C153,'أوامر التوريد'!$A$5:$A$304,0)),""))</f>
        <v/>
      </c>
      <c r="G153" s="49">
        <f>IF(C153="","",IFERROR(INDEX('أوامر التوريد'!$H$5:$H$304,MATCH(C153,'أوامر التوريد'!$A$5:$A$304,0)),""))</f>
        <v/>
      </c>
      <c r="H153" s="39">
        <f>IF(C153="","",IFERROR(INDEX('أوامر التوريد'!$I$5:$I$304,MATCH(C153,'أوامر التوريد'!$A$5:$A$304,0)),""))</f>
        <v/>
      </c>
      <c r="I153" s="40" t="n"/>
      <c r="J153" s="41" t="n"/>
      <c r="K153" s="41" t="n"/>
      <c r="L153" s="46">
        <f>IF(J153="","",J153-K153)</f>
        <v/>
      </c>
      <c r="M153" s="49">
        <f>IF(J153="","",IF(K153=0,"مرفوض",IF(K153&lt;J153,"مقبول جزئياً","مقبول")))</f>
        <v/>
      </c>
      <c r="N153" s="40" t="n"/>
      <c r="O153" s="40" t="n"/>
    </row>
    <row r="154">
      <c r="A154" s="39">
        <f>IF(C154="","","MIR-"&amp;TEXT(ROW()-4,"0000"))</f>
        <v/>
      </c>
      <c r="B154" s="47" t="n"/>
      <c r="C154" s="40" t="n"/>
      <c r="D154" s="39">
        <f>IF(C154="","",IFERROR(INDEX('أوامر التوريد'!$C$5:$C$304,MATCH(C154,'أوامر التوريد'!$A$5:$A$304,0)),""))</f>
        <v/>
      </c>
      <c r="E154" s="49">
        <f>IF(C154="","",IFERROR(INDEX('أوامر التوريد'!$E$5:$E$304,MATCH(C154,'أوامر التوريد'!$A$5:$A$304,0)),""))</f>
        <v/>
      </c>
      <c r="F154" s="39">
        <f>IF(C154="","",IFERROR(INDEX('أوامر التوريد'!$G$5:$G$304,MATCH(C154,'أوامر التوريد'!$A$5:$A$304,0)),""))</f>
        <v/>
      </c>
      <c r="G154" s="49">
        <f>IF(C154="","",IFERROR(INDEX('أوامر التوريد'!$H$5:$H$304,MATCH(C154,'أوامر التوريد'!$A$5:$A$304,0)),""))</f>
        <v/>
      </c>
      <c r="H154" s="39">
        <f>IF(C154="","",IFERROR(INDEX('أوامر التوريد'!$I$5:$I$304,MATCH(C154,'أوامر التوريد'!$A$5:$A$304,0)),""))</f>
        <v/>
      </c>
      <c r="I154" s="40" t="n"/>
      <c r="J154" s="41" t="n"/>
      <c r="K154" s="41" t="n"/>
      <c r="L154" s="46">
        <f>IF(J154="","",J154-K154)</f>
        <v/>
      </c>
      <c r="M154" s="49">
        <f>IF(J154="","",IF(K154=0,"مرفوض",IF(K154&lt;J154,"مقبول جزئياً","مقبول")))</f>
        <v/>
      </c>
      <c r="N154" s="40" t="n"/>
      <c r="O154" s="40" t="n"/>
    </row>
    <row r="155">
      <c r="A155" s="39">
        <f>IF(C155="","","MIR-"&amp;TEXT(ROW()-4,"0000"))</f>
        <v/>
      </c>
      <c r="B155" s="47" t="n"/>
      <c r="C155" s="40" t="n"/>
      <c r="D155" s="39">
        <f>IF(C155="","",IFERROR(INDEX('أوامر التوريد'!$C$5:$C$304,MATCH(C155,'أوامر التوريد'!$A$5:$A$304,0)),""))</f>
        <v/>
      </c>
      <c r="E155" s="49">
        <f>IF(C155="","",IFERROR(INDEX('أوامر التوريد'!$E$5:$E$304,MATCH(C155,'أوامر التوريد'!$A$5:$A$304,0)),""))</f>
        <v/>
      </c>
      <c r="F155" s="39">
        <f>IF(C155="","",IFERROR(INDEX('أوامر التوريد'!$G$5:$G$304,MATCH(C155,'أوامر التوريد'!$A$5:$A$304,0)),""))</f>
        <v/>
      </c>
      <c r="G155" s="49">
        <f>IF(C155="","",IFERROR(INDEX('أوامر التوريد'!$H$5:$H$304,MATCH(C155,'أوامر التوريد'!$A$5:$A$304,0)),""))</f>
        <v/>
      </c>
      <c r="H155" s="39">
        <f>IF(C155="","",IFERROR(INDEX('أوامر التوريد'!$I$5:$I$304,MATCH(C155,'أوامر التوريد'!$A$5:$A$304,0)),""))</f>
        <v/>
      </c>
      <c r="I155" s="40" t="n"/>
      <c r="J155" s="41" t="n"/>
      <c r="K155" s="41" t="n"/>
      <c r="L155" s="46">
        <f>IF(J155="","",J155-K155)</f>
        <v/>
      </c>
      <c r="M155" s="49">
        <f>IF(J155="","",IF(K155=0,"مرفوض",IF(K155&lt;J155,"مقبول جزئياً","مقبول")))</f>
        <v/>
      </c>
      <c r="N155" s="40" t="n"/>
      <c r="O155" s="40" t="n"/>
    </row>
    <row r="156">
      <c r="A156" s="39">
        <f>IF(C156="","","MIR-"&amp;TEXT(ROW()-4,"0000"))</f>
        <v/>
      </c>
      <c r="B156" s="47" t="n"/>
      <c r="C156" s="40" t="n"/>
      <c r="D156" s="39">
        <f>IF(C156="","",IFERROR(INDEX('أوامر التوريد'!$C$5:$C$304,MATCH(C156,'أوامر التوريد'!$A$5:$A$304,0)),""))</f>
        <v/>
      </c>
      <c r="E156" s="49">
        <f>IF(C156="","",IFERROR(INDEX('أوامر التوريد'!$E$5:$E$304,MATCH(C156,'أوامر التوريد'!$A$5:$A$304,0)),""))</f>
        <v/>
      </c>
      <c r="F156" s="39">
        <f>IF(C156="","",IFERROR(INDEX('أوامر التوريد'!$G$5:$G$304,MATCH(C156,'أوامر التوريد'!$A$5:$A$304,0)),""))</f>
        <v/>
      </c>
      <c r="G156" s="49">
        <f>IF(C156="","",IFERROR(INDEX('أوامر التوريد'!$H$5:$H$304,MATCH(C156,'أوامر التوريد'!$A$5:$A$304,0)),""))</f>
        <v/>
      </c>
      <c r="H156" s="39">
        <f>IF(C156="","",IFERROR(INDEX('أوامر التوريد'!$I$5:$I$304,MATCH(C156,'أوامر التوريد'!$A$5:$A$304,0)),""))</f>
        <v/>
      </c>
      <c r="I156" s="40" t="n"/>
      <c r="J156" s="41" t="n"/>
      <c r="K156" s="41" t="n"/>
      <c r="L156" s="46">
        <f>IF(J156="","",J156-K156)</f>
        <v/>
      </c>
      <c r="M156" s="49">
        <f>IF(J156="","",IF(K156=0,"مرفوض",IF(K156&lt;J156,"مقبول جزئياً","مقبول")))</f>
        <v/>
      </c>
      <c r="N156" s="40" t="n"/>
      <c r="O156" s="40" t="n"/>
    </row>
    <row r="157">
      <c r="A157" s="39">
        <f>IF(C157="","","MIR-"&amp;TEXT(ROW()-4,"0000"))</f>
        <v/>
      </c>
      <c r="B157" s="47" t="n"/>
      <c r="C157" s="40" t="n"/>
      <c r="D157" s="39">
        <f>IF(C157="","",IFERROR(INDEX('أوامر التوريد'!$C$5:$C$304,MATCH(C157,'أوامر التوريد'!$A$5:$A$304,0)),""))</f>
        <v/>
      </c>
      <c r="E157" s="49">
        <f>IF(C157="","",IFERROR(INDEX('أوامر التوريد'!$E$5:$E$304,MATCH(C157,'أوامر التوريد'!$A$5:$A$304,0)),""))</f>
        <v/>
      </c>
      <c r="F157" s="39">
        <f>IF(C157="","",IFERROR(INDEX('أوامر التوريد'!$G$5:$G$304,MATCH(C157,'أوامر التوريد'!$A$5:$A$304,0)),""))</f>
        <v/>
      </c>
      <c r="G157" s="49">
        <f>IF(C157="","",IFERROR(INDEX('أوامر التوريد'!$H$5:$H$304,MATCH(C157,'أوامر التوريد'!$A$5:$A$304,0)),""))</f>
        <v/>
      </c>
      <c r="H157" s="39">
        <f>IF(C157="","",IFERROR(INDEX('أوامر التوريد'!$I$5:$I$304,MATCH(C157,'أوامر التوريد'!$A$5:$A$304,0)),""))</f>
        <v/>
      </c>
      <c r="I157" s="40" t="n"/>
      <c r="J157" s="41" t="n"/>
      <c r="K157" s="41" t="n"/>
      <c r="L157" s="46">
        <f>IF(J157="","",J157-K157)</f>
        <v/>
      </c>
      <c r="M157" s="49">
        <f>IF(J157="","",IF(K157=0,"مرفوض",IF(K157&lt;J157,"مقبول جزئياً","مقبول")))</f>
        <v/>
      </c>
      <c r="N157" s="40" t="n"/>
      <c r="O157" s="40" t="n"/>
    </row>
    <row r="158">
      <c r="A158" s="39">
        <f>IF(C158="","","MIR-"&amp;TEXT(ROW()-4,"0000"))</f>
        <v/>
      </c>
      <c r="B158" s="47" t="n"/>
      <c r="C158" s="40" t="n"/>
      <c r="D158" s="39">
        <f>IF(C158="","",IFERROR(INDEX('أوامر التوريد'!$C$5:$C$304,MATCH(C158,'أوامر التوريد'!$A$5:$A$304,0)),""))</f>
        <v/>
      </c>
      <c r="E158" s="49">
        <f>IF(C158="","",IFERROR(INDEX('أوامر التوريد'!$E$5:$E$304,MATCH(C158,'أوامر التوريد'!$A$5:$A$304,0)),""))</f>
        <v/>
      </c>
      <c r="F158" s="39">
        <f>IF(C158="","",IFERROR(INDEX('أوامر التوريد'!$G$5:$G$304,MATCH(C158,'أوامر التوريد'!$A$5:$A$304,0)),""))</f>
        <v/>
      </c>
      <c r="G158" s="49">
        <f>IF(C158="","",IFERROR(INDEX('أوامر التوريد'!$H$5:$H$304,MATCH(C158,'أوامر التوريد'!$A$5:$A$304,0)),""))</f>
        <v/>
      </c>
      <c r="H158" s="39">
        <f>IF(C158="","",IFERROR(INDEX('أوامر التوريد'!$I$5:$I$304,MATCH(C158,'أوامر التوريد'!$A$5:$A$304,0)),""))</f>
        <v/>
      </c>
      <c r="I158" s="40" t="n"/>
      <c r="J158" s="41" t="n"/>
      <c r="K158" s="41" t="n"/>
      <c r="L158" s="46">
        <f>IF(J158="","",J158-K158)</f>
        <v/>
      </c>
      <c r="M158" s="49">
        <f>IF(J158="","",IF(K158=0,"مرفوض",IF(K158&lt;J158,"مقبول جزئياً","مقبول")))</f>
        <v/>
      </c>
      <c r="N158" s="40" t="n"/>
      <c r="O158" s="40" t="n"/>
    </row>
    <row r="159">
      <c r="A159" s="39">
        <f>IF(C159="","","MIR-"&amp;TEXT(ROW()-4,"0000"))</f>
        <v/>
      </c>
      <c r="B159" s="47" t="n"/>
      <c r="C159" s="40" t="n"/>
      <c r="D159" s="39">
        <f>IF(C159="","",IFERROR(INDEX('أوامر التوريد'!$C$5:$C$304,MATCH(C159,'أوامر التوريد'!$A$5:$A$304,0)),""))</f>
        <v/>
      </c>
      <c r="E159" s="49">
        <f>IF(C159="","",IFERROR(INDEX('أوامر التوريد'!$E$5:$E$304,MATCH(C159,'أوامر التوريد'!$A$5:$A$304,0)),""))</f>
        <v/>
      </c>
      <c r="F159" s="39">
        <f>IF(C159="","",IFERROR(INDEX('أوامر التوريد'!$G$5:$G$304,MATCH(C159,'أوامر التوريد'!$A$5:$A$304,0)),""))</f>
        <v/>
      </c>
      <c r="G159" s="49">
        <f>IF(C159="","",IFERROR(INDEX('أوامر التوريد'!$H$5:$H$304,MATCH(C159,'أوامر التوريد'!$A$5:$A$304,0)),""))</f>
        <v/>
      </c>
      <c r="H159" s="39">
        <f>IF(C159="","",IFERROR(INDEX('أوامر التوريد'!$I$5:$I$304,MATCH(C159,'أوامر التوريد'!$A$5:$A$304,0)),""))</f>
        <v/>
      </c>
      <c r="I159" s="40" t="n"/>
      <c r="J159" s="41" t="n"/>
      <c r="K159" s="41" t="n"/>
      <c r="L159" s="46">
        <f>IF(J159="","",J159-K159)</f>
        <v/>
      </c>
      <c r="M159" s="49">
        <f>IF(J159="","",IF(K159=0,"مرفوض",IF(K159&lt;J159,"مقبول جزئياً","مقبول")))</f>
        <v/>
      </c>
      <c r="N159" s="40" t="n"/>
      <c r="O159" s="40" t="n"/>
    </row>
    <row r="160">
      <c r="A160" s="39">
        <f>IF(C160="","","MIR-"&amp;TEXT(ROW()-4,"0000"))</f>
        <v/>
      </c>
      <c r="B160" s="47" t="n"/>
      <c r="C160" s="40" t="n"/>
      <c r="D160" s="39">
        <f>IF(C160="","",IFERROR(INDEX('أوامر التوريد'!$C$5:$C$304,MATCH(C160,'أوامر التوريد'!$A$5:$A$304,0)),""))</f>
        <v/>
      </c>
      <c r="E160" s="49">
        <f>IF(C160="","",IFERROR(INDEX('أوامر التوريد'!$E$5:$E$304,MATCH(C160,'أوامر التوريد'!$A$5:$A$304,0)),""))</f>
        <v/>
      </c>
      <c r="F160" s="39">
        <f>IF(C160="","",IFERROR(INDEX('أوامر التوريد'!$G$5:$G$304,MATCH(C160,'أوامر التوريد'!$A$5:$A$304,0)),""))</f>
        <v/>
      </c>
      <c r="G160" s="49">
        <f>IF(C160="","",IFERROR(INDEX('أوامر التوريد'!$H$5:$H$304,MATCH(C160,'أوامر التوريد'!$A$5:$A$304,0)),""))</f>
        <v/>
      </c>
      <c r="H160" s="39">
        <f>IF(C160="","",IFERROR(INDEX('أوامر التوريد'!$I$5:$I$304,MATCH(C160,'أوامر التوريد'!$A$5:$A$304,0)),""))</f>
        <v/>
      </c>
      <c r="I160" s="40" t="n"/>
      <c r="J160" s="41" t="n"/>
      <c r="K160" s="41" t="n"/>
      <c r="L160" s="46">
        <f>IF(J160="","",J160-K160)</f>
        <v/>
      </c>
      <c r="M160" s="49">
        <f>IF(J160="","",IF(K160=0,"مرفوض",IF(K160&lt;J160,"مقبول جزئياً","مقبول")))</f>
        <v/>
      </c>
      <c r="N160" s="40" t="n"/>
      <c r="O160" s="40" t="n"/>
    </row>
    <row r="161">
      <c r="A161" s="39">
        <f>IF(C161="","","MIR-"&amp;TEXT(ROW()-4,"0000"))</f>
        <v/>
      </c>
      <c r="B161" s="47" t="n"/>
      <c r="C161" s="40" t="n"/>
      <c r="D161" s="39">
        <f>IF(C161="","",IFERROR(INDEX('أوامر التوريد'!$C$5:$C$304,MATCH(C161,'أوامر التوريد'!$A$5:$A$304,0)),""))</f>
        <v/>
      </c>
      <c r="E161" s="49">
        <f>IF(C161="","",IFERROR(INDEX('أوامر التوريد'!$E$5:$E$304,MATCH(C161,'أوامر التوريد'!$A$5:$A$304,0)),""))</f>
        <v/>
      </c>
      <c r="F161" s="39">
        <f>IF(C161="","",IFERROR(INDEX('أوامر التوريد'!$G$5:$G$304,MATCH(C161,'أوامر التوريد'!$A$5:$A$304,0)),""))</f>
        <v/>
      </c>
      <c r="G161" s="49">
        <f>IF(C161="","",IFERROR(INDEX('أوامر التوريد'!$H$5:$H$304,MATCH(C161,'أوامر التوريد'!$A$5:$A$304,0)),""))</f>
        <v/>
      </c>
      <c r="H161" s="39">
        <f>IF(C161="","",IFERROR(INDEX('أوامر التوريد'!$I$5:$I$304,MATCH(C161,'أوامر التوريد'!$A$5:$A$304,0)),""))</f>
        <v/>
      </c>
      <c r="I161" s="40" t="n"/>
      <c r="J161" s="41" t="n"/>
      <c r="K161" s="41" t="n"/>
      <c r="L161" s="46">
        <f>IF(J161="","",J161-K161)</f>
        <v/>
      </c>
      <c r="M161" s="49">
        <f>IF(J161="","",IF(K161=0,"مرفوض",IF(K161&lt;J161,"مقبول جزئياً","مقبول")))</f>
        <v/>
      </c>
      <c r="N161" s="40" t="n"/>
      <c r="O161" s="40" t="n"/>
    </row>
    <row r="162">
      <c r="A162" s="39">
        <f>IF(C162="","","MIR-"&amp;TEXT(ROW()-4,"0000"))</f>
        <v/>
      </c>
      <c r="B162" s="47" t="n"/>
      <c r="C162" s="40" t="n"/>
      <c r="D162" s="39">
        <f>IF(C162="","",IFERROR(INDEX('أوامر التوريد'!$C$5:$C$304,MATCH(C162,'أوامر التوريد'!$A$5:$A$304,0)),""))</f>
        <v/>
      </c>
      <c r="E162" s="49">
        <f>IF(C162="","",IFERROR(INDEX('أوامر التوريد'!$E$5:$E$304,MATCH(C162,'أوامر التوريد'!$A$5:$A$304,0)),""))</f>
        <v/>
      </c>
      <c r="F162" s="39">
        <f>IF(C162="","",IFERROR(INDEX('أوامر التوريد'!$G$5:$G$304,MATCH(C162,'أوامر التوريد'!$A$5:$A$304,0)),""))</f>
        <v/>
      </c>
      <c r="G162" s="49">
        <f>IF(C162="","",IFERROR(INDEX('أوامر التوريد'!$H$5:$H$304,MATCH(C162,'أوامر التوريد'!$A$5:$A$304,0)),""))</f>
        <v/>
      </c>
      <c r="H162" s="39">
        <f>IF(C162="","",IFERROR(INDEX('أوامر التوريد'!$I$5:$I$304,MATCH(C162,'أوامر التوريد'!$A$5:$A$304,0)),""))</f>
        <v/>
      </c>
      <c r="I162" s="40" t="n"/>
      <c r="J162" s="41" t="n"/>
      <c r="K162" s="41" t="n"/>
      <c r="L162" s="46">
        <f>IF(J162="","",J162-K162)</f>
        <v/>
      </c>
      <c r="M162" s="49">
        <f>IF(J162="","",IF(K162=0,"مرفوض",IF(K162&lt;J162,"مقبول جزئياً","مقبول")))</f>
        <v/>
      </c>
      <c r="N162" s="40" t="n"/>
      <c r="O162" s="40" t="n"/>
    </row>
    <row r="163">
      <c r="A163" s="39">
        <f>IF(C163="","","MIR-"&amp;TEXT(ROW()-4,"0000"))</f>
        <v/>
      </c>
      <c r="B163" s="47" t="n"/>
      <c r="C163" s="40" t="n"/>
      <c r="D163" s="39">
        <f>IF(C163="","",IFERROR(INDEX('أوامر التوريد'!$C$5:$C$304,MATCH(C163,'أوامر التوريد'!$A$5:$A$304,0)),""))</f>
        <v/>
      </c>
      <c r="E163" s="49">
        <f>IF(C163="","",IFERROR(INDEX('أوامر التوريد'!$E$5:$E$304,MATCH(C163,'أوامر التوريد'!$A$5:$A$304,0)),""))</f>
        <v/>
      </c>
      <c r="F163" s="39">
        <f>IF(C163="","",IFERROR(INDEX('أوامر التوريد'!$G$5:$G$304,MATCH(C163,'أوامر التوريد'!$A$5:$A$304,0)),""))</f>
        <v/>
      </c>
      <c r="G163" s="49">
        <f>IF(C163="","",IFERROR(INDEX('أوامر التوريد'!$H$5:$H$304,MATCH(C163,'أوامر التوريد'!$A$5:$A$304,0)),""))</f>
        <v/>
      </c>
      <c r="H163" s="39">
        <f>IF(C163="","",IFERROR(INDEX('أوامر التوريد'!$I$5:$I$304,MATCH(C163,'أوامر التوريد'!$A$5:$A$304,0)),""))</f>
        <v/>
      </c>
      <c r="I163" s="40" t="n"/>
      <c r="J163" s="41" t="n"/>
      <c r="K163" s="41" t="n"/>
      <c r="L163" s="46">
        <f>IF(J163="","",J163-K163)</f>
        <v/>
      </c>
      <c r="M163" s="49">
        <f>IF(J163="","",IF(K163=0,"مرفوض",IF(K163&lt;J163,"مقبول جزئياً","مقبول")))</f>
        <v/>
      </c>
      <c r="N163" s="40" t="n"/>
      <c r="O163" s="40" t="n"/>
    </row>
    <row r="164">
      <c r="A164" s="39">
        <f>IF(C164="","","MIR-"&amp;TEXT(ROW()-4,"0000"))</f>
        <v/>
      </c>
      <c r="B164" s="47" t="n"/>
      <c r="C164" s="40" t="n"/>
      <c r="D164" s="39">
        <f>IF(C164="","",IFERROR(INDEX('أوامر التوريد'!$C$5:$C$304,MATCH(C164,'أوامر التوريد'!$A$5:$A$304,0)),""))</f>
        <v/>
      </c>
      <c r="E164" s="49">
        <f>IF(C164="","",IFERROR(INDEX('أوامر التوريد'!$E$5:$E$304,MATCH(C164,'أوامر التوريد'!$A$5:$A$304,0)),""))</f>
        <v/>
      </c>
      <c r="F164" s="39">
        <f>IF(C164="","",IFERROR(INDEX('أوامر التوريد'!$G$5:$G$304,MATCH(C164,'أوامر التوريد'!$A$5:$A$304,0)),""))</f>
        <v/>
      </c>
      <c r="G164" s="49">
        <f>IF(C164="","",IFERROR(INDEX('أوامر التوريد'!$H$5:$H$304,MATCH(C164,'أوامر التوريد'!$A$5:$A$304,0)),""))</f>
        <v/>
      </c>
      <c r="H164" s="39">
        <f>IF(C164="","",IFERROR(INDEX('أوامر التوريد'!$I$5:$I$304,MATCH(C164,'أوامر التوريد'!$A$5:$A$304,0)),""))</f>
        <v/>
      </c>
      <c r="I164" s="40" t="n"/>
      <c r="J164" s="41" t="n"/>
      <c r="K164" s="41" t="n"/>
      <c r="L164" s="46">
        <f>IF(J164="","",J164-K164)</f>
        <v/>
      </c>
      <c r="M164" s="49">
        <f>IF(J164="","",IF(K164=0,"مرفوض",IF(K164&lt;J164,"مقبول جزئياً","مقبول")))</f>
        <v/>
      </c>
      <c r="N164" s="40" t="n"/>
      <c r="O164" s="40" t="n"/>
    </row>
    <row r="165">
      <c r="A165" s="39">
        <f>IF(C165="","","MIR-"&amp;TEXT(ROW()-4,"0000"))</f>
        <v/>
      </c>
      <c r="B165" s="47" t="n"/>
      <c r="C165" s="40" t="n"/>
      <c r="D165" s="39">
        <f>IF(C165="","",IFERROR(INDEX('أوامر التوريد'!$C$5:$C$304,MATCH(C165,'أوامر التوريد'!$A$5:$A$304,0)),""))</f>
        <v/>
      </c>
      <c r="E165" s="49">
        <f>IF(C165="","",IFERROR(INDEX('أوامر التوريد'!$E$5:$E$304,MATCH(C165,'أوامر التوريد'!$A$5:$A$304,0)),""))</f>
        <v/>
      </c>
      <c r="F165" s="39">
        <f>IF(C165="","",IFERROR(INDEX('أوامر التوريد'!$G$5:$G$304,MATCH(C165,'أوامر التوريد'!$A$5:$A$304,0)),""))</f>
        <v/>
      </c>
      <c r="G165" s="49">
        <f>IF(C165="","",IFERROR(INDEX('أوامر التوريد'!$H$5:$H$304,MATCH(C165,'أوامر التوريد'!$A$5:$A$304,0)),""))</f>
        <v/>
      </c>
      <c r="H165" s="39">
        <f>IF(C165="","",IFERROR(INDEX('أوامر التوريد'!$I$5:$I$304,MATCH(C165,'أوامر التوريد'!$A$5:$A$304,0)),""))</f>
        <v/>
      </c>
      <c r="I165" s="40" t="n"/>
      <c r="J165" s="41" t="n"/>
      <c r="K165" s="41" t="n"/>
      <c r="L165" s="46">
        <f>IF(J165="","",J165-K165)</f>
        <v/>
      </c>
      <c r="M165" s="49">
        <f>IF(J165="","",IF(K165=0,"مرفوض",IF(K165&lt;J165,"مقبول جزئياً","مقبول")))</f>
        <v/>
      </c>
      <c r="N165" s="40" t="n"/>
      <c r="O165" s="40" t="n"/>
    </row>
    <row r="166">
      <c r="A166" s="39">
        <f>IF(C166="","","MIR-"&amp;TEXT(ROW()-4,"0000"))</f>
        <v/>
      </c>
      <c r="B166" s="47" t="n"/>
      <c r="C166" s="40" t="n"/>
      <c r="D166" s="39">
        <f>IF(C166="","",IFERROR(INDEX('أوامر التوريد'!$C$5:$C$304,MATCH(C166,'أوامر التوريد'!$A$5:$A$304,0)),""))</f>
        <v/>
      </c>
      <c r="E166" s="49">
        <f>IF(C166="","",IFERROR(INDEX('أوامر التوريد'!$E$5:$E$304,MATCH(C166,'أوامر التوريد'!$A$5:$A$304,0)),""))</f>
        <v/>
      </c>
      <c r="F166" s="39">
        <f>IF(C166="","",IFERROR(INDEX('أوامر التوريد'!$G$5:$G$304,MATCH(C166,'أوامر التوريد'!$A$5:$A$304,0)),""))</f>
        <v/>
      </c>
      <c r="G166" s="49">
        <f>IF(C166="","",IFERROR(INDEX('أوامر التوريد'!$H$5:$H$304,MATCH(C166,'أوامر التوريد'!$A$5:$A$304,0)),""))</f>
        <v/>
      </c>
      <c r="H166" s="39">
        <f>IF(C166="","",IFERROR(INDEX('أوامر التوريد'!$I$5:$I$304,MATCH(C166,'أوامر التوريد'!$A$5:$A$304,0)),""))</f>
        <v/>
      </c>
      <c r="I166" s="40" t="n"/>
      <c r="J166" s="41" t="n"/>
      <c r="K166" s="41" t="n"/>
      <c r="L166" s="46">
        <f>IF(J166="","",J166-K166)</f>
        <v/>
      </c>
      <c r="M166" s="49">
        <f>IF(J166="","",IF(K166=0,"مرفوض",IF(K166&lt;J166,"مقبول جزئياً","مقبول")))</f>
        <v/>
      </c>
      <c r="N166" s="40" t="n"/>
      <c r="O166" s="40" t="n"/>
    </row>
    <row r="167">
      <c r="A167" s="39">
        <f>IF(C167="","","MIR-"&amp;TEXT(ROW()-4,"0000"))</f>
        <v/>
      </c>
      <c r="B167" s="47" t="n"/>
      <c r="C167" s="40" t="n"/>
      <c r="D167" s="39">
        <f>IF(C167="","",IFERROR(INDEX('أوامر التوريد'!$C$5:$C$304,MATCH(C167,'أوامر التوريد'!$A$5:$A$304,0)),""))</f>
        <v/>
      </c>
      <c r="E167" s="49">
        <f>IF(C167="","",IFERROR(INDEX('أوامر التوريد'!$E$5:$E$304,MATCH(C167,'أوامر التوريد'!$A$5:$A$304,0)),""))</f>
        <v/>
      </c>
      <c r="F167" s="39">
        <f>IF(C167="","",IFERROR(INDEX('أوامر التوريد'!$G$5:$G$304,MATCH(C167,'أوامر التوريد'!$A$5:$A$304,0)),""))</f>
        <v/>
      </c>
      <c r="G167" s="49">
        <f>IF(C167="","",IFERROR(INDEX('أوامر التوريد'!$H$5:$H$304,MATCH(C167,'أوامر التوريد'!$A$5:$A$304,0)),""))</f>
        <v/>
      </c>
      <c r="H167" s="39">
        <f>IF(C167="","",IFERROR(INDEX('أوامر التوريد'!$I$5:$I$304,MATCH(C167,'أوامر التوريد'!$A$5:$A$304,0)),""))</f>
        <v/>
      </c>
      <c r="I167" s="40" t="n"/>
      <c r="J167" s="41" t="n"/>
      <c r="K167" s="41" t="n"/>
      <c r="L167" s="46">
        <f>IF(J167="","",J167-K167)</f>
        <v/>
      </c>
      <c r="M167" s="49">
        <f>IF(J167="","",IF(K167=0,"مرفوض",IF(K167&lt;J167,"مقبول جزئياً","مقبول")))</f>
        <v/>
      </c>
      <c r="N167" s="40" t="n"/>
      <c r="O167" s="40" t="n"/>
    </row>
    <row r="168">
      <c r="A168" s="39">
        <f>IF(C168="","","MIR-"&amp;TEXT(ROW()-4,"0000"))</f>
        <v/>
      </c>
      <c r="B168" s="47" t="n"/>
      <c r="C168" s="40" t="n"/>
      <c r="D168" s="39">
        <f>IF(C168="","",IFERROR(INDEX('أوامر التوريد'!$C$5:$C$304,MATCH(C168,'أوامر التوريد'!$A$5:$A$304,0)),""))</f>
        <v/>
      </c>
      <c r="E168" s="49">
        <f>IF(C168="","",IFERROR(INDEX('أوامر التوريد'!$E$5:$E$304,MATCH(C168,'أوامر التوريد'!$A$5:$A$304,0)),""))</f>
        <v/>
      </c>
      <c r="F168" s="39">
        <f>IF(C168="","",IFERROR(INDEX('أوامر التوريد'!$G$5:$G$304,MATCH(C168,'أوامر التوريد'!$A$5:$A$304,0)),""))</f>
        <v/>
      </c>
      <c r="G168" s="49">
        <f>IF(C168="","",IFERROR(INDEX('أوامر التوريد'!$H$5:$H$304,MATCH(C168,'أوامر التوريد'!$A$5:$A$304,0)),""))</f>
        <v/>
      </c>
      <c r="H168" s="39">
        <f>IF(C168="","",IFERROR(INDEX('أوامر التوريد'!$I$5:$I$304,MATCH(C168,'أوامر التوريد'!$A$5:$A$304,0)),""))</f>
        <v/>
      </c>
      <c r="I168" s="40" t="n"/>
      <c r="J168" s="41" t="n"/>
      <c r="K168" s="41" t="n"/>
      <c r="L168" s="46">
        <f>IF(J168="","",J168-K168)</f>
        <v/>
      </c>
      <c r="M168" s="49">
        <f>IF(J168="","",IF(K168=0,"مرفوض",IF(K168&lt;J168,"مقبول جزئياً","مقبول")))</f>
        <v/>
      </c>
      <c r="N168" s="40" t="n"/>
      <c r="O168" s="40" t="n"/>
    </row>
    <row r="169">
      <c r="A169" s="39">
        <f>IF(C169="","","MIR-"&amp;TEXT(ROW()-4,"0000"))</f>
        <v/>
      </c>
      <c r="B169" s="47" t="n"/>
      <c r="C169" s="40" t="n"/>
      <c r="D169" s="39">
        <f>IF(C169="","",IFERROR(INDEX('أوامر التوريد'!$C$5:$C$304,MATCH(C169,'أوامر التوريد'!$A$5:$A$304,0)),""))</f>
        <v/>
      </c>
      <c r="E169" s="49">
        <f>IF(C169="","",IFERROR(INDEX('أوامر التوريد'!$E$5:$E$304,MATCH(C169,'أوامر التوريد'!$A$5:$A$304,0)),""))</f>
        <v/>
      </c>
      <c r="F169" s="39">
        <f>IF(C169="","",IFERROR(INDEX('أوامر التوريد'!$G$5:$G$304,MATCH(C169,'أوامر التوريد'!$A$5:$A$304,0)),""))</f>
        <v/>
      </c>
      <c r="G169" s="49">
        <f>IF(C169="","",IFERROR(INDEX('أوامر التوريد'!$H$5:$H$304,MATCH(C169,'أوامر التوريد'!$A$5:$A$304,0)),""))</f>
        <v/>
      </c>
      <c r="H169" s="39">
        <f>IF(C169="","",IFERROR(INDEX('أوامر التوريد'!$I$5:$I$304,MATCH(C169,'أوامر التوريد'!$A$5:$A$304,0)),""))</f>
        <v/>
      </c>
      <c r="I169" s="40" t="n"/>
      <c r="J169" s="41" t="n"/>
      <c r="K169" s="41" t="n"/>
      <c r="L169" s="46">
        <f>IF(J169="","",J169-K169)</f>
        <v/>
      </c>
      <c r="M169" s="49">
        <f>IF(J169="","",IF(K169=0,"مرفوض",IF(K169&lt;J169,"مقبول جزئياً","مقبول")))</f>
        <v/>
      </c>
      <c r="N169" s="40" t="n"/>
      <c r="O169" s="40" t="n"/>
    </row>
    <row r="170">
      <c r="A170" s="39">
        <f>IF(C170="","","MIR-"&amp;TEXT(ROW()-4,"0000"))</f>
        <v/>
      </c>
      <c r="B170" s="47" t="n"/>
      <c r="C170" s="40" t="n"/>
      <c r="D170" s="39">
        <f>IF(C170="","",IFERROR(INDEX('أوامر التوريد'!$C$5:$C$304,MATCH(C170,'أوامر التوريد'!$A$5:$A$304,0)),""))</f>
        <v/>
      </c>
      <c r="E170" s="49">
        <f>IF(C170="","",IFERROR(INDEX('أوامر التوريد'!$E$5:$E$304,MATCH(C170,'أوامر التوريد'!$A$5:$A$304,0)),""))</f>
        <v/>
      </c>
      <c r="F170" s="39">
        <f>IF(C170="","",IFERROR(INDEX('أوامر التوريد'!$G$5:$G$304,MATCH(C170,'أوامر التوريد'!$A$5:$A$304,0)),""))</f>
        <v/>
      </c>
      <c r="G170" s="49">
        <f>IF(C170="","",IFERROR(INDEX('أوامر التوريد'!$H$5:$H$304,MATCH(C170,'أوامر التوريد'!$A$5:$A$304,0)),""))</f>
        <v/>
      </c>
      <c r="H170" s="39">
        <f>IF(C170="","",IFERROR(INDEX('أوامر التوريد'!$I$5:$I$304,MATCH(C170,'أوامر التوريد'!$A$5:$A$304,0)),""))</f>
        <v/>
      </c>
      <c r="I170" s="40" t="n"/>
      <c r="J170" s="41" t="n"/>
      <c r="K170" s="41" t="n"/>
      <c r="L170" s="46">
        <f>IF(J170="","",J170-K170)</f>
        <v/>
      </c>
      <c r="M170" s="49">
        <f>IF(J170="","",IF(K170=0,"مرفوض",IF(K170&lt;J170,"مقبول جزئياً","مقبول")))</f>
        <v/>
      </c>
      <c r="N170" s="40" t="n"/>
      <c r="O170" s="40" t="n"/>
    </row>
    <row r="171">
      <c r="A171" s="39">
        <f>IF(C171="","","MIR-"&amp;TEXT(ROW()-4,"0000"))</f>
        <v/>
      </c>
      <c r="B171" s="47" t="n"/>
      <c r="C171" s="40" t="n"/>
      <c r="D171" s="39">
        <f>IF(C171="","",IFERROR(INDEX('أوامر التوريد'!$C$5:$C$304,MATCH(C171,'أوامر التوريد'!$A$5:$A$304,0)),""))</f>
        <v/>
      </c>
      <c r="E171" s="49">
        <f>IF(C171="","",IFERROR(INDEX('أوامر التوريد'!$E$5:$E$304,MATCH(C171,'أوامر التوريد'!$A$5:$A$304,0)),""))</f>
        <v/>
      </c>
      <c r="F171" s="39">
        <f>IF(C171="","",IFERROR(INDEX('أوامر التوريد'!$G$5:$G$304,MATCH(C171,'أوامر التوريد'!$A$5:$A$304,0)),""))</f>
        <v/>
      </c>
      <c r="G171" s="49">
        <f>IF(C171="","",IFERROR(INDEX('أوامر التوريد'!$H$5:$H$304,MATCH(C171,'أوامر التوريد'!$A$5:$A$304,0)),""))</f>
        <v/>
      </c>
      <c r="H171" s="39">
        <f>IF(C171="","",IFERROR(INDEX('أوامر التوريد'!$I$5:$I$304,MATCH(C171,'أوامر التوريد'!$A$5:$A$304,0)),""))</f>
        <v/>
      </c>
      <c r="I171" s="40" t="n"/>
      <c r="J171" s="41" t="n"/>
      <c r="K171" s="41" t="n"/>
      <c r="L171" s="46">
        <f>IF(J171="","",J171-K171)</f>
        <v/>
      </c>
      <c r="M171" s="49">
        <f>IF(J171="","",IF(K171=0,"مرفوض",IF(K171&lt;J171,"مقبول جزئياً","مقبول")))</f>
        <v/>
      </c>
      <c r="N171" s="40" t="n"/>
      <c r="O171" s="40" t="n"/>
    </row>
    <row r="172">
      <c r="A172" s="39">
        <f>IF(C172="","","MIR-"&amp;TEXT(ROW()-4,"0000"))</f>
        <v/>
      </c>
      <c r="B172" s="47" t="n"/>
      <c r="C172" s="40" t="n"/>
      <c r="D172" s="39">
        <f>IF(C172="","",IFERROR(INDEX('أوامر التوريد'!$C$5:$C$304,MATCH(C172,'أوامر التوريد'!$A$5:$A$304,0)),""))</f>
        <v/>
      </c>
      <c r="E172" s="49">
        <f>IF(C172="","",IFERROR(INDEX('أوامر التوريد'!$E$5:$E$304,MATCH(C172,'أوامر التوريد'!$A$5:$A$304,0)),""))</f>
        <v/>
      </c>
      <c r="F172" s="39">
        <f>IF(C172="","",IFERROR(INDEX('أوامر التوريد'!$G$5:$G$304,MATCH(C172,'أوامر التوريد'!$A$5:$A$304,0)),""))</f>
        <v/>
      </c>
      <c r="G172" s="49">
        <f>IF(C172="","",IFERROR(INDEX('أوامر التوريد'!$H$5:$H$304,MATCH(C172,'أوامر التوريد'!$A$5:$A$304,0)),""))</f>
        <v/>
      </c>
      <c r="H172" s="39">
        <f>IF(C172="","",IFERROR(INDEX('أوامر التوريد'!$I$5:$I$304,MATCH(C172,'أوامر التوريد'!$A$5:$A$304,0)),""))</f>
        <v/>
      </c>
      <c r="I172" s="40" t="n"/>
      <c r="J172" s="41" t="n"/>
      <c r="K172" s="41" t="n"/>
      <c r="L172" s="46">
        <f>IF(J172="","",J172-K172)</f>
        <v/>
      </c>
      <c r="M172" s="49">
        <f>IF(J172="","",IF(K172=0,"مرفوض",IF(K172&lt;J172,"مقبول جزئياً","مقبول")))</f>
        <v/>
      </c>
      <c r="N172" s="40" t="n"/>
      <c r="O172" s="40" t="n"/>
    </row>
    <row r="173">
      <c r="A173" s="39">
        <f>IF(C173="","","MIR-"&amp;TEXT(ROW()-4,"0000"))</f>
        <v/>
      </c>
      <c r="B173" s="47" t="n"/>
      <c r="C173" s="40" t="n"/>
      <c r="D173" s="39">
        <f>IF(C173="","",IFERROR(INDEX('أوامر التوريد'!$C$5:$C$304,MATCH(C173,'أوامر التوريد'!$A$5:$A$304,0)),""))</f>
        <v/>
      </c>
      <c r="E173" s="49">
        <f>IF(C173="","",IFERROR(INDEX('أوامر التوريد'!$E$5:$E$304,MATCH(C173,'أوامر التوريد'!$A$5:$A$304,0)),""))</f>
        <v/>
      </c>
      <c r="F173" s="39">
        <f>IF(C173="","",IFERROR(INDEX('أوامر التوريد'!$G$5:$G$304,MATCH(C173,'أوامر التوريد'!$A$5:$A$304,0)),""))</f>
        <v/>
      </c>
      <c r="G173" s="49">
        <f>IF(C173="","",IFERROR(INDEX('أوامر التوريد'!$H$5:$H$304,MATCH(C173,'أوامر التوريد'!$A$5:$A$304,0)),""))</f>
        <v/>
      </c>
      <c r="H173" s="39">
        <f>IF(C173="","",IFERROR(INDEX('أوامر التوريد'!$I$5:$I$304,MATCH(C173,'أوامر التوريد'!$A$5:$A$304,0)),""))</f>
        <v/>
      </c>
      <c r="I173" s="40" t="n"/>
      <c r="J173" s="41" t="n"/>
      <c r="K173" s="41" t="n"/>
      <c r="L173" s="46">
        <f>IF(J173="","",J173-K173)</f>
        <v/>
      </c>
      <c r="M173" s="49">
        <f>IF(J173="","",IF(K173=0,"مرفوض",IF(K173&lt;J173,"مقبول جزئياً","مقبول")))</f>
        <v/>
      </c>
      <c r="N173" s="40" t="n"/>
      <c r="O173" s="40" t="n"/>
    </row>
    <row r="174">
      <c r="A174" s="39">
        <f>IF(C174="","","MIR-"&amp;TEXT(ROW()-4,"0000"))</f>
        <v/>
      </c>
      <c r="B174" s="47" t="n"/>
      <c r="C174" s="40" t="n"/>
      <c r="D174" s="39">
        <f>IF(C174="","",IFERROR(INDEX('أوامر التوريد'!$C$5:$C$304,MATCH(C174,'أوامر التوريد'!$A$5:$A$304,0)),""))</f>
        <v/>
      </c>
      <c r="E174" s="49">
        <f>IF(C174="","",IFERROR(INDEX('أوامر التوريد'!$E$5:$E$304,MATCH(C174,'أوامر التوريد'!$A$5:$A$304,0)),""))</f>
        <v/>
      </c>
      <c r="F174" s="39">
        <f>IF(C174="","",IFERROR(INDEX('أوامر التوريد'!$G$5:$G$304,MATCH(C174,'أوامر التوريد'!$A$5:$A$304,0)),""))</f>
        <v/>
      </c>
      <c r="G174" s="49">
        <f>IF(C174="","",IFERROR(INDEX('أوامر التوريد'!$H$5:$H$304,MATCH(C174,'أوامر التوريد'!$A$5:$A$304,0)),""))</f>
        <v/>
      </c>
      <c r="H174" s="39">
        <f>IF(C174="","",IFERROR(INDEX('أوامر التوريد'!$I$5:$I$304,MATCH(C174,'أوامر التوريد'!$A$5:$A$304,0)),""))</f>
        <v/>
      </c>
      <c r="I174" s="40" t="n"/>
      <c r="J174" s="41" t="n"/>
      <c r="K174" s="41" t="n"/>
      <c r="L174" s="46">
        <f>IF(J174="","",J174-K174)</f>
        <v/>
      </c>
      <c r="M174" s="49">
        <f>IF(J174="","",IF(K174=0,"مرفوض",IF(K174&lt;J174,"مقبول جزئياً","مقبول")))</f>
        <v/>
      </c>
      <c r="N174" s="40" t="n"/>
      <c r="O174" s="40" t="n"/>
    </row>
    <row r="175">
      <c r="A175" s="39">
        <f>IF(C175="","","MIR-"&amp;TEXT(ROW()-4,"0000"))</f>
        <v/>
      </c>
      <c r="B175" s="47" t="n"/>
      <c r="C175" s="40" t="n"/>
      <c r="D175" s="39">
        <f>IF(C175="","",IFERROR(INDEX('أوامر التوريد'!$C$5:$C$304,MATCH(C175,'أوامر التوريد'!$A$5:$A$304,0)),""))</f>
        <v/>
      </c>
      <c r="E175" s="49">
        <f>IF(C175="","",IFERROR(INDEX('أوامر التوريد'!$E$5:$E$304,MATCH(C175,'أوامر التوريد'!$A$5:$A$304,0)),""))</f>
        <v/>
      </c>
      <c r="F175" s="39">
        <f>IF(C175="","",IFERROR(INDEX('أوامر التوريد'!$G$5:$G$304,MATCH(C175,'أوامر التوريد'!$A$5:$A$304,0)),""))</f>
        <v/>
      </c>
      <c r="G175" s="49">
        <f>IF(C175="","",IFERROR(INDEX('أوامر التوريد'!$H$5:$H$304,MATCH(C175,'أوامر التوريد'!$A$5:$A$304,0)),""))</f>
        <v/>
      </c>
      <c r="H175" s="39">
        <f>IF(C175="","",IFERROR(INDEX('أوامر التوريد'!$I$5:$I$304,MATCH(C175,'أوامر التوريد'!$A$5:$A$304,0)),""))</f>
        <v/>
      </c>
      <c r="I175" s="40" t="n"/>
      <c r="J175" s="41" t="n"/>
      <c r="K175" s="41" t="n"/>
      <c r="L175" s="46">
        <f>IF(J175="","",J175-K175)</f>
        <v/>
      </c>
      <c r="M175" s="49">
        <f>IF(J175="","",IF(K175=0,"مرفوض",IF(K175&lt;J175,"مقبول جزئياً","مقبول")))</f>
        <v/>
      </c>
      <c r="N175" s="40" t="n"/>
      <c r="O175" s="40" t="n"/>
    </row>
    <row r="176">
      <c r="A176" s="39">
        <f>IF(C176="","","MIR-"&amp;TEXT(ROW()-4,"0000"))</f>
        <v/>
      </c>
      <c r="B176" s="47" t="n"/>
      <c r="C176" s="40" t="n"/>
      <c r="D176" s="39">
        <f>IF(C176="","",IFERROR(INDEX('أوامر التوريد'!$C$5:$C$304,MATCH(C176,'أوامر التوريد'!$A$5:$A$304,0)),""))</f>
        <v/>
      </c>
      <c r="E176" s="49">
        <f>IF(C176="","",IFERROR(INDEX('أوامر التوريد'!$E$5:$E$304,MATCH(C176,'أوامر التوريد'!$A$5:$A$304,0)),""))</f>
        <v/>
      </c>
      <c r="F176" s="39">
        <f>IF(C176="","",IFERROR(INDEX('أوامر التوريد'!$G$5:$G$304,MATCH(C176,'أوامر التوريد'!$A$5:$A$304,0)),""))</f>
        <v/>
      </c>
      <c r="G176" s="49">
        <f>IF(C176="","",IFERROR(INDEX('أوامر التوريد'!$H$5:$H$304,MATCH(C176,'أوامر التوريد'!$A$5:$A$304,0)),""))</f>
        <v/>
      </c>
      <c r="H176" s="39">
        <f>IF(C176="","",IFERROR(INDEX('أوامر التوريد'!$I$5:$I$304,MATCH(C176,'أوامر التوريد'!$A$5:$A$304,0)),""))</f>
        <v/>
      </c>
      <c r="I176" s="40" t="n"/>
      <c r="J176" s="41" t="n"/>
      <c r="K176" s="41" t="n"/>
      <c r="L176" s="46">
        <f>IF(J176="","",J176-K176)</f>
        <v/>
      </c>
      <c r="M176" s="49">
        <f>IF(J176="","",IF(K176=0,"مرفوض",IF(K176&lt;J176,"مقبول جزئياً","مقبول")))</f>
        <v/>
      </c>
      <c r="N176" s="40" t="n"/>
      <c r="O176" s="40" t="n"/>
    </row>
    <row r="177">
      <c r="A177" s="39">
        <f>IF(C177="","","MIR-"&amp;TEXT(ROW()-4,"0000"))</f>
        <v/>
      </c>
      <c r="B177" s="47" t="n"/>
      <c r="C177" s="40" t="n"/>
      <c r="D177" s="39">
        <f>IF(C177="","",IFERROR(INDEX('أوامر التوريد'!$C$5:$C$304,MATCH(C177,'أوامر التوريد'!$A$5:$A$304,0)),""))</f>
        <v/>
      </c>
      <c r="E177" s="49">
        <f>IF(C177="","",IFERROR(INDEX('أوامر التوريد'!$E$5:$E$304,MATCH(C177,'أوامر التوريد'!$A$5:$A$304,0)),""))</f>
        <v/>
      </c>
      <c r="F177" s="39">
        <f>IF(C177="","",IFERROR(INDEX('أوامر التوريد'!$G$5:$G$304,MATCH(C177,'أوامر التوريد'!$A$5:$A$304,0)),""))</f>
        <v/>
      </c>
      <c r="G177" s="49">
        <f>IF(C177="","",IFERROR(INDEX('أوامر التوريد'!$H$5:$H$304,MATCH(C177,'أوامر التوريد'!$A$5:$A$304,0)),""))</f>
        <v/>
      </c>
      <c r="H177" s="39">
        <f>IF(C177="","",IFERROR(INDEX('أوامر التوريد'!$I$5:$I$304,MATCH(C177,'أوامر التوريد'!$A$5:$A$304,0)),""))</f>
        <v/>
      </c>
      <c r="I177" s="40" t="n"/>
      <c r="J177" s="41" t="n"/>
      <c r="K177" s="41" t="n"/>
      <c r="L177" s="46">
        <f>IF(J177="","",J177-K177)</f>
        <v/>
      </c>
      <c r="M177" s="49">
        <f>IF(J177="","",IF(K177=0,"مرفوض",IF(K177&lt;J177,"مقبول جزئياً","مقبول")))</f>
        <v/>
      </c>
      <c r="N177" s="40" t="n"/>
      <c r="O177" s="40" t="n"/>
    </row>
    <row r="178">
      <c r="A178" s="39">
        <f>IF(C178="","","MIR-"&amp;TEXT(ROW()-4,"0000"))</f>
        <v/>
      </c>
      <c r="B178" s="47" t="n"/>
      <c r="C178" s="40" t="n"/>
      <c r="D178" s="39">
        <f>IF(C178="","",IFERROR(INDEX('أوامر التوريد'!$C$5:$C$304,MATCH(C178,'أوامر التوريد'!$A$5:$A$304,0)),""))</f>
        <v/>
      </c>
      <c r="E178" s="49">
        <f>IF(C178="","",IFERROR(INDEX('أوامر التوريد'!$E$5:$E$304,MATCH(C178,'أوامر التوريد'!$A$5:$A$304,0)),""))</f>
        <v/>
      </c>
      <c r="F178" s="39">
        <f>IF(C178="","",IFERROR(INDEX('أوامر التوريد'!$G$5:$G$304,MATCH(C178,'أوامر التوريد'!$A$5:$A$304,0)),""))</f>
        <v/>
      </c>
      <c r="G178" s="49">
        <f>IF(C178="","",IFERROR(INDEX('أوامر التوريد'!$H$5:$H$304,MATCH(C178,'أوامر التوريد'!$A$5:$A$304,0)),""))</f>
        <v/>
      </c>
      <c r="H178" s="39">
        <f>IF(C178="","",IFERROR(INDEX('أوامر التوريد'!$I$5:$I$304,MATCH(C178,'أوامر التوريد'!$A$5:$A$304,0)),""))</f>
        <v/>
      </c>
      <c r="I178" s="40" t="n"/>
      <c r="J178" s="41" t="n"/>
      <c r="K178" s="41" t="n"/>
      <c r="L178" s="46">
        <f>IF(J178="","",J178-K178)</f>
        <v/>
      </c>
      <c r="M178" s="49">
        <f>IF(J178="","",IF(K178=0,"مرفوض",IF(K178&lt;J178,"مقبول جزئياً","مقبول")))</f>
        <v/>
      </c>
      <c r="N178" s="40" t="n"/>
      <c r="O178" s="40" t="n"/>
    </row>
    <row r="179">
      <c r="A179" s="39">
        <f>IF(C179="","","MIR-"&amp;TEXT(ROW()-4,"0000"))</f>
        <v/>
      </c>
      <c r="B179" s="47" t="n"/>
      <c r="C179" s="40" t="n"/>
      <c r="D179" s="39">
        <f>IF(C179="","",IFERROR(INDEX('أوامر التوريد'!$C$5:$C$304,MATCH(C179,'أوامر التوريد'!$A$5:$A$304,0)),""))</f>
        <v/>
      </c>
      <c r="E179" s="49">
        <f>IF(C179="","",IFERROR(INDEX('أوامر التوريد'!$E$5:$E$304,MATCH(C179,'أوامر التوريد'!$A$5:$A$304,0)),""))</f>
        <v/>
      </c>
      <c r="F179" s="39">
        <f>IF(C179="","",IFERROR(INDEX('أوامر التوريد'!$G$5:$G$304,MATCH(C179,'أوامر التوريد'!$A$5:$A$304,0)),""))</f>
        <v/>
      </c>
      <c r="G179" s="49">
        <f>IF(C179="","",IFERROR(INDEX('أوامر التوريد'!$H$5:$H$304,MATCH(C179,'أوامر التوريد'!$A$5:$A$304,0)),""))</f>
        <v/>
      </c>
      <c r="H179" s="39">
        <f>IF(C179="","",IFERROR(INDEX('أوامر التوريد'!$I$5:$I$304,MATCH(C179,'أوامر التوريد'!$A$5:$A$304,0)),""))</f>
        <v/>
      </c>
      <c r="I179" s="40" t="n"/>
      <c r="J179" s="41" t="n"/>
      <c r="K179" s="41" t="n"/>
      <c r="L179" s="46">
        <f>IF(J179="","",J179-K179)</f>
        <v/>
      </c>
      <c r="M179" s="49">
        <f>IF(J179="","",IF(K179=0,"مرفوض",IF(K179&lt;J179,"مقبول جزئياً","مقبول")))</f>
        <v/>
      </c>
      <c r="N179" s="40" t="n"/>
      <c r="O179" s="40" t="n"/>
    </row>
    <row r="180">
      <c r="A180" s="39">
        <f>IF(C180="","","MIR-"&amp;TEXT(ROW()-4,"0000"))</f>
        <v/>
      </c>
      <c r="B180" s="47" t="n"/>
      <c r="C180" s="40" t="n"/>
      <c r="D180" s="39">
        <f>IF(C180="","",IFERROR(INDEX('أوامر التوريد'!$C$5:$C$304,MATCH(C180,'أوامر التوريد'!$A$5:$A$304,0)),""))</f>
        <v/>
      </c>
      <c r="E180" s="49">
        <f>IF(C180="","",IFERROR(INDEX('أوامر التوريد'!$E$5:$E$304,MATCH(C180,'أوامر التوريد'!$A$5:$A$304,0)),""))</f>
        <v/>
      </c>
      <c r="F180" s="39">
        <f>IF(C180="","",IFERROR(INDEX('أوامر التوريد'!$G$5:$G$304,MATCH(C180,'أوامر التوريد'!$A$5:$A$304,0)),""))</f>
        <v/>
      </c>
      <c r="G180" s="49">
        <f>IF(C180="","",IFERROR(INDEX('أوامر التوريد'!$H$5:$H$304,MATCH(C180,'أوامر التوريد'!$A$5:$A$304,0)),""))</f>
        <v/>
      </c>
      <c r="H180" s="39">
        <f>IF(C180="","",IFERROR(INDEX('أوامر التوريد'!$I$5:$I$304,MATCH(C180,'أوامر التوريد'!$A$5:$A$304,0)),""))</f>
        <v/>
      </c>
      <c r="I180" s="40" t="n"/>
      <c r="J180" s="41" t="n"/>
      <c r="K180" s="41" t="n"/>
      <c r="L180" s="46">
        <f>IF(J180="","",J180-K180)</f>
        <v/>
      </c>
      <c r="M180" s="49">
        <f>IF(J180="","",IF(K180=0,"مرفوض",IF(K180&lt;J180,"مقبول جزئياً","مقبول")))</f>
        <v/>
      </c>
      <c r="N180" s="40" t="n"/>
      <c r="O180" s="40" t="n"/>
    </row>
    <row r="181">
      <c r="A181" s="39">
        <f>IF(C181="","","MIR-"&amp;TEXT(ROW()-4,"0000"))</f>
        <v/>
      </c>
      <c r="B181" s="47" t="n"/>
      <c r="C181" s="40" t="n"/>
      <c r="D181" s="39">
        <f>IF(C181="","",IFERROR(INDEX('أوامر التوريد'!$C$5:$C$304,MATCH(C181,'أوامر التوريد'!$A$5:$A$304,0)),""))</f>
        <v/>
      </c>
      <c r="E181" s="49">
        <f>IF(C181="","",IFERROR(INDEX('أوامر التوريد'!$E$5:$E$304,MATCH(C181,'أوامر التوريد'!$A$5:$A$304,0)),""))</f>
        <v/>
      </c>
      <c r="F181" s="39">
        <f>IF(C181="","",IFERROR(INDEX('أوامر التوريد'!$G$5:$G$304,MATCH(C181,'أوامر التوريد'!$A$5:$A$304,0)),""))</f>
        <v/>
      </c>
      <c r="G181" s="49">
        <f>IF(C181="","",IFERROR(INDEX('أوامر التوريد'!$H$5:$H$304,MATCH(C181,'أوامر التوريد'!$A$5:$A$304,0)),""))</f>
        <v/>
      </c>
      <c r="H181" s="39">
        <f>IF(C181="","",IFERROR(INDEX('أوامر التوريد'!$I$5:$I$304,MATCH(C181,'أوامر التوريد'!$A$5:$A$304,0)),""))</f>
        <v/>
      </c>
      <c r="I181" s="40" t="n"/>
      <c r="J181" s="41" t="n"/>
      <c r="K181" s="41" t="n"/>
      <c r="L181" s="46">
        <f>IF(J181="","",J181-K181)</f>
        <v/>
      </c>
      <c r="M181" s="49">
        <f>IF(J181="","",IF(K181=0,"مرفوض",IF(K181&lt;J181,"مقبول جزئياً","مقبول")))</f>
        <v/>
      </c>
      <c r="N181" s="40" t="n"/>
      <c r="O181" s="40" t="n"/>
    </row>
    <row r="182">
      <c r="A182" s="39">
        <f>IF(C182="","","MIR-"&amp;TEXT(ROW()-4,"0000"))</f>
        <v/>
      </c>
      <c r="B182" s="47" t="n"/>
      <c r="C182" s="40" t="n"/>
      <c r="D182" s="39">
        <f>IF(C182="","",IFERROR(INDEX('أوامر التوريد'!$C$5:$C$304,MATCH(C182,'أوامر التوريد'!$A$5:$A$304,0)),""))</f>
        <v/>
      </c>
      <c r="E182" s="49">
        <f>IF(C182="","",IFERROR(INDEX('أوامر التوريد'!$E$5:$E$304,MATCH(C182,'أوامر التوريد'!$A$5:$A$304,0)),""))</f>
        <v/>
      </c>
      <c r="F182" s="39">
        <f>IF(C182="","",IFERROR(INDEX('أوامر التوريد'!$G$5:$G$304,MATCH(C182,'أوامر التوريد'!$A$5:$A$304,0)),""))</f>
        <v/>
      </c>
      <c r="G182" s="49">
        <f>IF(C182="","",IFERROR(INDEX('أوامر التوريد'!$H$5:$H$304,MATCH(C182,'أوامر التوريد'!$A$5:$A$304,0)),""))</f>
        <v/>
      </c>
      <c r="H182" s="39">
        <f>IF(C182="","",IFERROR(INDEX('أوامر التوريد'!$I$5:$I$304,MATCH(C182,'أوامر التوريد'!$A$5:$A$304,0)),""))</f>
        <v/>
      </c>
      <c r="I182" s="40" t="n"/>
      <c r="J182" s="41" t="n"/>
      <c r="K182" s="41" t="n"/>
      <c r="L182" s="46">
        <f>IF(J182="","",J182-K182)</f>
        <v/>
      </c>
      <c r="M182" s="49">
        <f>IF(J182="","",IF(K182=0,"مرفوض",IF(K182&lt;J182,"مقبول جزئياً","مقبول")))</f>
        <v/>
      </c>
      <c r="N182" s="40" t="n"/>
      <c r="O182" s="40" t="n"/>
    </row>
    <row r="183">
      <c r="A183" s="39">
        <f>IF(C183="","","MIR-"&amp;TEXT(ROW()-4,"0000"))</f>
        <v/>
      </c>
      <c r="B183" s="47" t="n"/>
      <c r="C183" s="40" t="n"/>
      <c r="D183" s="39">
        <f>IF(C183="","",IFERROR(INDEX('أوامر التوريد'!$C$5:$C$304,MATCH(C183,'أوامر التوريد'!$A$5:$A$304,0)),""))</f>
        <v/>
      </c>
      <c r="E183" s="49">
        <f>IF(C183="","",IFERROR(INDEX('أوامر التوريد'!$E$5:$E$304,MATCH(C183,'أوامر التوريد'!$A$5:$A$304,0)),""))</f>
        <v/>
      </c>
      <c r="F183" s="39">
        <f>IF(C183="","",IFERROR(INDEX('أوامر التوريد'!$G$5:$G$304,MATCH(C183,'أوامر التوريد'!$A$5:$A$304,0)),""))</f>
        <v/>
      </c>
      <c r="G183" s="49">
        <f>IF(C183="","",IFERROR(INDEX('أوامر التوريد'!$H$5:$H$304,MATCH(C183,'أوامر التوريد'!$A$5:$A$304,0)),""))</f>
        <v/>
      </c>
      <c r="H183" s="39">
        <f>IF(C183="","",IFERROR(INDEX('أوامر التوريد'!$I$5:$I$304,MATCH(C183,'أوامر التوريد'!$A$5:$A$304,0)),""))</f>
        <v/>
      </c>
      <c r="I183" s="40" t="n"/>
      <c r="J183" s="41" t="n"/>
      <c r="K183" s="41" t="n"/>
      <c r="L183" s="46">
        <f>IF(J183="","",J183-K183)</f>
        <v/>
      </c>
      <c r="M183" s="49">
        <f>IF(J183="","",IF(K183=0,"مرفوض",IF(K183&lt;J183,"مقبول جزئياً","مقبول")))</f>
        <v/>
      </c>
      <c r="N183" s="40" t="n"/>
      <c r="O183" s="40" t="n"/>
    </row>
    <row r="184">
      <c r="A184" s="39">
        <f>IF(C184="","","MIR-"&amp;TEXT(ROW()-4,"0000"))</f>
        <v/>
      </c>
      <c r="B184" s="47" t="n"/>
      <c r="C184" s="40" t="n"/>
      <c r="D184" s="39">
        <f>IF(C184="","",IFERROR(INDEX('أوامر التوريد'!$C$5:$C$304,MATCH(C184,'أوامر التوريد'!$A$5:$A$304,0)),""))</f>
        <v/>
      </c>
      <c r="E184" s="49">
        <f>IF(C184="","",IFERROR(INDEX('أوامر التوريد'!$E$5:$E$304,MATCH(C184,'أوامر التوريد'!$A$5:$A$304,0)),""))</f>
        <v/>
      </c>
      <c r="F184" s="39">
        <f>IF(C184="","",IFERROR(INDEX('أوامر التوريد'!$G$5:$G$304,MATCH(C184,'أوامر التوريد'!$A$5:$A$304,0)),""))</f>
        <v/>
      </c>
      <c r="G184" s="49">
        <f>IF(C184="","",IFERROR(INDEX('أوامر التوريد'!$H$5:$H$304,MATCH(C184,'أوامر التوريد'!$A$5:$A$304,0)),""))</f>
        <v/>
      </c>
      <c r="H184" s="39">
        <f>IF(C184="","",IFERROR(INDEX('أوامر التوريد'!$I$5:$I$304,MATCH(C184,'أوامر التوريد'!$A$5:$A$304,0)),""))</f>
        <v/>
      </c>
      <c r="I184" s="40" t="n"/>
      <c r="J184" s="41" t="n"/>
      <c r="K184" s="41" t="n"/>
      <c r="L184" s="46">
        <f>IF(J184="","",J184-K184)</f>
        <v/>
      </c>
      <c r="M184" s="49">
        <f>IF(J184="","",IF(K184=0,"مرفوض",IF(K184&lt;J184,"مقبول جزئياً","مقبول")))</f>
        <v/>
      </c>
      <c r="N184" s="40" t="n"/>
      <c r="O184" s="40" t="n"/>
    </row>
    <row r="185">
      <c r="A185" s="39">
        <f>IF(C185="","","MIR-"&amp;TEXT(ROW()-4,"0000"))</f>
        <v/>
      </c>
      <c r="B185" s="47" t="n"/>
      <c r="C185" s="40" t="n"/>
      <c r="D185" s="39">
        <f>IF(C185="","",IFERROR(INDEX('أوامر التوريد'!$C$5:$C$304,MATCH(C185,'أوامر التوريد'!$A$5:$A$304,0)),""))</f>
        <v/>
      </c>
      <c r="E185" s="49">
        <f>IF(C185="","",IFERROR(INDEX('أوامر التوريد'!$E$5:$E$304,MATCH(C185,'أوامر التوريد'!$A$5:$A$304,0)),""))</f>
        <v/>
      </c>
      <c r="F185" s="39">
        <f>IF(C185="","",IFERROR(INDEX('أوامر التوريد'!$G$5:$G$304,MATCH(C185,'أوامر التوريد'!$A$5:$A$304,0)),""))</f>
        <v/>
      </c>
      <c r="G185" s="49">
        <f>IF(C185="","",IFERROR(INDEX('أوامر التوريد'!$H$5:$H$304,MATCH(C185,'أوامر التوريد'!$A$5:$A$304,0)),""))</f>
        <v/>
      </c>
      <c r="H185" s="39">
        <f>IF(C185="","",IFERROR(INDEX('أوامر التوريد'!$I$5:$I$304,MATCH(C185,'أوامر التوريد'!$A$5:$A$304,0)),""))</f>
        <v/>
      </c>
      <c r="I185" s="40" t="n"/>
      <c r="J185" s="41" t="n"/>
      <c r="K185" s="41" t="n"/>
      <c r="L185" s="46">
        <f>IF(J185="","",J185-K185)</f>
        <v/>
      </c>
      <c r="M185" s="49">
        <f>IF(J185="","",IF(K185=0,"مرفوض",IF(K185&lt;J185,"مقبول جزئياً","مقبول")))</f>
        <v/>
      </c>
      <c r="N185" s="40" t="n"/>
      <c r="O185" s="40" t="n"/>
    </row>
    <row r="186">
      <c r="A186" s="39">
        <f>IF(C186="","","MIR-"&amp;TEXT(ROW()-4,"0000"))</f>
        <v/>
      </c>
      <c r="B186" s="47" t="n"/>
      <c r="C186" s="40" t="n"/>
      <c r="D186" s="39">
        <f>IF(C186="","",IFERROR(INDEX('أوامر التوريد'!$C$5:$C$304,MATCH(C186,'أوامر التوريد'!$A$5:$A$304,0)),""))</f>
        <v/>
      </c>
      <c r="E186" s="49">
        <f>IF(C186="","",IFERROR(INDEX('أوامر التوريد'!$E$5:$E$304,MATCH(C186,'أوامر التوريد'!$A$5:$A$304,0)),""))</f>
        <v/>
      </c>
      <c r="F186" s="39">
        <f>IF(C186="","",IFERROR(INDEX('أوامر التوريد'!$G$5:$G$304,MATCH(C186,'أوامر التوريد'!$A$5:$A$304,0)),""))</f>
        <v/>
      </c>
      <c r="G186" s="49">
        <f>IF(C186="","",IFERROR(INDEX('أوامر التوريد'!$H$5:$H$304,MATCH(C186,'أوامر التوريد'!$A$5:$A$304,0)),""))</f>
        <v/>
      </c>
      <c r="H186" s="39">
        <f>IF(C186="","",IFERROR(INDEX('أوامر التوريد'!$I$5:$I$304,MATCH(C186,'أوامر التوريد'!$A$5:$A$304,0)),""))</f>
        <v/>
      </c>
      <c r="I186" s="40" t="n"/>
      <c r="J186" s="41" t="n"/>
      <c r="K186" s="41" t="n"/>
      <c r="L186" s="46">
        <f>IF(J186="","",J186-K186)</f>
        <v/>
      </c>
      <c r="M186" s="49">
        <f>IF(J186="","",IF(K186=0,"مرفوض",IF(K186&lt;J186,"مقبول جزئياً","مقبول")))</f>
        <v/>
      </c>
      <c r="N186" s="40" t="n"/>
      <c r="O186" s="40" t="n"/>
    </row>
    <row r="187">
      <c r="A187" s="39">
        <f>IF(C187="","","MIR-"&amp;TEXT(ROW()-4,"0000"))</f>
        <v/>
      </c>
      <c r="B187" s="47" t="n"/>
      <c r="C187" s="40" t="n"/>
      <c r="D187" s="39">
        <f>IF(C187="","",IFERROR(INDEX('أوامر التوريد'!$C$5:$C$304,MATCH(C187,'أوامر التوريد'!$A$5:$A$304,0)),""))</f>
        <v/>
      </c>
      <c r="E187" s="49">
        <f>IF(C187="","",IFERROR(INDEX('أوامر التوريد'!$E$5:$E$304,MATCH(C187,'أوامر التوريد'!$A$5:$A$304,0)),""))</f>
        <v/>
      </c>
      <c r="F187" s="39">
        <f>IF(C187="","",IFERROR(INDEX('أوامر التوريد'!$G$5:$G$304,MATCH(C187,'أوامر التوريد'!$A$5:$A$304,0)),""))</f>
        <v/>
      </c>
      <c r="G187" s="49">
        <f>IF(C187="","",IFERROR(INDEX('أوامر التوريد'!$H$5:$H$304,MATCH(C187,'أوامر التوريد'!$A$5:$A$304,0)),""))</f>
        <v/>
      </c>
      <c r="H187" s="39">
        <f>IF(C187="","",IFERROR(INDEX('أوامر التوريد'!$I$5:$I$304,MATCH(C187,'أوامر التوريد'!$A$5:$A$304,0)),""))</f>
        <v/>
      </c>
      <c r="I187" s="40" t="n"/>
      <c r="J187" s="41" t="n"/>
      <c r="K187" s="41" t="n"/>
      <c r="L187" s="46">
        <f>IF(J187="","",J187-K187)</f>
        <v/>
      </c>
      <c r="M187" s="49">
        <f>IF(J187="","",IF(K187=0,"مرفوض",IF(K187&lt;J187,"مقبول جزئياً","مقبول")))</f>
        <v/>
      </c>
      <c r="N187" s="40" t="n"/>
      <c r="O187" s="40" t="n"/>
    </row>
    <row r="188">
      <c r="A188" s="39">
        <f>IF(C188="","","MIR-"&amp;TEXT(ROW()-4,"0000"))</f>
        <v/>
      </c>
      <c r="B188" s="47" t="n"/>
      <c r="C188" s="40" t="n"/>
      <c r="D188" s="39">
        <f>IF(C188="","",IFERROR(INDEX('أوامر التوريد'!$C$5:$C$304,MATCH(C188,'أوامر التوريد'!$A$5:$A$304,0)),""))</f>
        <v/>
      </c>
      <c r="E188" s="49">
        <f>IF(C188="","",IFERROR(INDEX('أوامر التوريد'!$E$5:$E$304,MATCH(C188,'أوامر التوريد'!$A$5:$A$304,0)),""))</f>
        <v/>
      </c>
      <c r="F188" s="39">
        <f>IF(C188="","",IFERROR(INDEX('أوامر التوريد'!$G$5:$G$304,MATCH(C188,'أوامر التوريد'!$A$5:$A$304,0)),""))</f>
        <v/>
      </c>
      <c r="G188" s="49">
        <f>IF(C188="","",IFERROR(INDEX('أوامر التوريد'!$H$5:$H$304,MATCH(C188,'أوامر التوريد'!$A$5:$A$304,0)),""))</f>
        <v/>
      </c>
      <c r="H188" s="39">
        <f>IF(C188="","",IFERROR(INDEX('أوامر التوريد'!$I$5:$I$304,MATCH(C188,'أوامر التوريد'!$A$5:$A$304,0)),""))</f>
        <v/>
      </c>
      <c r="I188" s="40" t="n"/>
      <c r="J188" s="41" t="n"/>
      <c r="K188" s="41" t="n"/>
      <c r="L188" s="46">
        <f>IF(J188="","",J188-K188)</f>
        <v/>
      </c>
      <c r="M188" s="49">
        <f>IF(J188="","",IF(K188=0,"مرفوض",IF(K188&lt;J188,"مقبول جزئياً","مقبول")))</f>
        <v/>
      </c>
      <c r="N188" s="40" t="n"/>
      <c r="O188" s="40" t="n"/>
    </row>
    <row r="189">
      <c r="A189" s="39">
        <f>IF(C189="","","MIR-"&amp;TEXT(ROW()-4,"0000"))</f>
        <v/>
      </c>
      <c r="B189" s="47" t="n"/>
      <c r="C189" s="40" t="n"/>
      <c r="D189" s="39">
        <f>IF(C189="","",IFERROR(INDEX('أوامر التوريد'!$C$5:$C$304,MATCH(C189,'أوامر التوريد'!$A$5:$A$304,0)),""))</f>
        <v/>
      </c>
      <c r="E189" s="49">
        <f>IF(C189="","",IFERROR(INDEX('أوامر التوريد'!$E$5:$E$304,MATCH(C189,'أوامر التوريد'!$A$5:$A$304,0)),""))</f>
        <v/>
      </c>
      <c r="F189" s="39">
        <f>IF(C189="","",IFERROR(INDEX('أوامر التوريد'!$G$5:$G$304,MATCH(C189,'أوامر التوريد'!$A$5:$A$304,0)),""))</f>
        <v/>
      </c>
      <c r="G189" s="49">
        <f>IF(C189="","",IFERROR(INDEX('أوامر التوريد'!$H$5:$H$304,MATCH(C189,'أوامر التوريد'!$A$5:$A$304,0)),""))</f>
        <v/>
      </c>
      <c r="H189" s="39">
        <f>IF(C189="","",IFERROR(INDEX('أوامر التوريد'!$I$5:$I$304,MATCH(C189,'أوامر التوريد'!$A$5:$A$304,0)),""))</f>
        <v/>
      </c>
      <c r="I189" s="40" t="n"/>
      <c r="J189" s="41" t="n"/>
      <c r="K189" s="41" t="n"/>
      <c r="L189" s="46">
        <f>IF(J189="","",J189-K189)</f>
        <v/>
      </c>
      <c r="M189" s="49">
        <f>IF(J189="","",IF(K189=0,"مرفوض",IF(K189&lt;J189,"مقبول جزئياً","مقبول")))</f>
        <v/>
      </c>
      <c r="N189" s="40" t="n"/>
      <c r="O189" s="40" t="n"/>
    </row>
    <row r="190">
      <c r="A190" s="39">
        <f>IF(C190="","","MIR-"&amp;TEXT(ROW()-4,"0000"))</f>
        <v/>
      </c>
      <c r="B190" s="47" t="n"/>
      <c r="C190" s="40" t="n"/>
      <c r="D190" s="39">
        <f>IF(C190="","",IFERROR(INDEX('أوامر التوريد'!$C$5:$C$304,MATCH(C190,'أوامر التوريد'!$A$5:$A$304,0)),""))</f>
        <v/>
      </c>
      <c r="E190" s="49">
        <f>IF(C190="","",IFERROR(INDEX('أوامر التوريد'!$E$5:$E$304,MATCH(C190,'أوامر التوريد'!$A$5:$A$304,0)),""))</f>
        <v/>
      </c>
      <c r="F190" s="39">
        <f>IF(C190="","",IFERROR(INDEX('أوامر التوريد'!$G$5:$G$304,MATCH(C190,'أوامر التوريد'!$A$5:$A$304,0)),""))</f>
        <v/>
      </c>
      <c r="G190" s="49">
        <f>IF(C190="","",IFERROR(INDEX('أوامر التوريد'!$H$5:$H$304,MATCH(C190,'أوامر التوريد'!$A$5:$A$304,0)),""))</f>
        <v/>
      </c>
      <c r="H190" s="39">
        <f>IF(C190="","",IFERROR(INDEX('أوامر التوريد'!$I$5:$I$304,MATCH(C190,'أوامر التوريد'!$A$5:$A$304,0)),""))</f>
        <v/>
      </c>
      <c r="I190" s="40" t="n"/>
      <c r="J190" s="41" t="n"/>
      <c r="K190" s="41" t="n"/>
      <c r="L190" s="46">
        <f>IF(J190="","",J190-K190)</f>
        <v/>
      </c>
      <c r="M190" s="49">
        <f>IF(J190="","",IF(K190=0,"مرفوض",IF(K190&lt;J190,"مقبول جزئياً","مقبول")))</f>
        <v/>
      </c>
      <c r="N190" s="40" t="n"/>
      <c r="O190" s="40" t="n"/>
    </row>
    <row r="191">
      <c r="A191" s="39">
        <f>IF(C191="","","MIR-"&amp;TEXT(ROW()-4,"0000"))</f>
        <v/>
      </c>
      <c r="B191" s="47" t="n"/>
      <c r="C191" s="40" t="n"/>
      <c r="D191" s="39">
        <f>IF(C191="","",IFERROR(INDEX('أوامر التوريد'!$C$5:$C$304,MATCH(C191,'أوامر التوريد'!$A$5:$A$304,0)),""))</f>
        <v/>
      </c>
      <c r="E191" s="49">
        <f>IF(C191="","",IFERROR(INDEX('أوامر التوريد'!$E$5:$E$304,MATCH(C191,'أوامر التوريد'!$A$5:$A$304,0)),""))</f>
        <v/>
      </c>
      <c r="F191" s="39">
        <f>IF(C191="","",IFERROR(INDEX('أوامر التوريد'!$G$5:$G$304,MATCH(C191,'أوامر التوريد'!$A$5:$A$304,0)),""))</f>
        <v/>
      </c>
      <c r="G191" s="49">
        <f>IF(C191="","",IFERROR(INDEX('أوامر التوريد'!$H$5:$H$304,MATCH(C191,'أوامر التوريد'!$A$5:$A$304,0)),""))</f>
        <v/>
      </c>
      <c r="H191" s="39">
        <f>IF(C191="","",IFERROR(INDEX('أوامر التوريد'!$I$5:$I$304,MATCH(C191,'أوامر التوريد'!$A$5:$A$304,0)),""))</f>
        <v/>
      </c>
      <c r="I191" s="40" t="n"/>
      <c r="J191" s="41" t="n"/>
      <c r="K191" s="41" t="n"/>
      <c r="L191" s="46">
        <f>IF(J191="","",J191-K191)</f>
        <v/>
      </c>
      <c r="M191" s="49">
        <f>IF(J191="","",IF(K191=0,"مرفوض",IF(K191&lt;J191,"مقبول جزئياً","مقبول")))</f>
        <v/>
      </c>
      <c r="N191" s="40" t="n"/>
      <c r="O191" s="40" t="n"/>
    </row>
    <row r="192">
      <c r="A192" s="39">
        <f>IF(C192="","","MIR-"&amp;TEXT(ROW()-4,"0000"))</f>
        <v/>
      </c>
      <c r="B192" s="47" t="n"/>
      <c r="C192" s="40" t="n"/>
      <c r="D192" s="39">
        <f>IF(C192="","",IFERROR(INDEX('أوامر التوريد'!$C$5:$C$304,MATCH(C192,'أوامر التوريد'!$A$5:$A$304,0)),""))</f>
        <v/>
      </c>
      <c r="E192" s="49">
        <f>IF(C192="","",IFERROR(INDEX('أوامر التوريد'!$E$5:$E$304,MATCH(C192,'أوامر التوريد'!$A$5:$A$304,0)),""))</f>
        <v/>
      </c>
      <c r="F192" s="39">
        <f>IF(C192="","",IFERROR(INDEX('أوامر التوريد'!$G$5:$G$304,MATCH(C192,'أوامر التوريد'!$A$5:$A$304,0)),""))</f>
        <v/>
      </c>
      <c r="G192" s="49">
        <f>IF(C192="","",IFERROR(INDEX('أوامر التوريد'!$H$5:$H$304,MATCH(C192,'أوامر التوريد'!$A$5:$A$304,0)),""))</f>
        <v/>
      </c>
      <c r="H192" s="39">
        <f>IF(C192="","",IFERROR(INDEX('أوامر التوريد'!$I$5:$I$304,MATCH(C192,'أوامر التوريد'!$A$5:$A$304,0)),""))</f>
        <v/>
      </c>
      <c r="I192" s="40" t="n"/>
      <c r="J192" s="41" t="n"/>
      <c r="K192" s="41" t="n"/>
      <c r="L192" s="46">
        <f>IF(J192="","",J192-K192)</f>
        <v/>
      </c>
      <c r="M192" s="49">
        <f>IF(J192="","",IF(K192=0,"مرفوض",IF(K192&lt;J192,"مقبول جزئياً","مقبول")))</f>
        <v/>
      </c>
      <c r="N192" s="40" t="n"/>
      <c r="O192" s="40" t="n"/>
    </row>
    <row r="193">
      <c r="A193" s="39">
        <f>IF(C193="","","MIR-"&amp;TEXT(ROW()-4,"0000"))</f>
        <v/>
      </c>
      <c r="B193" s="47" t="n"/>
      <c r="C193" s="40" t="n"/>
      <c r="D193" s="39">
        <f>IF(C193="","",IFERROR(INDEX('أوامر التوريد'!$C$5:$C$304,MATCH(C193,'أوامر التوريد'!$A$5:$A$304,0)),""))</f>
        <v/>
      </c>
      <c r="E193" s="49">
        <f>IF(C193="","",IFERROR(INDEX('أوامر التوريد'!$E$5:$E$304,MATCH(C193,'أوامر التوريد'!$A$5:$A$304,0)),""))</f>
        <v/>
      </c>
      <c r="F193" s="39">
        <f>IF(C193="","",IFERROR(INDEX('أوامر التوريد'!$G$5:$G$304,MATCH(C193,'أوامر التوريد'!$A$5:$A$304,0)),""))</f>
        <v/>
      </c>
      <c r="G193" s="49">
        <f>IF(C193="","",IFERROR(INDEX('أوامر التوريد'!$H$5:$H$304,MATCH(C193,'أوامر التوريد'!$A$5:$A$304,0)),""))</f>
        <v/>
      </c>
      <c r="H193" s="39">
        <f>IF(C193="","",IFERROR(INDEX('أوامر التوريد'!$I$5:$I$304,MATCH(C193,'أوامر التوريد'!$A$5:$A$304,0)),""))</f>
        <v/>
      </c>
      <c r="I193" s="40" t="n"/>
      <c r="J193" s="41" t="n"/>
      <c r="K193" s="41" t="n"/>
      <c r="L193" s="46">
        <f>IF(J193="","",J193-K193)</f>
        <v/>
      </c>
      <c r="M193" s="49">
        <f>IF(J193="","",IF(K193=0,"مرفوض",IF(K193&lt;J193,"مقبول جزئياً","مقبول")))</f>
        <v/>
      </c>
      <c r="N193" s="40" t="n"/>
      <c r="O193" s="40" t="n"/>
    </row>
    <row r="194">
      <c r="A194" s="39">
        <f>IF(C194="","","MIR-"&amp;TEXT(ROW()-4,"0000"))</f>
        <v/>
      </c>
      <c r="B194" s="47" t="n"/>
      <c r="C194" s="40" t="n"/>
      <c r="D194" s="39">
        <f>IF(C194="","",IFERROR(INDEX('أوامر التوريد'!$C$5:$C$304,MATCH(C194,'أوامر التوريد'!$A$5:$A$304,0)),""))</f>
        <v/>
      </c>
      <c r="E194" s="49">
        <f>IF(C194="","",IFERROR(INDEX('أوامر التوريد'!$E$5:$E$304,MATCH(C194,'أوامر التوريد'!$A$5:$A$304,0)),""))</f>
        <v/>
      </c>
      <c r="F194" s="39">
        <f>IF(C194="","",IFERROR(INDEX('أوامر التوريد'!$G$5:$G$304,MATCH(C194,'أوامر التوريد'!$A$5:$A$304,0)),""))</f>
        <v/>
      </c>
      <c r="G194" s="49">
        <f>IF(C194="","",IFERROR(INDEX('أوامر التوريد'!$H$5:$H$304,MATCH(C194,'أوامر التوريد'!$A$5:$A$304,0)),""))</f>
        <v/>
      </c>
      <c r="H194" s="39">
        <f>IF(C194="","",IFERROR(INDEX('أوامر التوريد'!$I$5:$I$304,MATCH(C194,'أوامر التوريد'!$A$5:$A$304,0)),""))</f>
        <v/>
      </c>
      <c r="I194" s="40" t="n"/>
      <c r="J194" s="41" t="n"/>
      <c r="K194" s="41" t="n"/>
      <c r="L194" s="46">
        <f>IF(J194="","",J194-K194)</f>
        <v/>
      </c>
      <c r="M194" s="49">
        <f>IF(J194="","",IF(K194=0,"مرفوض",IF(K194&lt;J194,"مقبول جزئياً","مقبول")))</f>
        <v/>
      </c>
      <c r="N194" s="40" t="n"/>
      <c r="O194" s="40" t="n"/>
    </row>
    <row r="195">
      <c r="A195" s="39">
        <f>IF(C195="","","MIR-"&amp;TEXT(ROW()-4,"0000"))</f>
        <v/>
      </c>
      <c r="B195" s="47" t="n"/>
      <c r="C195" s="40" t="n"/>
      <c r="D195" s="39">
        <f>IF(C195="","",IFERROR(INDEX('أوامر التوريد'!$C$5:$C$304,MATCH(C195,'أوامر التوريد'!$A$5:$A$304,0)),""))</f>
        <v/>
      </c>
      <c r="E195" s="49">
        <f>IF(C195="","",IFERROR(INDEX('أوامر التوريد'!$E$5:$E$304,MATCH(C195,'أوامر التوريد'!$A$5:$A$304,0)),""))</f>
        <v/>
      </c>
      <c r="F195" s="39">
        <f>IF(C195="","",IFERROR(INDEX('أوامر التوريد'!$G$5:$G$304,MATCH(C195,'أوامر التوريد'!$A$5:$A$304,0)),""))</f>
        <v/>
      </c>
      <c r="G195" s="49">
        <f>IF(C195="","",IFERROR(INDEX('أوامر التوريد'!$H$5:$H$304,MATCH(C195,'أوامر التوريد'!$A$5:$A$304,0)),""))</f>
        <v/>
      </c>
      <c r="H195" s="39">
        <f>IF(C195="","",IFERROR(INDEX('أوامر التوريد'!$I$5:$I$304,MATCH(C195,'أوامر التوريد'!$A$5:$A$304,0)),""))</f>
        <v/>
      </c>
      <c r="I195" s="40" t="n"/>
      <c r="J195" s="41" t="n"/>
      <c r="K195" s="41" t="n"/>
      <c r="L195" s="46">
        <f>IF(J195="","",J195-K195)</f>
        <v/>
      </c>
      <c r="M195" s="49">
        <f>IF(J195="","",IF(K195=0,"مرفوض",IF(K195&lt;J195,"مقبول جزئياً","مقبول")))</f>
        <v/>
      </c>
      <c r="N195" s="40" t="n"/>
      <c r="O195" s="40" t="n"/>
    </row>
    <row r="196">
      <c r="A196" s="39">
        <f>IF(C196="","","MIR-"&amp;TEXT(ROW()-4,"0000"))</f>
        <v/>
      </c>
      <c r="B196" s="47" t="n"/>
      <c r="C196" s="40" t="n"/>
      <c r="D196" s="39">
        <f>IF(C196="","",IFERROR(INDEX('أوامر التوريد'!$C$5:$C$304,MATCH(C196,'أوامر التوريد'!$A$5:$A$304,0)),""))</f>
        <v/>
      </c>
      <c r="E196" s="49">
        <f>IF(C196="","",IFERROR(INDEX('أوامر التوريد'!$E$5:$E$304,MATCH(C196,'أوامر التوريد'!$A$5:$A$304,0)),""))</f>
        <v/>
      </c>
      <c r="F196" s="39">
        <f>IF(C196="","",IFERROR(INDEX('أوامر التوريد'!$G$5:$G$304,MATCH(C196,'أوامر التوريد'!$A$5:$A$304,0)),""))</f>
        <v/>
      </c>
      <c r="G196" s="49">
        <f>IF(C196="","",IFERROR(INDEX('أوامر التوريد'!$H$5:$H$304,MATCH(C196,'أوامر التوريد'!$A$5:$A$304,0)),""))</f>
        <v/>
      </c>
      <c r="H196" s="39">
        <f>IF(C196="","",IFERROR(INDEX('أوامر التوريد'!$I$5:$I$304,MATCH(C196,'أوامر التوريد'!$A$5:$A$304,0)),""))</f>
        <v/>
      </c>
      <c r="I196" s="40" t="n"/>
      <c r="J196" s="41" t="n"/>
      <c r="K196" s="41" t="n"/>
      <c r="L196" s="46">
        <f>IF(J196="","",J196-K196)</f>
        <v/>
      </c>
      <c r="M196" s="49">
        <f>IF(J196="","",IF(K196=0,"مرفوض",IF(K196&lt;J196,"مقبول جزئياً","مقبول")))</f>
        <v/>
      </c>
      <c r="N196" s="40" t="n"/>
      <c r="O196" s="40" t="n"/>
    </row>
    <row r="197">
      <c r="A197" s="39">
        <f>IF(C197="","","MIR-"&amp;TEXT(ROW()-4,"0000"))</f>
        <v/>
      </c>
      <c r="B197" s="47" t="n"/>
      <c r="C197" s="40" t="n"/>
      <c r="D197" s="39">
        <f>IF(C197="","",IFERROR(INDEX('أوامر التوريد'!$C$5:$C$304,MATCH(C197,'أوامر التوريد'!$A$5:$A$304,0)),""))</f>
        <v/>
      </c>
      <c r="E197" s="49">
        <f>IF(C197="","",IFERROR(INDEX('أوامر التوريد'!$E$5:$E$304,MATCH(C197,'أوامر التوريد'!$A$5:$A$304,0)),""))</f>
        <v/>
      </c>
      <c r="F197" s="39">
        <f>IF(C197="","",IFERROR(INDEX('أوامر التوريد'!$G$5:$G$304,MATCH(C197,'أوامر التوريد'!$A$5:$A$304,0)),""))</f>
        <v/>
      </c>
      <c r="G197" s="49">
        <f>IF(C197="","",IFERROR(INDEX('أوامر التوريد'!$H$5:$H$304,MATCH(C197,'أوامر التوريد'!$A$5:$A$304,0)),""))</f>
        <v/>
      </c>
      <c r="H197" s="39">
        <f>IF(C197="","",IFERROR(INDEX('أوامر التوريد'!$I$5:$I$304,MATCH(C197,'أوامر التوريد'!$A$5:$A$304,0)),""))</f>
        <v/>
      </c>
      <c r="I197" s="40" t="n"/>
      <c r="J197" s="41" t="n"/>
      <c r="K197" s="41" t="n"/>
      <c r="L197" s="46">
        <f>IF(J197="","",J197-K197)</f>
        <v/>
      </c>
      <c r="M197" s="49">
        <f>IF(J197="","",IF(K197=0,"مرفوض",IF(K197&lt;J197,"مقبول جزئياً","مقبول")))</f>
        <v/>
      </c>
      <c r="N197" s="40" t="n"/>
      <c r="O197" s="40" t="n"/>
    </row>
    <row r="198">
      <c r="A198" s="39">
        <f>IF(C198="","","MIR-"&amp;TEXT(ROW()-4,"0000"))</f>
        <v/>
      </c>
      <c r="B198" s="47" t="n"/>
      <c r="C198" s="40" t="n"/>
      <c r="D198" s="39">
        <f>IF(C198="","",IFERROR(INDEX('أوامر التوريد'!$C$5:$C$304,MATCH(C198,'أوامر التوريد'!$A$5:$A$304,0)),""))</f>
        <v/>
      </c>
      <c r="E198" s="49">
        <f>IF(C198="","",IFERROR(INDEX('أوامر التوريد'!$E$5:$E$304,MATCH(C198,'أوامر التوريد'!$A$5:$A$304,0)),""))</f>
        <v/>
      </c>
      <c r="F198" s="39">
        <f>IF(C198="","",IFERROR(INDEX('أوامر التوريد'!$G$5:$G$304,MATCH(C198,'أوامر التوريد'!$A$5:$A$304,0)),""))</f>
        <v/>
      </c>
      <c r="G198" s="49">
        <f>IF(C198="","",IFERROR(INDEX('أوامر التوريد'!$H$5:$H$304,MATCH(C198,'أوامر التوريد'!$A$5:$A$304,0)),""))</f>
        <v/>
      </c>
      <c r="H198" s="39">
        <f>IF(C198="","",IFERROR(INDEX('أوامر التوريد'!$I$5:$I$304,MATCH(C198,'أوامر التوريد'!$A$5:$A$304,0)),""))</f>
        <v/>
      </c>
      <c r="I198" s="40" t="n"/>
      <c r="J198" s="41" t="n"/>
      <c r="K198" s="41" t="n"/>
      <c r="L198" s="46">
        <f>IF(J198="","",J198-K198)</f>
        <v/>
      </c>
      <c r="M198" s="49">
        <f>IF(J198="","",IF(K198=0,"مرفوض",IF(K198&lt;J198,"مقبول جزئياً","مقبول")))</f>
        <v/>
      </c>
      <c r="N198" s="40" t="n"/>
      <c r="O198" s="40" t="n"/>
    </row>
    <row r="199">
      <c r="A199" s="39">
        <f>IF(C199="","","MIR-"&amp;TEXT(ROW()-4,"0000"))</f>
        <v/>
      </c>
      <c r="B199" s="47" t="n"/>
      <c r="C199" s="40" t="n"/>
      <c r="D199" s="39">
        <f>IF(C199="","",IFERROR(INDEX('أوامر التوريد'!$C$5:$C$304,MATCH(C199,'أوامر التوريد'!$A$5:$A$304,0)),""))</f>
        <v/>
      </c>
      <c r="E199" s="49">
        <f>IF(C199="","",IFERROR(INDEX('أوامر التوريد'!$E$5:$E$304,MATCH(C199,'أوامر التوريد'!$A$5:$A$304,0)),""))</f>
        <v/>
      </c>
      <c r="F199" s="39">
        <f>IF(C199="","",IFERROR(INDEX('أوامر التوريد'!$G$5:$G$304,MATCH(C199,'أوامر التوريد'!$A$5:$A$304,0)),""))</f>
        <v/>
      </c>
      <c r="G199" s="49">
        <f>IF(C199="","",IFERROR(INDEX('أوامر التوريد'!$H$5:$H$304,MATCH(C199,'أوامر التوريد'!$A$5:$A$304,0)),""))</f>
        <v/>
      </c>
      <c r="H199" s="39">
        <f>IF(C199="","",IFERROR(INDEX('أوامر التوريد'!$I$5:$I$304,MATCH(C199,'أوامر التوريد'!$A$5:$A$304,0)),""))</f>
        <v/>
      </c>
      <c r="I199" s="40" t="n"/>
      <c r="J199" s="41" t="n"/>
      <c r="K199" s="41" t="n"/>
      <c r="L199" s="46">
        <f>IF(J199="","",J199-K199)</f>
        <v/>
      </c>
      <c r="M199" s="49">
        <f>IF(J199="","",IF(K199=0,"مرفوض",IF(K199&lt;J199,"مقبول جزئياً","مقبول")))</f>
        <v/>
      </c>
      <c r="N199" s="40" t="n"/>
      <c r="O199" s="40" t="n"/>
    </row>
    <row r="200">
      <c r="A200" s="39">
        <f>IF(C200="","","MIR-"&amp;TEXT(ROW()-4,"0000"))</f>
        <v/>
      </c>
      <c r="B200" s="47" t="n"/>
      <c r="C200" s="40" t="n"/>
      <c r="D200" s="39">
        <f>IF(C200="","",IFERROR(INDEX('أوامر التوريد'!$C$5:$C$304,MATCH(C200,'أوامر التوريد'!$A$5:$A$304,0)),""))</f>
        <v/>
      </c>
      <c r="E200" s="49">
        <f>IF(C200="","",IFERROR(INDEX('أوامر التوريد'!$E$5:$E$304,MATCH(C200,'أوامر التوريد'!$A$5:$A$304,0)),""))</f>
        <v/>
      </c>
      <c r="F200" s="39">
        <f>IF(C200="","",IFERROR(INDEX('أوامر التوريد'!$G$5:$G$304,MATCH(C200,'أوامر التوريد'!$A$5:$A$304,0)),""))</f>
        <v/>
      </c>
      <c r="G200" s="49">
        <f>IF(C200="","",IFERROR(INDEX('أوامر التوريد'!$H$5:$H$304,MATCH(C200,'أوامر التوريد'!$A$5:$A$304,0)),""))</f>
        <v/>
      </c>
      <c r="H200" s="39">
        <f>IF(C200="","",IFERROR(INDEX('أوامر التوريد'!$I$5:$I$304,MATCH(C200,'أوامر التوريد'!$A$5:$A$304,0)),""))</f>
        <v/>
      </c>
      <c r="I200" s="40" t="n"/>
      <c r="J200" s="41" t="n"/>
      <c r="K200" s="41" t="n"/>
      <c r="L200" s="46">
        <f>IF(J200="","",J200-K200)</f>
        <v/>
      </c>
      <c r="M200" s="49">
        <f>IF(J200="","",IF(K200=0,"مرفوض",IF(K200&lt;J200,"مقبول جزئياً","مقبول")))</f>
        <v/>
      </c>
      <c r="N200" s="40" t="n"/>
      <c r="O200" s="40" t="n"/>
    </row>
    <row r="201">
      <c r="A201" s="39">
        <f>IF(C201="","","MIR-"&amp;TEXT(ROW()-4,"0000"))</f>
        <v/>
      </c>
      <c r="B201" s="47" t="n"/>
      <c r="C201" s="40" t="n"/>
      <c r="D201" s="39">
        <f>IF(C201="","",IFERROR(INDEX('أوامر التوريد'!$C$5:$C$304,MATCH(C201,'أوامر التوريد'!$A$5:$A$304,0)),""))</f>
        <v/>
      </c>
      <c r="E201" s="49">
        <f>IF(C201="","",IFERROR(INDEX('أوامر التوريد'!$E$5:$E$304,MATCH(C201,'أوامر التوريد'!$A$5:$A$304,0)),""))</f>
        <v/>
      </c>
      <c r="F201" s="39">
        <f>IF(C201="","",IFERROR(INDEX('أوامر التوريد'!$G$5:$G$304,MATCH(C201,'أوامر التوريد'!$A$5:$A$304,0)),""))</f>
        <v/>
      </c>
      <c r="G201" s="49">
        <f>IF(C201="","",IFERROR(INDEX('أوامر التوريد'!$H$5:$H$304,MATCH(C201,'أوامر التوريد'!$A$5:$A$304,0)),""))</f>
        <v/>
      </c>
      <c r="H201" s="39">
        <f>IF(C201="","",IFERROR(INDEX('أوامر التوريد'!$I$5:$I$304,MATCH(C201,'أوامر التوريد'!$A$5:$A$304,0)),""))</f>
        <v/>
      </c>
      <c r="I201" s="40" t="n"/>
      <c r="J201" s="41" t="n"/>
      <c r="K201" s="41" t="n"/>
      <c r="L201" s="46">
        <f>IF(J201="","",J201-K201)</f>
        <v/>
      </c>
      <c r="M201" s="49">
        <f>IF(J201="","",IF(K201=0,"مرفوض",IF(K201&lt;J201,"مقبول جزئياً","مقبول")))</f>
        <v/>
      </c>
      <c r="N201" s="40" t="n"/>
      <c r="O201" s="40" t="n"/>
    </row>
    <row r="202">
      <c r="A202" s="39">
        <f>IF(C202="","","MIR-"&amp;TEXT(ROW()-4,"0000"))</f>
        <v/>
      </c>
      <c r="B202" s="47" t="n"/>
      <c r="C202" s="40" t="n"/>
      <c r="D202" s="39">
        <f>IF(C202="","",IFERROR(INDEX('أوامر التوريد'!$C$5:$C$304,MATCH(C202,'أوامر التوريد'!$A$5:$A$304,0)),""))</f>
        <v/>
      </c>
      <c r="E202" s="49">
        <f>IF(C202="","",IFERROR(INDEX('أوامر التوريد'!$E$5:$E$304,MATCH(C202,'أوامر التوريد'!$A$5:$A$304,0)),""))</f>
        <v/>
      </c>
      <c r="F202" s="39">
        <f>IF(C202="","",IFERROR(INDEX('أوامر التوريد'!$G$5:$G$304,MATCH(C202,'أوامر التوريد'!$A$5:$A$304,0)),""))</f>
        <v/>
      </c>
      <c r="G202" s="49">
        <f>IF(C202="","",IFERROR(INDEX('أوامر التوريد'!$H$5:$H$304,MATCH(C202,'أوامر التوريد'!$A$5:$A$304,0)),""))</f>
        <v/>
      </c>
      <c r="H202" s="39">
        <f>IF(C202="","",IFERROR(INDEX('أوامر التوريد'!$I$5:$I$304,MATCH(C202,'أوامر التوريد'!$A$5:$A$304,0)),""))</f>
        <v/>
      </c>
      <c r="I202" s="40" t="n"/>
      <c r="J202" s="41" t="n"/>
      <c r="K202" s="41" t="n"/>
      <c r="L202" s="46">
        <f>IF(J202="","",J202-K202)</f>
        <v/>
      </c>
      <c r="M202" s="49">
        <f>IF(J202="","",IF(K202=0,"مرفوض",IF(K202&lt;J202,"مقبول جزئياً","مقبول")))</f>
        <v/>
      </c>
      <c r="N202" s="40" t="n"/>
      <c r="O202" s="40" t="n"/>
    </row>
    <row r="203">
      <c r="A203" s="39">
        <f>IF(C203="","","MIR-"&amp;TEXT(ROW()-4,"0000"))</f>
        <v/>
      </c>
      <c r="B203" s="47" t="n"/>
      <c r="C203" s="40" t="n"/>
      <c r="D203" s="39">
        <f>IF(C203="","",IFERROR(INDEX('أوامر التوريد'!$C$5:$C$304,MATCH(C203,'أوامر التوريد'!$A$5:$A$304,0)),""))</f>
        <v/>
      </c>
      <c r="E203" s="49">
        <f>IF(C203="","",IFERROR(INDEX('أوامر التوريد'!$E$5:$E$304,MATCH(C203,'أوامر التوريد'!$A$5:$A$304,0)),""))</f>
        <v/>
      </c>
      <c r="F203" s="39">
        <f>IF(C203="","",IFERROR(INDEX('أوامر التوريد'!$G$5:$G$304,MATCH(C203,'أوامر التوريد'!$A$5:$A$304,0)),""))</f>
        <v/>
      </c>
      <c r="G203" s="49">
        <f>IF(C203="","",IFERROR(INDEX('أوامر التوريد'!$H$5:$H$304,MATCH(C203,'أوامر التوريد'!$A$5:$A$304,0)),""))</f>
        <v/>
      </c>
      <c r="H203" s="39">
        <f>IF(C203="","",IFERROR(INDEX('أوامر التوريد'!$I$5:$I$304,MATCH(C203,'أوامر التوريد'!$A$5:$A$304,0)),""))</f>
        <v/>
      </c>
      <c r="I203" s="40" t="n"/>
      <c r="J203" s="41" t="n"/>
      <c r="K203" s="41" t="n"/>
      <c r="L203" s="46">
        <f>IF(J203="","",J203-K203)</f>
        <v/>
      </c>
      <c r="M203" s="49">
        <f>IF(J203="","",IF(K203=0,"مرفوض",IF(K203&lt;J203,"مقبول جزئياً","مقبول")))</f>
        <v/>
      </c>
      <c r="N203" s="40" t="n"/>
      <c r="O203" s="40" t="n"/>
    </row>
    <row r="204">
      <c r="A204" s="39">
        <f>IF(C204="","","MIR-"&amp;TEXT(ROW()-4,"0000"))</f>
        <v/>
      </c>
      <c r="B204" s="47" t="n"/>
      <c r="C204" s="40" t="n"/>
      <c r="D204" s="39">
        <f>IF(C204="","",IFERROR(INDEX('أوامر التوريد'!$C$5:$C$304,MATCH(C204,'أوامر التوريد'!$A$5:$A$304,0)),""))</f>
        <v/>
      </c>
      <c r="E204" s="49">
        <f>IF(C204="","",IFERROR(INDEX('أوامر التوريد'!$E$5:$E$304,MATCH(C204,'أوامر التوريد'!$A$5:$A$304,0)),""))</f>
        <v/>
      </c>
      <c r="F204" s="39">
        <f>IF(C204="","",IFERROR(INDEX('أوامر التوريد'!$G$5:$G$304,MATCH(C204,'أوامر التوريد'!$A$5:$A$304,0)),""))</f>
        <v/>
      </c>
      <c r="G204" s="49">
        <f>IF(C204="","",IFERROR(INDEX('أوامر التوريد'!$H$5:$H$304,MATCH(C204,'أوامر التوريد'!$A$5:$A$304,0)),""))</f>
        <v/>
      </c>
      <c r="H204" s="39">
        <f>IF(C204="","",IFERROR(INDEX('أوامر التوريد'!$I$5:$I$304,MATCH(C204,'أوامر التوريد'!$A$5:$A$304,0)),""))</f>
        <v/>
      </c>
      <c r="I204" s="40" t="n"/>
      <c r="J204" s="41" t="n"/>
      <c r="K204" s="41" t="n"/>
      <c r="L204" s="46">
        <f>IF(J204="","",J204-K204)</f>
        <v/>
      </c>
      <c r="M204" s="49">
        <f>IF(J204="","",IF(K204=0,"مرفوض",IF(K204&lt;J204,"مقبول جزئياً","مقبول")))</f>
        <v/>
      </c>
      <c r="N204" s="40" t="n"/>
      <c r="O204" s="40" t="n"/>
    </row>
    <row r="205">
      <c r="A205" s="39">
        <f>IF(C205="","","MIR-"&amp;TEXT(ROW()-4,"0000"))</f>
        <v/>
      </c>
      <c r="B205" s="47" t="n"/>
      <c r="C205" s="40" t="n"/>
      <c r="D205" s="39">
        <f>IF(C205="","",IFERROR(INDEX('أوامر التوريد'!$C$5:$C$304,MATCH(C205,'أوامر التوريد'!$A$5:$A$304,0)),""))</f>
        <v/>
      </c>
      <c r="E205" s="49">
        <f>IF(C205="","",IFERROR(INDEX('أوامر التوريد'!$E$5:$E$304,MATCH(C205,'أوامر التوريد'!$A$5:$A$304,0)),""))</f>
        <v/>
      </c>
      <c r="F205" s="39">
        <f>IF(C205="","",IFERROR(INDEX('أوامر التوريد'!$G$5:$G$304,MATCH(C205,'أوامر التوريد'!$A$5:$A$304,0)),""))</f>
        <v/>
      </c>
      <c r="G205" s="49">
        <f>IF(C205="","",IFERROR(INDEX('أوامر التوريد'!$H$5:$H$304,MATCH(C205,'أوامر التوريد'!$A$5:$A$304,0)),""))</f>
        <v/>
      </c>
      <c r="H205" s="39">
        <f>IF(C205="","",IFERROR(INDEX('أوامر التوريد'!$I$5:$I$304,MATCH(C205,'أوامر التوريد'!$A$5:$A$304,0)),""))</f>
        <v/>
      </c>
      <c r="I205" s="40" t="n"/>
      <c r="J205" s="41" t="n"/>
      <c r="K205" s="41" t="n"/>
      <c r="L205" s="46">
        <f>IF(J205="","",J205-K205)</f>
        <v/>
      </c>
      <c r="M205" s="49">
        <f>IF(J205="","",IF(K205=0,"مرفوض",IF(K205&lt;J205,"مقبول جزئياً","مقبول")))</f>
        <v/>
      </c>
      <c r="N205" s="40" t="n"/>
      <c r="O205" s="40" t="n"/>
    </row>
    <row r="206">
      <c r="A206" s="39">
        <f>IF(C206="","","MIR-"&amp;TEXT(ROW()-4,"0000"))</f>
        <v/>
      </c>
      <c r="B206" s="47" t="n"/>
      <c r="C206" s="40" t="n"/>
      <c r="D206" s="39">
        <f>IF(C206="","",IFERROR(INDEX('أوامر التوريد'!$C$5:$C$304,MATCH(C206,'أوامر التوريد'!$A$5:$A$304,0)),""))</f>
        <v/>
      </c>
      <c r="E206" s="49">
        <f>IF(C206="","",IFERROR(INDEX('أوامر التوريد'!$E$5:$E$304,MATCH(C206,'أوامر التوريد'!$A$5:$A$304,0)),""))</f>
        <v/>
      </c>
      <c r="F206" s="39">
        <f>IF(C206="","",IFERROR(INDEX('أوامر التوريد'!$G$5:$G$304,MATCH(C206,'أوامر التوريد'!$A$5:$A$304,0)),""))</f>
        <v/>
      </c>
      <c r="G206" s="49">
        <f>IF(C206="","",IFERROR(INDEX('أوامر التوريد'!$H$5:$H$304,MATCH(C206,'أوامر التوريد'!$A$5:$A$304,0)),""))</f>
        <v/>
      </c>
      <c r="H206" s="39">
        <f>IF(C206="","",IFERROR(INDEX('أوامر التوريد'!$I$5:$I$304,MATCH(C206,'أوامر التوريد'!$A$5:$A$304,0)),""))</f>
        <v/>
      </c>
      <c r="I206" s="40" t="n"/>
      <c r="J206" s="41" t="n"/>
      <c r="K206" s="41" t="n"/>
      <c r="L206" s="46">
        <f>IF(J206="","",J206-K206)</f>
        <v/>
      </c>
      <c r="M206" s="49">
        <f>IF(J206="","",IF(K206=0,"مرفوض",IF(K206&lt;J206,"مقبول جزئياً","مقبول")))</f>
        <v/>
      </c>
      <c r="N206" s="40" t="n"/>
      <c r="O206" s="40" t="n"/>
    </row>
    <row r="207">
      <c r="A207" s="39">
        <f>IF(C207="","","MIR-"&amp;TEXT(ROW()-4,"0000"))</f>
        <v/>
      </c>
      <c r="B207" s="47" t="n"/>
      <c r="C207" s="40" t="n"/>
      <c r="D207" s="39">
        <f>IF(C207="","",IFERROR(INDEX('أوامر التوريد'!$C$5:$C$304,MATCH(C207,'أوامر التوريد'!$A$5:$A$304,0)),""))</f>
        <v/>
      </c>
      <c r="E207" s="49">
        <f>IF(C207="","",IFERROR(INDEX('أوامر التوريد'!$E$5:$E$304,MATCH(C207,'أوامر التوريد'!$A$5:$A$304,0)),""))</f>
        <v/>
      </c>
      <c r="F207" s="39">
        <f>IF(C207="","",IFERROR(INDEX('أوامر التوريد'!$G$5:$G$304,MATCH(C207,'أوامر التوريد'!$A$5:$A$304,0)),""))</f>
        <v/>
      </c>
      <c r="G207" s="49">
        <f>IF(C207="","",IFERROR(INDEX('أوامر التوريد'!$H$5:$H$304,MATCH(C207,'أوامر التوريد'!$A$5:$A$304,0)),""))</f>
        <v/>
      </c>
      <c r="H207" s="39">
        <f>IF(C207="","",IFERROR(INDEX('أوامر التوريد'!$I$5:$I$304,MATCH(C207,'أوامر التوريد'!$A$5:$A$304,0)),""))</f>
        <v/>
      </c>
      <c r="I207" s="40" t="n"/>
      <c r="J207" s="41" t="n"/>
      <c r="K207" s="41" t="n"/>
      <c r="L207" s="46">
        <f>IF(J207="","",J207-K207)</f>
        <v/>
      </c>
      <c r="M207" s="49">
        <f>IF(J207="","",IF(K207=0,"مرفوض",IF(K207&lt;J207,"مقبول جزئياً","مقبول")))</f>
        <v/>
      </c>
      <c r="N207" s="40" t="n"/>
      <c r="O207" s="40" t="n"/>
    </row>
    <row r="208">
      <c r="A208" s="39">
        <f>IF(C208="","","MIR-"&amp;TEXT(ROW()-4,"0000"))</f>
        <v/>
      </c>
      <c r="B208" s="47" t="n"/>
      <c r="C208" s="40" t="n"/>
      <c r="D208" s="39">
        <f>IF(C208="","",IFERROR(INDEX('أوامر التوريد'!$C$5:$C$304,MATCH(C208,'أوامر التوريد'!$A$5:$A$304,0)),""))</f>
        <v/>
      </c>
      <c r="E208" s="49">
        <f>IF(C208="","",IFERROR(INDEX('أوامر التوريد'!$E$5:$E$304,MATCH(C208,'أوامر التوريد'!$A$5:$A$304,0)),""))</f>
        <v/>
      </c>
      <c r="F208" s="39">
        <f>IF(C208="","",IFERROR(INDEX('أوامر التوريد'!$G$5:$G$304,MATCH(C208,'أوامر التوريد'!$A$5:$A$304,0)),""))</f>
        <v/>
      </c>
      <c r="G208" s="49">
        <f>IF(C208="","",IFERROR(INDEX('أوامر التوريد'!$H$5:$H$304,MATCH(C208,'أوامر التوريد'!$A$5:$A$304,0)),""))</f>
        <v/>
      </c>
      <c r="H208" s="39">
        <f>IF(C208="","",IFERROR(INDEX('أوامر التوريد'!$I$5:$I$304,MATCH(C208,'أوامر التوريد'!$A$5:$A$304,0)),""))</f>
        <v/>
      </c>
      <c r="I208" s="40" t="n"/>
      <c r="J208" s="41" t="n"/>
      <c r="K208" s="41" t="n"/>
      <c r="L208" s="46">
        <f>IF(J208="","",J208-K208)</f>
        <v/>
      </c>
      <c r="M208" s="49">
        <f>IF(J208="","",IF(K208=0,"مرفوض",IF(K208&lt;J208,"مقبول جزئياً","مقبول")))</f>
        <v/>
      </c>
      <c r="N208" s="40" t="n"/>
      <c r="O208" s="40" t="n"/>
    </row>
    <row r="209">
      <c r="A209" s="39">
        <f>IF(C209="","","MIR-"&amp;TEXT(ROW()-4,"0000"))</f>
        <v/>
      </c>
      <c r="B209" s="47" t="n"/>
      <c r="C209" s="40" t="n"/>
      <c r="D209" s="39">
        <f>IF(C209="","",IFERROR(INDEX('أوامر التوريد'!$C$5:$C$304,MATCH(C209,'أوامر التوريد'!$A$5:$A$304,0)),""))</f>
        <v/>
      </c>
      <c r="E209" s="49">
        <f>IF(C209="","",IFERROR(INDEX('أوامر التوريد'!$E$5:$E$304,MATCH(C209,'أوامر التوريد'!$A$5:$A$304,0)),""))</f>
        <v/>
      </c>
      <c r="F209" s="39">
        <f>IF(C209="","",IFERROR(INDEX('أوامر التوريد'!$G$5:$G$304,MATCH(C209,'أوامر التوريد'!$A$5:$A$304,0)),""))</f>
        <v/>
      </c>
      <c r="G209" s="49">
        <f>IF(C209="","",IFERROR(INDEX('أوامر التوريد'!$H$5:$H$304,MATCH(C209,'أوامر التوريد'!$A$5:$A$304,0)),""))</f>
        <v/>
      </c>
      <c r="H209" s="39">
        <f>IF(C209="","",IFERROR(INDEX('أوامر التوريد'!$I$5:$I$304,MATCH(C209,'أوامر التوريد'!$A$5:$A$304,0)),""))</f>
        <v/>
      </c>
      <c r="I209" s="40" t="n"/>
      <c r="J209" s="41" t="n"/>
      <c r="K209" s="41" t="n"/>
      <c r="L209" s="46">
        <f>IF(J209="","",J209-K209)</f>
        <v/>
      </c>
      <c r="M209" s="49">
        <f>IF(J209="","",IF(K209=0,"مرفوض",IF(K209&lt;J209,"مقبول جزئياً","مقبول")))</f>
        <v/>
      </c>
      <c r="N209" s="40" t="n"/>
      <c r="O209" s="40" t="n"/>
    </row>
    <row r="210">
      <c r="A210" s="39">
        <f>IF(C210="","","MIR-"&amp;TEXT(ROW()-4,"0000"))</f>
        <v/>
      </c>
      <c r="B210" s="47" t="n"/>
      <c r="C210" s="40" t="n"/>
      <c r="D210" s="39">
        <f>IF(C210="","",IFERROR(INDEX('أوامر التوريد'!$C$5:$C$304,MATCH(C210,'أوامر التوريد'!$A$5:$A$304,0)),""))</f>
        <v/>
      </c>
      <c r="E210" s="49">
        <f>IF(C210="","",IFERROR(INDEX('أوامر التوريد'!$E$5:$E$304,MATCH(C210,'أوامر التوريد'!$A$5:$A$304,0)),""))</f>
        <v/>
      </c>
      <c r="F210" s="39">
        <f>IF(C210="","",IFERROR(INDEX('أوامر التوريد'!$G$5:$G$304,MATCH(C210,'أوامر التوريد'!$A$5:$A$304,0)),""))</f>
        <v/>
      </c>
      <c r="G210" s="49">
        <f>IF(C210="","",IFERROR(INDEX('أوامر التوريد'!$H$5:$H$304,MATCH(C210,'أوامر التوريد'!$A$5:$A$304,0)),""))</f>
        <v/>
      </c>
      <c r="H210" s="39">
        <f>IF(C210="","",IFERROR(INDEX('أوامر التوريد'!$I$5:$I$304,MATCH(C210,'أوامر التوريد'!$A$5:$A$304,0)),""))</f>
        <v/>
      </c>
      <c r="I210" s="40" t="n"/>
      <c r="J210" s="41" t="n"/>
      <c r="K210" s="41" t="n"/>
      <c r="L210" s="46">
        <f>IF(J210="","",J210-K210)</f>
        <v/>
      </c>
      <c r="M210" s="49">
        <f>IF(J210="","",IF(K210=0,"مرفوض",IF(K210&lt;J210,"مقبول جزئياً","مقبول")))</f>
        <v/>
      </c>
      <c r="N210" s="40" t="n"/>
      <c r="O210" s="40" t="n"/>
    </row>
    <row r="211">
      <c r="A211" s="39">
        <f>IF(C211="","","MIR-"&amp;TEXT(ROW()-4,"0000"))</f>
        <v/>
      </c>
      <c r="B211" s="47" t="n"/>
      <c r="C211" s="40" t="n"/>
      <c r="D211" s="39">
        <f>IF(C211="","",IFERROR(INDEX('أوامر التوريد'!$C$5:$C$304,MATCH(C211,'أوامر التوريد'!$A$5:$A$304,0)),""))</f>
        <v/>
      </c>
      <c r="E211" s="49">
        <f>IF(C211="","",IFERROR(INDEX('أوامر التوريد'!$E$5:$E$304,MATCH(C211,'أوامر التوريد'!$A$5:$A$304,0)),""))</f>
        <v/>
      </c>
      <c r="F211" s="39">
        <f>IF(C211="","",IFERROR(INDEX('أوامر التوريد'!$G$5:$G$304,MATCH(C211,'أوامر التوريد'!$A$5:$A$304,0)),""))</f>
        <v/>
      </c>
      <c r="G211" s="49">
        <f>IF(C211="","",IFERROR(INDEX('أوامر التوريد'!$H$5:$H$304,MATCH(C211,'أوامر التوريد'!$A$5:$A$304,0)),""))</f>
        <v/>
      </c>
      <c r="H211" s="39">
        <f>IF(C211="","",IFERROR(INDEX('أوامر التوريد'!$I$5:$I$304,MATCH(C211,'أوامر التوريد'!$A$5:$A$304,0)),""))</f>
        <v/>
      </c>
      <c r="I211" s="40" t="n"/>
      <c r="J211" s="41" t="n"/>
      <c r="K211" s="41" t="n"/>
      <c r="L211" s="46">
        <f>IF(J211="","",J211-K211)</f>
        <v/>
      </c>
      <c r="M211" s="49">
        <f>IF(J211="","",IF(K211=0,"مرفوض",IF(K211&lt;J211,"مقبول جزئياً","مقبول")))</f>
        <v/>
      </c>
      <c r="N211" s="40" t="n"/>
      <c r="O211" s="40" t="n"/>
    </row>
    <row r="212">
      <c r="A212" s="39">
        <f>IF(C212="","","MIR-"&amp;TEXT(ROW()-4,"0000"))</f>
        <v/>
      </c>
      <c r="B212" s="47" t="n"/>
      <c r="C212" s="40" t="n"/>
      <c r="D212" s="39">
        <f>IF(C212="","",IFERROR(INDEX('أوامر التوريد'!$C$5:$C$304,MATCH(C212,'أوامر التوريد'!$A$5:$A$304,0)),""))</f>
        <v/>
      </c>
      <c r="E212" s="49">
        <f>IF(C212="","",IFERROR(INDEX('أوامر التوريد'!$E$5:$E$304,MATCH(C212,'أوامر التوريد'!$A$5:$A$304,0)),""))</f>
        <v/>
      </c>
      <c r="F212" s="39">
        <f>IF(C212="","",IFERROR(INDEX('أوامر التوريد'!$G$5:$G$304,MATCH(C212,'أوامر التوريد'!$A$5:$A$304,0)),""))</f>
        <v/>
      </c>
      <c r="G212" s="49">
        <f>IF(C212="","",IFERROR(INDEX('أوامر التوريد'!$H$5:$H$304,MATCH(C212,'أوامر التوريد'!$A$5:$A$304,0)),""))</f>
        <v/>
      </c>
      <c r="H212" s="39">
        <f>IF(C212="","",IFERROR(INDEX('أوامر التوريد'!$I$5:$I$304,MATCH(C212,'أوامر التوريد'!$A$5:$A$304,0)),""))</f>
        <v/>
      </c>
      <c r="I212" s="40" t="n"/>
      <c r="J212" s="41" t="n"/>
      <c r="K212" s="41" t="n"/>
      <c r="L212" s="46">
        <f>IF(J212="","",J212-K212)</f>
        <v/>
      </c>
      <c r="M212" s="49">
        <f>IF(J212="","",IF(K212=0,"مرفوض",IF(K212&lt;J212,"مقبول جزئياً","مقبول")))</f>
        <v/>
      </c>
      <c r="N212" s="40" t="n"/>
      <c r="O212" s="40" t="n"/>
    </row>
    <row r="213">
      <c r="A213" s="39">
        <f>IF(C213="","","MIR-"&amp;TEXT(ROW()-4,"0000"))</f>
        <v/>
      </c>
      <c r="B213" s="47" t="n"/>
      <c r="C213" s="40" t="n"/>
      <c r="D213" s="39">
        <f>IF(C213="","",IFERROR(INDEX('أوامر التوريد'!$C$5:$C$304,MATCH(C213,'أوامر التوريد'!$A$5:$A$304,0)),""))</f>
        <v/>
      </c>
      <c r="E213" s="49">
        <f>IF(C213="","",IFERROR(INDEX('أوامر التوريد'!$E$5:$E$304,MATCH(C213,'أوامر التوريد'!$A$5:$A$304,0)),""))</f>
        <v/>
      </c>
      <c r="F213" s="39">
        <f>IF(C213="","",IFERROR(INDEX('أوامر التوريد'!$G$5:$G$304,MATCH(C213,'أوامر التوريد'!$A$5:$A$304,0)),""))</f>
        <v/>
      </c>
      <c r="G213" s="49">
        <f>IF(C213="","",IFERROR(INDEX('أوامر التوريد'!$H$5:$H$304,MATCH(C213,'أوامر التوريد'!$A$5:$A$304,0)),""))</f>
        <v/>
      </c>
      <c r="H213" s="39">
        <f>IF(C213="","",IFERROR(INDEX('أوامر التوريد'!$I$5:$I$304,MATCH(C213,'أوامر التوريد'!$A$5:$A$304,0)),""))</f>
        <v/>
      </c>
      <c r="I213" s="40" t="n"/>
      <c r="J213" s="41" t="n"/>
      <c r="K213" s="41" t="n"/>
      <c r="L213" s="46">
        <f>IF(J213="","",J213-K213)</f>
        <v/>
      </c>
      <c r="M213" s="49">
        <f>IF(J213="","",IF(K213=0,"مرفوض",IF(K213&lt;J213,"مقبول جزئياً","مقبول")))</f>
        <v/>
      </c>
      <c r="N213" s="40" t="n"/>
      <c r="O213" s="40" t="n"/>
    </row>
    <row r="214">
      <c r="A214" s="39">
        <f>IF(C214="","","MIR-"&amp;TEXT(ROW()-4,"0000"))</f>
        <v/>
      </c>
      <c r="B214" s="47" t="n"/>
      <c r="C214" s="40" t="n"/>
      <c r="D214" s="39">
        <f>IF(C214="","",IFERROR(INDEX('أوامر التوريد'!$C$5:$C$304,MATCH(C214,'أوامر التوريد'!$A$5:$A$304,0)),""))</f>
        <v/>
      </c>
      <c r="E214" s="49">
        <f>IF(C214="","",IFERROR(INDEX('أوامر التوريد'!$E$5:$E$304,MATCH(C214,'أوامر التوريد'!$A$5:$A$304,0)),""))</f>
        <v/>
      </c>
      <c r="F214" s="39">
        <f>IF(C214="","",IFERROR(INDEX('أوامر التوريد'!$G$5:$G$304,MATCH(C214,'أوامر التوريد'!$A$5:$A$304,0)),""))</f>
        <v/>
      </c>
      <c r="G214" s="49">
        <f>IF(C214="","",IFERROR(INDEX('أوامر التوريد'!$H$5:$H$304,MATCH(C214,'أوامر التوريد'!$A$5:$A$304,0)),""))</f>
        <v/>
      </c>
      <c r="H214" s="39">
        <f>IF(C214="","",IFERROR(INDEX('أوامر التوريد'!$I$5:$I$304,MATCH(C214,'أوامر التوريد'!$A$5:$A$304,0)),""))</f>
        <v/>
      </c>
      <c r="I214" s="40" t="n"/>
      <c r="J214" s="41" t="n"/>
      <c r="K214" s="41" t="n"/>
      <c r="L214" s="46">
        <f>IF(J214="","",J214-K214)</f>
        <v/>
      </c>
      <c r="M214" s="49">
        <f>IF(J214="","",IF(K214=0,"مرفوض",IF(K214&lt;J214,"مقبول جزئياً","مقبول")))</f>
        <v/>
      </c>
      <c r="N214" s="40" t="n"/>
      <c r="O214" s="40" t="n"/>
    </row>
    <row r="215">
      <c r="A215" s="39">
        <f>IF(C215="","","MIR-"&amp;TEXT(ROW()-4,"0000"))</f>
        <v/>
      </c>
      <c r="B215" s="47" t="n"/>
      <c r="C215" s="40" t="n"/>
      <c r="D215" s="39">
        <f>IF(C215="","",IFERROR(INDEX('أوامر التوريد'!$C$5:$C$304,MATCH(C215,'أوامر التوريد'!$A$5:$A$304,0)),""))</f>
        <v/>
      </c>
      <c r="E215" s="49">
        <f>IF(C215="","",IFERROR(INDEX('أوامر التوريد'!$E$5:$E$304,MATCH(C215,'أوامر التوريد'!$A$5:$A$304,0)),""))</f>
        <v/>
      </c>
      <c r="F215" s="39">
        <f>IF(C215="","",IFERROR(INDEX('أوامر التوريد'!$G$5:$G$304,MATCH(C215,'أوامر التوريد'!$A$5:$A$304,0)),""))</f>
        <v/>
      </c>
      <c r="G215" s="49">
        <f>IF(C215="","",IFERROR(INDEX('أوامر التوريد'!$H$5:$H$304,MATCH(C215,'أوامر التوريد'!$A$5:$A$304,0)),""))</f>
        <v/>
      </c>
      <c r="H215" s="39">
        <f>IF(C215="","",IFERROR(INDEX('أوامر التوريد'!$I$5:$I$304,MATCH(C215,'أوامر التوريد'!$A$5:$A$304,0)),""))</f>
        <v/>
      </c>
      <c r="I215" s="40" t="n"/>
      <c r="J215" s="41" t="n"/>
      <c r="K215" s="41" t="n"/>
      <c r="L215" s="46">
        <f>IF(J215="","",J215-K215)</f>
        <v/>
      </c>
      <c r="M215" s="49">
        <f>IF(J215="","",IF(K215=0,"مرفوض",IF(K215&lt;J215,"مقبول جزئياً","مقبول")))</f>
        <v/>
      </c>
      <c r="N215" s="40" t="n"/>
      <c r="O215" s="40" t="n"/>
    </row>
    <row r="216">
      <c r="A216" s="39">
        <f>IF(C216="","","MIR-"&amp;TEXT(ROW()-4,"0000"))</f>
        <v/>
      </c>
      <c r="B216" s="47" t="n"/>
      <c r="C216" s="40" t="n"/>
      <c r="D216" s="39">
        <f>IF(C216="","",IFERROR(INDEX('أوامر التوريد'!$C$5:$C$304,MATCH(C216,'أوامر التوريد'!$A$5:$A$304,0)),""))</f>
        <v/>
      </c>
      <c r="E216" s="49">
        <f>IF(C216="","",IFERROR(INDEX('أوامر التوريد'!$E$5:$E$304,MATCH(C216,'أوامر التوريد'!$A$5:$A$304,0)),""))</f>
        <v/>
      </c>
      <c r="F216" s="39">
        <f>IF(C216="","",IFERROR(INDEX('أوامر التوريد'!$G$5:$G$304,MATCH(C216,'أوامر التوريد'!$A$5:$A$304,0)),""))</f>
        <v/>
      </c>
      <c r="G216" s="49">
        <f>IF(C216="","",IFERROR(INDEX('أوامر التوريد'!$H$5:$H$304,MATCH(C216,'أوامر التوريد'!$A$5:$A$304,0)),""))</f>
        <v/>
      </c>
      <c r="H216" s="39">
        <f>IF(C216="","",IFERROR(INDEX('أوامر التوريد'!$I$5:$I$304,MATCH(C216,'أوامر التوريد'!$A$5:$A$304,0)),""))</f>
        <v/>
      </c>
      <c r="I216" s="40" t="n"/>
      <c r="J216" s="41" t="n"/>
      <c r="K216" s="41" t="n"/>
      <c r="L216" s="46">
        <f>IF(J216="","",J216-K216)</f>
        <v/>
      </c>
      <c r="M216" s="49">
        <f>IF(J216="","",IF(K216=0,"مرفوض",IF(K216&lt;J216,"مقبول جزئياً","مقبول")))</f>
        <v/>
      </c>
      <c r="N216" s="40" t="n"/>
      <c r="O216" s="40" t="n"/>
    </row>
    <row r="217">
      <c r="A217" s="39">
        <f>IF(C217="","","MIR-"&amp;TEXT(ROW()-4,"0000"))</f>
        <v/>
      </c>
      <c r="B217" s="47" t="n"/>
      <c r="C217" s="40" t="n"/>
      <c r="D217" s="39">
        <f>IF(C217="","",IFERROR(INDEX('أوامر التوريد'!$C$5:$C$304,MATCH(C217,'أوامر التوريد'!$A$5:$A$304,0)),""))</f>
        <v/>
      </c>
      <c r="E217" s="49">
        <f>IF(C217="","",IFERROR(INDEX('أوامر التوريد'!$E$5:$E$304,MATCH(C217,'أوامر التوريد'!$A$5:$A$304,0)),""))</f>
        <v/>
      </c>
      <c r="F217" s="39">
        <f>IF(C217="","",IFERROR(INDEX('أوامر التوريد'!$G$5:$G$304,MATCH(C217,'أوامر التوريد'!$A$5:$A$304,0)),""))</f>
        <v/>
      </c>
      <c r="G217" s="49">
        <f>IF(C217="","",IFERROR(INDEX('أوامر التوريد'!$H$5:$H$304,MATCH(C217,'أوامر التوريد'!$A$5:$A$304,0)),""))</f>
        <v/>
      </c>
      <c r="H217" s="39">
        <f>IF(C217="","",IFERROR(INDEX('أوامر التوريد'!$I$5:$I$304,MATCH(C217,'أوامر التوريد'!$A$5:$A$304,0)),""))</f>
        <v/>
      </c>
      <c r="I217" s="40" t="n"/>
      <c r="J217" s="41" t="n"/>
      <c r="K217" s="41" t="n"/>
      <c r="L217" s="46">
        <f>IF(J217="","",J217-K217)</f>
        <v/>
      </c>
      <c r="M217" s="49">
        <f>IF(J217="","",IF(K217=0,"مرفوض",IF(K217&lt;J217,"مقبول جزئياً","مقبول")))</f>
        <v/>
      </c>
      <c r="N217" s="40" t="n"/>
      <c r="O217" s="40" t="n"/>
    </row>
    <row r="218">
      <c r="A218" s="39">
        <f>IF(C218="","","MIR-"&amp;TEXT(ROW()-4,"0000"))</f>
        <v/>
      </c>
      <c r="B218" s="47" t="n"/>
      <c r="C218" s="40" t="n"/>
      <c r="D218" s="39">
        <f>IF(C218="","",IFERROR(INDEX('أوامر التوريد'!$C$5:$C$304,MATCH(C218,'أوامر التوريد'!$A$5:$A$304,0)),""))</f>
        <v/>
      </c>
      <c r="E218" s="49">
        <f>IF(C218="","",IFERROR(INDEX('أوامر التوريد'!$E$5:$E$304,MATCH(C218,'أوامر التوريد'!$A$5:$A$304,0)),""))</f>
        <v/>
      </c>
      <c r="F218" s="39">
        <f>IF(C218="","",IFERROR(INDEX('أوامر التوريد'!$G$5:$G$304,MATCH(C218,'أوامر التوريد'!$A$5:$A$304,0)),""))</f>
        <v/>
      </c>
      <c r="G218" s="49">
        <f>IF(C218="","",IFERROR(INDEX('أوامر التوريد'!$H$5:$H$304,MATCH(C218,'أوامر التوريد'!$A$5:$A$304,0)),""))</f>
        <v/>
      </c>
      <c r="H218" s="39">
        <f>IF(C218="","",IFERROR(INDEX('أوامر التوريد'!$I$5:$I$304,MATCH(C218,'أوامر التوريد'!$A$5:$A$304,0)),""))</f>
        <v/>
      </c>
      <c r="I218" s="40" t="n"/>
      <c r="J218" s="41" t="n"/>
      <c r="K218" s="41" t="n"/>
      <c r="L218" s="46">
        <f>IF(J218="","",J218-K218)</f>
        <v/>
      </c>
      <c r="M218" s="49">
        <f>IF(J218="","",IF(K218=0,"مرفوض",IF(K218&lt;J218,"مقبول جزئياً","مقبول")))</f>
        <v/>
      </c>
      <c r="N218" s="40" t="n"/>
      <c r="O218" s="40" t="n"/>
    </row>
    <row r="219">
      <c r="A219" s="39">
        <f>IF(C219="","","MIR-"&amp;TEXT(ROW()-4,"0000"))</f>
        <v/>
      </c>
      <c r="B219" s="47" t="n"/>
      <c r="C219" s="40" t="n"/>
      <c r="D219" s="39">
        <f>IF(C219="","",IFERROR(INDEX('أوامر التوريد'!$C$5:$C$304,MATCH(C219,'أوامر التوريد'!$A$5:$A$304,0)),""))</f>
        <v/>
      </c>
      <c r="E219" s="49">
        <f>IF(C219="","",IFERROR(INDEX('أوامر التوريد'!$E$5:$E$304,MATCH(C219,'أوامر التوريد'!$A$5:$A$304,0)),""))</f>
        <v/>
      </c>
      <c r="F219" s="39">
        <f>IF(C219="","",IFERROR(INDEX('أوامر التوريد'!$G$5:$G$304,MATCH(C219,'أوامر التوريد'!$A$5:$A$304,0)),""))</f>
        <v/>
      </c>
      <c r="G219" s="49">
        <f>IF(C219="","",IFERROR(INDEX('أوامر التوريد'!$H$5:$H$304,MATCH(C219,'أوامر التوريد'!$A$5:$A$304,0)),""))</f>
        <v/>
      </c>
      <c r="H219" s="39">
        <f>IF(C219="","",IFERROR(INDEX('أوامر التوريد'!$I$5:$I$304,MATCH(C219,'أوامر التوريد'!$A$5:$A$304,0)),""))</f>
        <v/>
      </c>
      <c r="I219" s="40" t="n"/>
      <c r="J219" s="41" t="n"/>
      <c r="K219" s="41" t="n"/>
      <c r="L219" s="46">
        <f>IF(J219="","",J219-K219)</f>
        <v/>
      </c>
      <c r="M219" s="49">
        <f>IF(J219="","",IF(K219=0,"مرفوض",IF(K219&lt;J219,"مقبول جزئياً","مقبول")))</f>
        <v/>
      </c>
      <c r="N219" s="40" t="n"/>
      <c r="O219" s="40" t="n"/>
    </row>
    <row r="220">
      <c r="A220" s="39">
        <f>IF(C220="","","MIR-"&amp;TEXT(ROW()-4,"0000"))</f>
        <v/>
      </c>
      <c r="B220" s="47" t="n"/>
      <c r="C220" s="40" t="n"/>
      <c r="D220" s="39">
        <f>IF(C220="","",IFERROR(INDEX('أوامر التوريد'!$C$5:$C$304,MATCH(C220,'أوامر التوريد'!$A$5:$A$304,0)),""))</f>
        <v/>
      </c>
      <c r="E220" s="49">
        <f>IF(C220="","",IFERROR(INDEX('أوامر التوريد'!$E$5:$E$304,MATCH(C220,'أوامر التوريد'!$A$5:$A$304,0)),""))</f>
        <v/>
      </c>
      <c r="F220" s="39">
        <f>IF(C220="","",IFERROR(INDEX('أوامر التوريد'!$G$5:$G$304,MATCH(C220,'أوامر التوريد'!$A$5:$A$304,0)),""))</f>
        <v/>
      </c>
      <c r="G220" s="49">
        <f>IF(C220="","",IFERROR(INDEX('أوامر التوريد'!$H$5:$H$304,MATCH(C220,'أوامر التوريد'!$A$5:$A$304,0)),""))</f>
        <v/>
      </c>
      <c r="H220" s="39">
        <f>IF(C220="","",IFERROR(INDEX('أوامر التوريد'!$I$5:$I$304,MATCH(C220,'أوامر التوريد'!$A$5:$A$304,0)),""))</f>
        <v/>
      </c>
      <c r="I220" s="40" t="n"/>
      <c r="J220" s="41" t="n"/>
      <c r="K220" s="41" t="n"/>
      <c r="L220" s="46">
        <f>IF(J220="","",J220-K220)</f>
        <v/>
      </c>
      <c r="M220" s="49">
        <f>IF(J220="","",IF(K220=0,"مرفوض",IF(K220&lt;J220,"مقبول جزئياً","مقبول")))</f>
        <v/>
      </c>
      <c r="N220" s="40" t="n"/>
      <c r="O220" s="40" t="n"/>
    </row>
    <row r="221">
      <c r="A221" s="39">
        <f>IF(C221="","","MIR-"&amp;TEXT(ROW()-4,"0000"))</f>
        <v/>
      </c>
      <c r="B221" s="47" t="n"/>
      <c r="C221" s="40" t="n"/>
      <c r="D221" s="39">
        <f>IF(C221="","",IFERROR(INDEX('أوامر التوريد'!$C$5:$C$304,MATCH(C221,'أوامر التوريد'!$A$5:$A$304,0)),""))</f>
        <v/>
      </c>
      <c r="E221" s="49">
        <f>IF(C221="","",IFERROR(INDEX('أوامر التوريد'!$E$5:$E$304,MATCH(C221,'أوامر التوريد'!$A$5:$A$304,0)),""))</f>
        <v/>
      </c>
      <c r="F221" s="39">
        <f>IF(C221="","",IFERROR(INDEX('أوامر التوريد'!$G$5:$G$304,MATCH(C221,'أوامر التوريد'!$A$5:$A$304,0)),""))</f>
        <v/>
      </c>
      <c r="G221" s="49">
        <f>IF(C221="","",IFERROR(INDEX('أوامر التوريد'!$H$5:$H$304,MATCH(C221,'أوامر التوريد'!$A$5:$A$304,0)),""))</f>
        <v/>
      </c>
      <c r="H221" s="39">
        <f>IF(C221="","",IFERROR(INDEX('أوامر التوريد'!$I$5:$I$304,MATCH(C221,'أوامر التوريد'!$A$5:$A$304,0)),""))</f>
        <v/>
      </c>
      <c r="I221" s="40" t="n"/>
      <c r="J221" s="41" t="n"/>
      <c r="K221" s="41" t="n"/>
      <c r="L221" s="46">
        <f>IF(J221="","",J221-K221)</f>
        <v/>
      </c>
      <c r="M221" s="49">
        <f>IF(J221="","",IF(K221=0,"مرفوض",IF(K221&lt;J221,"مقبول جزئياً","مقبول")))</f>
        <v/>
      </c>
      <c r="N221" s="40" t="n"/>
      <c r="O221" s="40" t="n"/>
    </row>
    <row r="222">
      <c r="A222" s="39">
        <f>IF(C222="","","MIR-"&amp;TEXT(ROW()-4,"0000"))</f>
        <v/>
      </c>
      <c r="B222" s="47" t="n"/>
      <c r="C222" s="40" t="n"/>
      <c r="D222" s="39">
        <f>IF(C222="","",IFERROR(INDEX('أوامر التوريد'!$C$5:$C$304,MATCH(C222,'أوامر التوريد'!$A$5:$A$304,0)),""))</f>
        <v/>
      </c>
      <c r="E222" s="49">
        <f>IF(C222="","",IFERROR(INDEX('أوامر التوريد'!$E$5:$E$304,MATCH(C222,'أوامر التوريد'!$A$5:$A$304,0)),""))</f>
        <v/>
      </c>
      <c r="F222" s="39">
        <f>IF(C222="","",IFERROR(INDEX('أوامر التوريد'!$G$5:$G$304,MATCH(C222,'أوامر التوريد'!$A$5:$A$304,0)),""))</f>
        <v/>
      </c>
      <c r="G222" s="49">
        <f>IF(C222="","",IFERROR(INDEX('أوامر التوريد'!$H$5:$H$304,MATCH(C222,'أوامر التوريد'!$A$5:$A$304,0)),""))</f>
        <v/>
      </c>
      <c r="H222" s="39">
        <f>IF(C222="","",IFERROR(INDEX('أوامر التوريد'!$I$5:$I$304,MATCH(C222,'أوامر التوريد'!$A$5:$A$304,0)),""))</f>
        <v/>
      </c>
      <c r="I222" s="40" t="n"/>
      <c r="J222" s="41" t="n"/>
      <c r="K222" s="41" t="n"/>
      <c r="L222" s="46">
        <f>IF(J222="","",J222-K222)</f>
        <v/>
      </c>
      <c r="M222" s="49">
        <f>IF(J222="","",IF(K222=0,"مرفوض",IF(K222&lt;J222,"مقبول جزئياً","مقبول")))</f>
        <v/>
      </c>
      <c r="N222" s="40" t="n"/>
      <c r="O222" s="40" t="n"/>
    </row>
    <row r="223">
      <c r="A223" s="39">
        <f>IF(C223="","","MIR-"&amp;TEXT(ROW()-4,"0000"))</f>
        <v/>
      </c>
      <c r="B223" s="47" t="n"/>
      <c r="C223" s="40" t="n"/>
      <c r="D223" s="39">
        <f>IF(C223="","",IFERROR(INDEX('أوامر التوريد'!$C$5:$C$304,MATCH(C223,'أوامر التوريد'!$A$5:$A$304,0)),""))</f>
        <v/>
      </c>
      <c r="E223" s="49">
        <f>IF(C223="","",IFERROR(INDEX('أوامر التوريد'!$E$5:$E$304,MATCH(C223,'أوامر التوريد'!$A$5:$A$304,0)),""))</f>
        <v/>
      </c>
      <c r="F223" s="39">
        <f>IF(C223="","",IFERROR(INDEX('أوامر التوريد'!$G$5:$G$304,MATCH(C223,'أوامر التوريد'!$A$5:$A$304,0)),""))</f>
        <v/>
      </c>
      <c r="G223" s="49">
        <f>IF(C223="","",IFERROR(INDEX('أوامر التوريد'!$H$5:$H$304,MATCH(C223,'أوامر التوريد'!$A$5:$A$304,0)),""))</f>
        <v/>
      </c>
      <c r="H223" s="39">
        <f>IF(C223="","",IFERROR(INDEX('أوامر التوريد'!$I$5:$I$304,MATCH(C223,'أوامر التوريد'!$A$5:$A$304,0)),""))</f>
        <v/>
      </c>
      <c r="I223" s="40" t="n"/>
      <c r="J223" s="41" t="n"/>
      <c r="K223" s="41" t="n"/>
      <c r="L223" s="46">
        <f>IF(J223="","",J223-K223)</f>
        <v/>
      </c>
      <c r="M223" s="49">
        <f>IF(J223="","",IF(K223=0,"مرفوض",IF(K223&lt;J223,"مقبول جزئياً","مقبول")))</f>
        <v/>
      </c>
      <c r="N223" s="40" t="n"/>
      <c r="O223" s="40" t="n"/>
    </row>
    <row r="224">
      <c r="A224" s="39">
        <f>IF(C224="","","MIR-"&amp;TEXT(ROW()-4,"0000"))</f>
        <v/>
      </c>
      <c r="B224" s="47" t="n"/>
      <c r="C224" s="40" t="n"/>
      <c r="D224" s="39">
        <f>IF(C224="","",IFERROR(INDEX('أوامر التوريد'!$C$5:$C$304,MATCH(C224,'أوامر التوريد'!$A$5:$A$304,0)),""))</f>
        <v/>
      </c>
      <c r="E224" s="49">
        <f>IF(C224="","",IFERROR(INDEX('أوامر التوريد'!$E$5:$E$304,MATCH(C224,'أوامر التوريد'!$A$5:$A$304,0)),""))</f>
        <v/>
      </c>
      <c r="F224" s="39">
        <f>IF(C224="","",IFERROR(INDEX('أوامر التوريد'!$G$5:$G$304,MATCH(C224,'أوامر التوريد'!$A$5:$A$304,0)),""))</f>
        <v/>
      </c>
      <c r="G224" s="49">
        <f>IF(C224="","",IFERROR(INDEX('أوامر التوريد'!$H$5:$H$304,MATCH(C224,'أوامر التوريد'!$A$5:$A$304,0)),""))</f>
        <v/>
      </c>
      <c r="H224" s="39">
        <f>IF(C224="","",IFERROR(INDEX('أوامر التوريد'!$I$5:$I$304,MATCH(C224,'أوامر التوريد'!$A$5:$A$304,0)),""))</f>
        <v/>
      </c>
      <c r="I224" s="40" t="n"/>
      <c r="J224" s="41" t="n"/>
      <c r="K224" s="41" t="n"/>
      <c r="L224" s="46">
        <f>IF(J224="","",J224-K224)</f>
        <v/>
      </c>
      <c r="M224" s="49">
        <f>IF(J224="","",IF(K224=0,"مرفوض",IF(K224&lt;J224,"مقبول جزئياً","مقبول")))</f>
        <v/>
      </c>
      <c r="N224" s="40" t="n"/>
      <c r="O224" s="40" t="n"/>
    </row>
    <row r="225">
      <c r="A225" s="39">
        <f>IF(C225="","","MIR-"&amp;TEXT(ROW()-4,"0000"))</f>
        <v/>
      </c>
      <c r="B225" s="47" t="n"/>
      <c r="C225" s="40" t="n"/>
      <c r="D225" s="39">
        <f>IF(C225="","",IFERROR(INDEX('أوامر التوريد'!$C$5:$C$304,MATCH(C225,'أوامر التوريد'!$A$5:$A$304,0)),""))</f>
        <v/>
      </c>
      <c r="E225" s="49">
        <f>IF(C225="","",IFERROR(INDEX('أوامر التوريد'!$E$5:$E$304,MATCH(C225,'أوامر التوريد'!$A$5:$A$304,0)),""))</f>
        <v/>
      </c>
      <c r="F225" s="39">
        <f>IF(C225="","",IFERROR(INDEX('أوامر التوريد'!$G$5:$G$304,MATCH(C225,'أوامر التوريد'!$A$5:$A$304,0)),""))</f>
        <v/>
      </c>
      <c r="G225" s="49">
        <f>IF(C225="","",IFERROR(INDEX('أوامر التوريد'!$H$5:$H$304,MATCH(C225,'أوامر التوريد'!$A$5:$A$304,0)),""))</f>
        <v/>
      </c>
      <c r="H225" s="39">
        <f>IF(C225="","",IFERROR(INDEX('أوامر التوريد'!$I$5:$I$304,MATCH(C225,'أوامر التوريد'!$A$5:$A$304,0)),""))</f>
        <v/>
      </c>
      <c r="I225" s="40" t="n"/>
      <c r="J225" s="41" t="n"/>
      <c r="K225" s="41" t="n"/>
      <c r="L225" s="46">
        <f>IF(J225="","",J225-K225)</f>
        <v/>
      </c>
      <c r="M225" s="49">
        <f>IF(J225="","",IF(K225=0,"مرفوض",IF(K225&lt;J225,"مقبول جزئياً","مقبول")))</f>
        <v/>
      </c>
      <c r="N225" s="40" t="n"/>
      <c r="O225" s="40" t="n"/>
    </row>
    <row r="226">
      <c r="A226" s="39">
        <f>IF(C226="","","MIR-"&amp;TEXT(ROW()-4,"0000"))</f>
        <v/>
      </c>
      <c r="B226" s="47" t="n"/>
      <c r="C226" s="40" t="n"/>
      <c r="D226" s="39">
        <f>IF(C226="","",IFERROR(INDEX('أوامر التوريد'!$C$5:$C$304,MATCH(C226,'أوامر التوريد'!$A$5:$A$304,0)),""))</f>
        <v/>
      </c>
      <c r="E226" s="49">
        <f>IF(C226="","",IFERROR(INDEX('أوامر التوريد'!$E$5:$E$304,MATCH(C226,'أوامر التوريد'!$A$5:$A$304,0)),""))</f>
        <v/>
      </c>
      <c r="F226" s="39">
        <f>IF(C226="","",IFERROR(INDEX('أوامر التوريد'!$G$5:$G$304,MATCH(C226,'أوامر التوريد'!$A$5:$A$304,0)),""))</f>
        <v/>
      </c>
      <c r="G226" s="49">
        <f>IF(C226="","",IFERROR(INDEX('أوامر التوريد'!$H$5:$H$304,MATCH(C226,'أوامر التوريد'!$A$5:$A$304,0)),""))</f>
        <v/>
      </c>
      <c r="H226" s="39">
        <f>IF(C226="","",IFERROR(INDEX('أوامر التوريد'!$I$5:$I$304,MATCH(C226,'أوامر التوريد'!$A$5:$A$304,0)),""))</f>
        <v/>
      </c>
      <c r="I226" s="40" t="n"/>
      <c r="J226" s="41" t="n"/>
      <c r="K226" s="41" t="n"/>
      <c r="L226" s="46">
        <f>IF(J226="","",J226-K226)</f>
        <v/>
      </c>
      <c r="M226" s="49">
        <f>IF(J226="","",IF(K226=0,"مرفوض",IF(K226&lt;J226,"مقبول جزئياً","مقبول")))</f>
        <v/>
      </c>
      <c r="N226" s="40" t="n"/>
      <c r="O226" s="40" t="n"/>
    </row>
    <row r="227">
      <c r="A227" s="39">
        <f>IF(C227="","","MIR-"&amp;TEXT(ROW()-4,"0000"))</f>
        <v/>
      </c>
      <c r="B227" s="47" t="n"/>
      <c r="C227" s="40" t="n"/>
      <c r="D227" s="39">
        <f>IF(C227="","",IFERROR(INDEX('أوامر التوريد'!$C$5:$C$304,MATCH(C227,'أوامر التوريد'!$A$5:$A$304,0)),""))</f>
        <v/>
      </c>
      <c r="E227" s="49">
        <f>IF(C227="","",IFERROR(INDEX('أوامر التوريد'!$E$5:$E$304,MATCH(C227,'أوامر التوريد'!$A$5:$A$304,0)),""))</f>
        <v/>
      </c>
      <c r="F227" s="39">
        <f>IF(C227="","",IFERROR(INDEX('أوامر التوريد'!$G$5:$G$304,MATCH(C227,'أوامر التوريد'!$A$5:$A$304,0)),""))</f>
        <v/>
      </c>
      <c r="G227" s="49">
        <f>IF(C227="","",IFERROR(INDEX('أوامر التوريد'!$H$5:$H$304,MATCH(C227,'أوامر التوريد'!$A$5:$A$304,0)),""))</f>
        <v/>
      </c>
      <c r="H227" s="39">
        <f>IF(C227="","",IFERROR(INDEX('أوامر التوريد'!$I$5:$I$304,MATCH(C227,'أوامر التوريد'!$A$5:$A$304,0)),""))</f>
        <v/>
      </c>
      <c r="I227" s="40" t="n"/>
      <c r="J227" s="41" t="n"/>
      <c r="K227" s="41" t="n"/>
      <c r="L227" s="46">
        <f>IF(J227="","",J227-K227)</f>
        <v/>
      </c>
      <c r="M227" s="49">
        <f>IF(J227="","",IF(K227=0,"مرفوض",IF(K227&lt;J227,"مقبول جزئياً","مقبول")))</f>
        <v/>
      </c>
      <c r="N227" s="40" t="n"/>
      <c r="O227" s="40" t="n"/>
    </row>
    <row r="228">
      <c r="A228" s="39">
        <f>IF(C228="","","MIR-"&amp;TEXT(ROW()-4,"0000"))</f>
        <v/>
      </c>
      <c r="B228" s="47" t="n"/>
      <c r="C228" s="40" t="n"/>
      <c r="D228" s="39">
        <f>IF(C228="","",IFERROR(INDEX('أوامر التوريد'!$C$5:$C$304,MATCH(C228,'أوامر التوريد'!$A$5:$A$304,0)),""))</f>
        <v/>
      </c>
      <c r="E228" s="49">
        <f>IF(C228="","",IFERROR(INDEX('أوامر التوريد'!$E$5:$E$304,MATCH(C228,'أوامر التوريد'!$A$5:$A$304,0)),""))</f>
        <v/>
      </c>
      <c r="F228" s="39">
        <f>IF(C228="","",IFERROR(INDEX('أوامر التوريد'!$G$5:$G$304,MATCH(C228,'أوامر التوريد'!$A$5:$A$304,0)),""))</f>
        <v/>
      </c>
      <c r="G228" s="49">
        <f>IF(C228="","",IFERROR(INDEX('أوامر التوريد'!$H$5:$H$304,MATCH(C228,'أوامر التوريد'!$A$5:$A$304,0)),""))</f>
        <v/>
      </c>
      <c r="H228" s="39">
        <f>IF(C228="","",IFERROR(INDEX('أوامر التوريد'!$I$5:$I$304,MATCH(C228,'أوامر التوريد'!$A$5:$A$304,0)),""))</f>
        <v/>
      </c>
      <c r="I228" s="40" t="n"/>
      <c r="J228" s="41" t="n"/>
      <c r="K228" s="41" t="n"/>
      <c r="L228" s="46">
        <f>IF(J228="","",J228-K228)</f>
        <v/>
      </c>
      <c r="M228" s="49">
        <f>IF(J228="","",IF(K228=0,"مرفوض",IF(K228&lt;J228,"مقبول جزئياً","مقبول")))</f>
        <v/>
      </c>
      <c r="N228" s="40" t="n"/>
      <c r="O228" s="40" t="n"/>
    </row>
    <row r="229">
      <c r="A229" s="39">
        <f>IF(C229="","","MIR-"&amp;TEXT(ROW()-4,"0000"))</f>
        <v/>
      </c>
      <c r="B229" s="47" t="n"/>
      <c r="C229" s="40" t="n"/>
      <c r="D229" s="39">
        <f>IF(C229="","",IFERROR(INDEX('أوامر التوريد'!$C$5:$C$304,MATCH(C229,'أوامر التوريد'!$A$5:$A$304,0)),""))</f>
        <v/>
      </c>
      <c r="E229" s="49">
        <f>IF(C229="","",IFERROR(INDEX('أوامر التوريد'!$E$5:$E$304,MATCH(C229,'أوامر التوريد'!$A$5:$A$304,0)),""))</f>
        <v/>
      </c>
      <c r="F229" s="39">
        <f>IF(C229="","",IFERROR(INDEX('أوامر التوريد'!$G$5:$G$304,MATCH(C229,'أوامر التوريد'!$A$5:$A$304,0)),""))</f>
        <v/>
      </c>
      <c r="G229" s="49">
        <f>IF(C229="","",IFERROR(INDEX('أوامر التوريد'!$H$5:$H$304,MATCH(C229,'أوامر التوريد'!$A$5:$A$304,0)),""))</f>
        <v/>
      </c>
      <c r="H229" s="39">
        <f>IF(C229="","",IFERROR(INDEX('أوامر التوريد'!$I$5:$I$304,MATCH(C229,'أوامر التوريد'!$A$5:$A$304,0)),""))</f>
        <v/>
      </c>
      <c r="I229" s="40" t="n"/>
      <c r="J229" s="41" t="n"/>
      <c r="K229" s="41" t="n"/>
      <c r="L229" s="46">
        <f>IF(J229="","",J229-K229)</f>
        <v/>
      </c>
      <c r="M229" s="49">
        <f>IF(J229="","",IF(K229=0,"مرفوض",IF(K229&lt;J229,"مقبول جزئياً","مقبول")))</f>
        <v/>
      </c>
      <c r="N229" s="40" t="n"/>
      <c r="O229" s="40" t="n"/>
    </row>
    <row r="230">
      <c r="A230" s="39">
        <f>IF(C230="","","MIR-"&amp;TEXT(ROW()-4,"0000"))</f>
        <v/>
      </c>
      <c r="B230" s="47" t="n"/>
      <c r="C230" s="40" t="n"/>
      <c r="D230" s="39">
        <f>IF(C230="","",IFERROR(INDEX('أوامر التوريد'!$C$5:$C$304,MATCH(C230,'أوامر التوريد'!$A$5:$A$304,0)),""))</f>
        <v/>
      </c>
      <c r="E230" s="49">
        <f>IF(C230="","",IFERROR(INDEX('أوامر التوريد'!$E$5:$E$304,MATCH(C230,'أوامر التوريد'!$A$5:$A$304,0)),""))</f>
        <v/>
      </c>
      <c r="F230" s="39">
        <f>IF(C230="","",IFERROR(INDEX('أوامر التوريد'!$G$5:$G$304,MATCH(C230,'أوامر التوريد'!$A$5:$A$304,0)),""))</f>
        <v/>
      </c>
      <c r="G230" s="49">
        <f>IF(C230="","",IFERROR(INDEX('أوامر التوريد'!$H$5:$H$304,MATCH(C230,'أوامر التوريد'!$A$5:$A$304,0)),""))</f>
        <v/>
      </c>
      <c r="H230" s="39">
        <f>IF(C230="","",IFERROR(INDEX('أوامر التوريد'!$I$5:$I$304,MATCH(C230,'أوامر التوريد'!$A$5:$A$304,0)),""))</f>
        <v/>
      </c>
      <c r="I230" s="40" t="n"/>
      <c r="J230" s="41" t="n"/>
      <c r="K230" s="41" t="n"/>
      <c r="L230" s="46">
        <f>IF(J230="","",J230-K230)</f>
        <v/>
      </c>
      <c r="M230" s="49">
        <f>IF(J230="","",IF(K230=0,"مرفوض",IF(K230&lt;J230,"مقبول جزئياً","مقبول")))</f>
        <v/>
      </c>
      <c r="N230" s="40" t="n"/>
      <c r="O230" s="40" t="n"/>
    </row>
    <row r="231">
      <c r="A231" s="39">
        <f>IF(C231="","","MIR-"&amp;TEXT(ROW()-4,"0000"))</f>
        <v/>
      </c>
      <c r="B231" s="47" t="n"/>
      <c r="C231" s="40" t="n"/>
      <c r="D231" s="39">
        <f>IF(C231="","",IFERROR(INDEX('أوامر التوريد'!$C$5:$C$304,MATCH(C231,'أوامر التوريد'!$A$5:$A$304,0)),""))</f>
        <v/>
      </c>
      <c r="E231" s="49">
        <f>IF(C231="","",IFERROR(INDEX('أوامر التوريد'!$E$5:$E$304,MATCH(C231,'أوامر التوريد'!$A$5:$A$304,0)),""))</f>
        <v/>
      </c>
      <c r="F231" s="39">
        <f>IF(C231="","",IFERROR(INDEX('أوامر التوريد'!$G$5:$G$304,MATCH(C231,'أوامر التوريد'!$A$5:$A$304,0)),""))</f>
        <v/>
      </c>
      <c r="G231" s="49">
        <f>IF(C231="","",IFERROR(INDEX('أوامر التوريد'!$H$5:$H$304,MATCH(C231,'أوامر التوريد'!$A$5:$A$304,0)),""))</f>
        <v/>
      </c>
      <c r="H231" s="39">
        <f>IF(C231="","",IFERROR(INDEX('أوامر التوريد'!$I$5:$I$304,MATCH(C231,'أوامر التوريد'!$A$5:$A$304,0)),""))</f>
        <v/>
      </c>
      <c r="I231" s="40" t="n"/>
      <c r="J231" s="41" t="n"/>
      <c r="K231" s="41" t="n"/>
      <c r="L231" s="46">
        <f>IF(J231="","",J231-K231)</f>
        <v/>
      </c>
      <c r="M231" s="49">
        <f>IF(J231="","",IF(K231=0,"مرفوض",IF(K231&lt;J231,"مقبول جزئياً","مقبول")))</f>
        <v/>
      </c>
      <c r="N231" s="40" t="n"/>
      <c r="O231" s="40" t="n"/>
    </row>
    <row r="232">
      <c r="A232" s="39">
        <f>IF(C232="","","MIR-"&amp;TEXT(ROW()-4,"0000"))</f>
        <v/>
      </c>
      <c r="B232" s="47" t="n"/>
      <c r="C232" s="40" t="n"/>
      <c r="D232" s="39">
        <f>IF(C232="","",IFERROR(INDEX('أوامر التوريد'!$C$5:$C$304,MATCH(C232,'أوامر التوريد'!$A$5:$A$304,0)),""))</f>
        <v/>
      </c>
      <c r="E232" s="49">
        <f>IF(C232="","",IFERROR(INDEX('أوامر التوريد'!$E$5:$E$304,MATCH(C232,'أوامر التوريد'!$A$5:$A$304,0)),""))</f>
        <v/>
      </c>
      <c r="F232" s="39">
        <f>IF(C232="","",IFERROR(INDEX('أوامر التوريد'!$G$5:$G$304,MATCH(C232,'أوامر التوريد'!$A$5:$A$304,0)),""))</f>
        <v/>
      </c>
      <c r="G232" s="49">
        <f>IF(C232="","",IFERROR(INDEX('أوامر التوريد'!$H$5:$H$304,MATCH(C232,'أوامر التوريد'!$A$5:$A$304,0)),""))</f>
        <v/>
      </c>
      <c r="H232" s="39">
        <f>IF(C232="","",IFERROR(INDEX('أوامر التوريد'!$I$5:$I$304,MATCH(C232,'أوامر التوريد'!$A$5:$A$304,0)),""))</f>
        <v/>
      </c>
      <c r="I232" s="40" t="n"/>
      <c r="J232" s="41" t="n"/>
      <c r="K232" s="41" t="n"/>
      <c r="L232" s="46">
        <f>IF(J232="","",J232-K232)</f>
        <v/>
      </c>
      <c r="M232" s="49">
        <f>IF(J232="","",IF(K232=0,"مرفوض",IF(K232&lt;J232,"مقبول جزئياً","مقبول")))</f>
        <v/>
      </c>
      <c r="N232" s="40" t="n"/>
      <c r="O232" s="40" t="n"/>
    </row>
    <row r="233">
      <c r="A233" s="39">
        <f>IF(C233="","","MIR-"&amp;TEXT(ROW()-4,"0000"))</f>
        <v/>
      </c>
      <c r="B233" s="47" t="n"/>
      <c r="C233" s="40" t="n"/>
      <c r="D233" s="39">
        <f>IF(C233="","",IFERROR(INDEX('أوامر التوريد'!$C$5:$C$304,MATCH(C233,'أوامر التوريد'!$A$5:$A$304,0)),""))</f>
        <v/>
      </c>
      <c r="E233" s="49">
        <f>IF(C233="","",IFERROR(INDEX('أوامر التوريد'!$E$5:$E$304,MATCH(C233,'أوامر التوريد'!$A$5:$A$304,0)),""))</f>
        <v/>
      </c>
      <c r="F233" s="39">
        <f>IF(C233="","",IFERROR(INDEX('أوامر التوريد'!$G$5:$G$304,MATCH(C233,'أوامر التوريد'!$A$5:$A$304,0)),""))</f>
        <v/>
      </c>
      <c r="G233" s="49">
        <f>IF(C233="","",IFERROR(INDEX('أوامر التوريد'!$H$5:$H$304,MATCH(C233,'أوامر التوريد'!$A$5:$A$304,0)),""))</f>
        <v/>
      </c>
      <c r="H233" s="39">
        <f>IF(C233="","",IFERROR(INDEX('أوامر التوريد'!$I$5:$I$304,MATCH(C233,'أوامر التوريد'!$A$5:$A$304,0)),""))</f>
        <v/>
      </c>
      <c r="I233" s="40" t="n"/>
      <c r="J233" s="41" t="n"/>
      <c r="K233" s="41" t="n"/>
      <c r="L233" s="46">
        <f>IF(J233="","",J233-K233)</f>
        <v/>
      </c>
      <c r="M233" s="49">
        <f>IF(J233="","",IF(K233=0,"مرفوض",IF(K233&lt;J233,"مقبول جزئياً","مقبول")))</f>
        <v/>
      </c>
      <c r="N233" s="40" t="n"/>
      <c r="O233" s="40" t="n"/>
    </row>
    <row r="234">
      <c r="A234" s="39">
        <f>IF(C234="","","MIR-"&amp;TEXT(ROW()-4,"0000"))</f>
        <v/>
      </c>
      <c r="B234" s="47" t="n"/>
      <c r="C234" s="40" t="n"/>
      <c r="D234" s="39">
        <f>IF(C234="","",IFERROR(INDEX('أوامر التوريد'!$C$5:$C$304,MATCH(C234,'أوامر التوريد'!$A$5:$A$304,0)),""))</f>
        <v/>
      </c>
      <c r="E234" s="49">
        <f>IF(C234="","",IFERROR(INDEX('أوامر التوريد'!$E$5:$E$304,MATCH(C234,'أوامر التوريد'!$A$5:$A$304,0)),""))</f>
        <v/>
      </c>
      <c r="F234" s="39">
        <f>IF(C234="","",IFERROR(INDEX('أوامر التوريد'!$G$5:$G$304,MATCH(C234,'أوامر التوريد'!$A$5:$A$304,0)),""))</f>
        <v/>
      </c>
      <c r="G234" s="49">
        <f>IF(C234="","",IFERROR(INDEX('أوامر التوريد'!$H$5:$H$304,MATCH(C234,'أوامر التوريد'!$A$5:$A$304,0)),""))</f>
        <v/>
      </c>
      <c r="H234" s="39">
        <f>IF(C234="","",IFERROR(INDEX('أوامر التوريد'!$I$5:$I$304,MATCH(C234,'أوامر التوريد'!$A$5:$A$304,0)),""))</f>
        <v/>
      </c>
      <c r="I234" s="40" t="n"/>
      <c r="J234" s="41" t="n"/>
      <c r="K234" s="41" t="n"/>
      <c r="L234" s="46">
        <f>IF(J234="","",J234-K234)</f>
        <v/>
      </c>
      <c r="M234" s="49">
        <f>IF(J234="","",IF(K234=0,"مرفوض",IF(K234&lt;J234,"مقبول جزئياً","مقبول")))</f>
        <v/>
      </c>
      <c r="N234" s="40" t="n"/>
      <c r="O234" s="40" t="n"/>
    </row>
    <row r="235">
      <c r="A235" s="39">
        <f>IF(C235="","","MIR-"&amp;TEXT(ROW()-4,"0000"))</f>
        <v/>
      </c>
      <c r="B235" s="47" t="n"/>
      <c r="C235" s="40" t="n"/>
      <c r="D235" s="39">
        <f>IF(C235="","",IFERROR(INDEX('أوامر التوريد'!$C$5:$C$304,MATCH(C235,'أوامر التوريد'!$A$5:$A$304,0)),""))</f>
        <v/>
      </c>
      <c r="E235" s="49">
        <f>IF(C235="","",IFERROR(INDEX('أوامر التوريد'!$E$5:$E$304,MATCH(C235,'أوامر التوريد'!$A$5:$A$304,0)),""))</f>
        <v/>
      </c>
      <c r="F235" s="39">
        <f>IF(C235="","",IFERROR(INDEX('أوامر التوريد'!$G$5:$G$304,MATCH(C235,'أوامر التوريد'!$A$5:$A$304,0)),""))</f>
        <v/>
      </c>
      <c r="G235" s="49">
        <f>IF(C235="","",IFERROR(INDEX('أوامر التوريد'!$H$5:$H$304,MATCH(C235,'أوامر التوريد'!$A$5:$A$304,0)),""))</f>
        <v/>
      </c>
      <c r="H235" s="39">
        <f>IF(C235="","",IFERROR(INDEX('أوامر التوريد'!$I$5:$I$304,MATCH(C235,'أوامر التوريد'!$A$5:$A$304,0)),""))</f>
        <v/>
      </c>
      <c r="I235" s="40" t="n"/>
      <c r="J235" s="41" t="n"/>
      <c r="K235" s="41" t="n"/>
      <c r="L235" s="46">
        <f>IF(J235="","",J235-K235)</f>
        <v/>
      </c>
      <c r="M235" s="49">
        <f>IF(J235="","",IF(K235=0,"مرفوض",IF(K235&lt;J235,"مقبول جزئياً","مقبول")))</f>
        <v/>
      </c>
      <c r="N235" s="40" t="n"/>
      <c r="O235" s="40" t="n"/>
    </row>
    <row r="236">
      <c r="A236" s="39">
        <f>IF(C236="","","MIR-"&amp;TEXT(ROW()-4,"0000"))</f>
        <v/>
      </c>
      <c r="B236" s="47" t="n"/>
      <c r="C236" s="40" t="n"/>
      <c r="D236" s="39">
        <f>IF(C236="","",IFERROR(INDEX('أوامر التوريد'!$C$5:$C$304,MATCH(C236,'أوامر التوريد'!$A$5:$A$304,0)),""))</f>
        <v/>
      </c>
      <c r="E236" s="49">
        <f>IF(C236="","",IFERROR(INDEX('أوامر التوريد'!$E$5:$E$304,MATCH(C236,'أوامر التوريد'!$A$5:$A$304,0)),""))</f>
        <v/>
      </c>
      <c r="F236" s="39">
        <f>IF(C236="","",IFERROR(INDEX('أوامر التوريد'!$G$5:$G$304,MATCH(C236,'أوامر التوريد'!$A$5:$A$304,0)),""))</f>
        <v/>
      </c>
      <c r="G236" s="49">
        <f>IF(C236="","",IFERROR(INDEX('أوامر التوريد'!$H$5:$H$304,MATCH(C236,'أوامر التوريد'!$A$5:$A$304,0)),""))</f>
        <v/>
      </c>
      <c r="H236" s="39">
        <f>IF(C236="","",IFERROR(INDEX('أوامر التوريد'!$I$5:$I$304,MATCH(C236,'أوامر التوريد'!$A$5:$A$304,0)),""))</f>
        <v/>
      </c>
      <c r="I236" s="40" t="n"/>
      <c r="J236" s="41" t="n"/>
      <c r="K236" s="41" t="n"/>
      <c r="L236" s="46">
        <f>IF(J236="","",J236-K236)</f>
        <v/>
      </c>
      <c r="M236" s="49">
        <f>IF(J236="","",IF(K236=0,"مرفوض",IF(K236&lt;J236,"مقبول جزئياً","مقبول")))</f>
        <v/>
      </c>
      <c r="N236" s="40" t="n"/>
      <c r="O236" s="40" t="n"/>
    </row>
    <row r="237">
      <c r="A237" s="39">
        <f>IF(C237="","","MIR-"&amp;TEXT(ROW()-4,"0000"))</f>
        <v/>
      </c>
      <c r="B237" s="47" t="n"/>
      <c r="C237" s="40" t="n"/>
      <c r="D237" s="39">
        <f>IF(C237="","",IFERROR(INDEX('أوامر التوريد'!$C$5:$C$304,MATCH(C237,'أوامر التوريد'!$A$5:$A$304,0)),""))</f>
        <v/>
      </c>
      <c r="E237" s="49">
        <f>IF(C237="","",IFERROR(INDEX('أوامر التوريد'!$E$5:$E$304,MATCH(C237,'أوامر التوريد'!$A$5:$A$304,0)),""))</f>
        <v/>
      </c>
      <c r="F237" s="39">
        <f>IF(C237="","",IFERROR(INDEX('أوامر التوريد'!$G$5:$G$304,MATCH(C237,'أوامر التوريد'!$A$5:$A$304,0)),""))</f>
        <v/>
      </c>
      <c r="G237" s="49">
        <f>IF(C237="","",IFERROR(INDEX('أوامر التوريد'!$H$5:$H$304,MATCH(C237,'أوامر التوريد'!$A$5:$A$304,0)),""))</f>
        <v/>
      </c>
      <c r="H237" s="39">
        <f>IF(C237="","",IFERROR(INDEX('أوامر التوريد'!$I$5:$I$304,MATCH(C237,'أوامر التوريد'!$A$5:$A$304,0)),""))</f>
        <v/>
      </c>
      <c r="I237" s="40" t="n"/>
      <c r="J237" s="41" t="n"/>
      <c r="K237" s="41" t="n"/>
      <c r="L237" s="46">
        <f>IF(J237="","",J237-K237)</f>
        <v/>
      </c>
      <c r="M237" s="49">
        <f>IF(J237="","",IF(K237=0,"مرفوض",IF(K237&lt;J237,"مقبول جزئياً","مقبول")))</f>
        <v/>
      </c>
      <c r="N237" s="40" t="n"/>
      <c r="O237" s="40" t="n"/>
    </row>
    <row r="238">
      <c r="A238" s="39">
        <f>IF(C238="","","MIR-"&amp;TEXT(ROW()-4,"0000"))</f>
        <v/>
      </c>
      <c r="B238" s="47" t="n"/>
      <c r="C238" s="40" t="n"/>
      <c r="D238" s="39">
        <f>IF(C238="","",IFERROR(INDEX('أوامر التوريد'!$C$5:$C$304,MATCH(C238,'أوامر التوريد'!$A$5:$A$304,0)),""))</f>
        <v/>
      </c>
      <c r="E238" s="49">
        <f>IF(C238="","",IFERROR(INDEX('أوامر التوريد'!$E$5:$E$304,MATCH(C238,'أوامر التوريد'!$A$5:$A$304,0)),""))</f>
        <v/>
      </c>
      <c r="F238" s="39">
        <f>IF(C238="","",IFERROR(INDEX('أوامر التوريد'!$G$5:$G$304,MATCH(C238,'أوامر التوريد'!$A$5:$A$304,0)),""))</f>
        <v/>
      </c>
      <c r="G238" s="49">
        <f>IF(C238="","",IFERROR(INDEX('أوامر التوريد'!$H$5:$H$304,MATCH(C238,'أوامر التوريد'!$A$5:$A$304,0)),""))</f>
        <v/>
      </c>
      <c r="H238" s="39">
        <f>IF(C238="","",IFERROR(INDEX('أوامر التوريد'!$I$5:$I$304,MATCH(C238,'أوامر التوريد'!$A$5:$A$304,0)),""))</f>
        <v/>
      </c>
      <c r="I238" s="40" t="n"/>
      <c r="J238" s="41" t="n"/>
      <c r="K238" s="41" t="n"/>
      <c r="L238" s="46">
        <f>IF(J238="","",J238-K238)</f>
        <v/>
      </c>
      <c r="M238" s="49">
        <f>IF(J238="","",IF(K238=0,"مرفوض",IF(K238&lt;J238,"مقبول جزئياً","مقبول")))</f>
        <v/>
      </c>
      <c r="N238" s="40" t="n"/>
      <c r="O238" s="40" t="n"/>
    </row>
    <row r="239">
      <c r="A239" s="39">
        <f>IF(C239="","","MIR-"&amp;TEXT(ROW()-4,"0000"))</f>
        <v/>
      </c>
      <c r="B239" s="47" t="n"/>
      <c r="C239" s="40" t="n"/>
      <c r="D239" s="39">
        <f>IF(C239="","",IFERROR(INDEX('أوامر التوريد'!$C$5:$C$304,MATCH(C239,'أوامر التوريد'!$A$5:$A$304,0)),""))</f>
        <v/>
      </c>
      <c r="E239" s="49">
        <f>IF(C239="","",IFERROR(INDEX('أوامر التوريد'!$E$5:$E$304,MATCH(C239,'أوامر التوريد'!$A$5:$A$304,0)),""))</f>
        <v/>
      </c>
      <c r="F239" s="39">
        <f>IF(C239="","",IFERROR(INDEX('أوامر التوريد'!$G$5:$G$304,MATCH(C239,'أوامر التوريد'!$A$5:$A$304,0)),""))</f>
        <v/>
      </c>
      <c r="G239" s="49">
        <f>IF(C239="","",IFERROR(INDEX('أوامر التوريد'!$H$5:$H$304,MATCH(C239,'أوامر التوريد'!$A$5:$A$304,0)),""))</f>
        <v/>
      </c>
      <c r="H239" s="39">
        <f>IF(C239="","",IFERROR(INDEX('أوامر التوريد'!$I$5:$I$304,MATCH(C239,'أوامر التوريد'!$A$5:$A$304,0)),""))</f>
        <v/>
      </c>
      <c r="I239" s="40" t="n"/>
      <c r="J239" s="41" t="n"/>
      <c r="K239" s="41" t="n"/>
      <c r="L239" s="46">
        <f>IF(J239="","",J239-K239)</f>
        <v/>
      </c>
      <c r="M239" s="49">
        <f>IF(J239="","",IF(K239=0,"مرفوض",IF(K239&lt;J239,"مقبول جزئياً","مقبول")))</f>
        <v/>
      </c>
      <c r="N239" s="40" t="n"/>
      <c r="O239" s="40" t="n"/>
    </row>
    <row r="240">
      <c r="A240" s="39">
        <f>IF(C240="","","MIR-"&amp;TEXT(ROW()-4,"0000"))</f>
        <v/>
      </c>
      <c r="B240" s="47" t="n"/>
      <c r="C240" s="40" t="n"/>
      <c r="D240" s="39">
        <f>IF(C240="","",IFERROR(INDEX('أوامر التوريد'!$C$5:$C$304,MATCH(C240,'أوامر التوريد'!$A$5:$A$304,0)),""))</f>
        <v/>
      </c>
      <c r="E240" s="49">
        <f>IF(C240="","",IFERROR(INDEX('أوامر التوريد'!$E$5:$E$304,MATCH(C240,'أوامر التوريد'!$A$5:$A$304,0)),""))</f>
        <v/>
      </c>
      <c r="F240" s="39">
        <f>IF(C240="","",IFERROR(INDEX('أوامر التوريد'!$G$5:$G$304,MATCH(C240,'أوامر التوريد'!$A$5:$A$304,0)),""))</f>
        <v/>
      </c>
      <c r="G240" s="49">
        <f>IF(C240="","",IFERROR(INDEX('أوامر التوريد'!$H$5:$H$304,MATCH(C240,'أوامر التوريد'!$A$5:$A$304,0)),""))</f>
        <v/>
      </c>
      <c r="H240" s="39">
        <f>IF(C240="","",IFERROR(INDEX('أوامر التوريد'!$I$5:$I$304,MATCH(C240,'أوامر التوريد'!$A$5:$A$304,0)),""))</f>
        <v/>
      </c>
      <c r="I240" s="40" t="n"/>
      <c r="J240" s="41" t="n"/>
      <c r="K240" s="41" t="n"/>
      <c r="L240" s="46">
        <f>IF(J240="","",J240-K240)</f>
        <v/>
      </c>
      <c r="M240" s="49">
        <f>IF(J240="","",IF(K240=0,"مرفوض",IF(K240&lt;J240,"مقبول جزئياً","مقبول")))</f>
        <v/>
      </c>
      <c r="N240" s="40" t="n"/>
      <c r="O240" s="40" t="n"/>
    </row>
    <row r="241">
      <c r="A241" s="39">
        <f>IF(C241="","","MIR-"&amp;TEXT(ROW()-4,"0000"))</f>
        <v/>
      </c>
      <c r="B241" s="47" t="n"/>
      <c r="C241" s="40" t="n"/>
      <c r="D241" s="39">
        <f>IF(C241="","",IFERROR(INDEX('أوامر التوريد'!$C$5:$C$304,MATCH(C241,'أوامر التوريد'!$A$5:$A$304,0)),""))</f>
        <v/>
      </c>
      <c r="E241" s="49">
        <f>IF(C241="","",IFERROR(INDEX('أوامر التوريد'!$E$5:$E$304,MATCH(C241,'أوامر التوريد'!$A$5:$A$304,0)),""))</f>
        <v/>
      </c>
      <c r="F241" s="39">
        <f>IF(C241="","",IFERROR(INDEX('أوامر التوريد'!$G$5:$G$304,MATCH(C241,'أوامر التوريد'!$A$5:$A$304,0)),""))</f>
        <v/>
      </c>
      <c r="G241" s="49">
        <f>IF(C241="","",IFERROR(INDEX('أوامر التوريد'!$H$5:$H$304,MATCH(C241,'أوامر التوريد'!$A$5:$A$304,0)),""))</f>
        <v/>
      </c>
      <c r="H241" s="39">
        <f>IF(C241="","",IFERROR(INDEX('أوامر التوريد'!$I$5:$I$304,MATCH(C241,'أوامر التوريد'!$A$5:$A$304,0)),""))</f>
        <v/>
      </c>
      <c r="I241" s="40" t="n"/>
      <c r="J241" s="41" t="n"/>
      <c r="K241" s="41" t="n"/>
      <c r="L241" s="46">
        <f>IF(J241="","",J241-K241)</f>
        <v/>
      </c>
      <c r="M241" s="49">
        <f>IF(J241="","",IF(K241=0,"مرفوض",IF(K241&lt;J241,"مقبول جزئياً","مقبول")))</f>
        <v/>
      </c>
      <c r="N241" s="40" t="n"/>
      <c r="O241" s="40" t="n"/>
    </row>
    <row r="242">
      <c r="A242" s="39">
        <f>IF(C242="","","MIR-"&amp;TEXT(ROW()-4,"0000"))</f>
        <v/>
      </c>
      <c r="B242" s="47" t="n"/>
      <c r="C242" s="40" t="n"/>
      <c r="D242" s="39">
        <f>IF(C242="","",IFERROR(INDEX('أوامر التوريد'!$C$5:$C$304,MATCH(C242,'أوامر التوريد'!$A$5:$A$304,0)),""))</f>
        <v/>
      </c>
      <c r="E242" s="49">
        <f>IF(C242="","",IFERROR(INDEX('أوامر التوريد'!$E$5:$E$304,MATCH(C242,'أوامر التوريد'!$A$5:$A$304,0)),""))</f>
        <v/>
      </c>
      <c r="F242" s="39">
        <f>IF(C242="","",IFERROR(INDEX('أوامر التوريد'!$G$5:$G$304,MATCH(C242,'أوامر التوريد'!$A$5:$A$304,0)),""))</f>
        <v/>
      </c>
      <c r="G242" s="49">
        <f>IF(C242="","",IFERROR(INDEX('أوامر التوريد'!$H$5:$H$304,MATCH(C242,'أوامر التوريد'!$A$5:$A$304,0)),""))</f>
        <v/>
      </c>
      <c r="H242" s="39">
        <f>IF(C242="","",IFERROR(INDEX('أوامر التوريد'!$I$5:$I$304,MATCH(C242,'أوامر التوريد'!$A$5:$A$304,0)),""))</f>
        <v/>
      </c>
      <c r="I242" s="40" t="n"/>
      <c r="J242" s="41" t="n"/>
      <c r="K242" s="41" t="n"/>
      <c r="L242" s="46">
        <f>IF(J242="","",J242-K242)</f>
        <v/>
      </c>
      <c r="M242" s="49">
        <f>IF(J242="","",IF(K242=0,"مرفوض",IF(K242&lt;J242,"مقبول جزئياً","مقبول")))</f>
        <v/>
      </c>
      <c r="N242" s="40" t="n"/>
      <c r="O242" s="40" t="n"/>
    </row>
    <row r="243">
      <c r="A243" s="39">
        <f>IF(C243="","","MIR-"&amp;TEXT(ROW()-4,"0000"))</f>
        <v/>
      </c>
      <c r="B243" s="47" t="n"/>
      <c r="C243" s="40" t="n"/>
      <c r="D243" s="39">
        <f>IF(C243="","",IFERROR(INDEX('أوامر التوريد'!$C$5:$C$304,MATCH(C243,'أوامر التوريد'!$A$5:$A$304,0)),""))</f>
        <v/>
      </c>
      <c r="E243" s="49">
        <f>IF(C243="","",IFERROR(INDEX('أوامر التوريد'!$E$5:$E$304,MATCH(C243,'أوامر التوريد'!$A$5:$A$304,0)),""))</f>
        <v/>
      </c>
      <c r="F243" s="39">
        <f>IF(C243="","",IFERROR(INDEX('أوامر التوريد'!$G$5:$G$304,MATCH(C243,'أوامر التوريد'!$A$5:$A$304,0)),""))</f>
        <v/>
      </c>
      <c r="G243" s="49">
        <f>IF(C243="","",IFERROR(INDEX('أوامر التوريد'!$H$5:$H$304,MATCH(C243,'أوامر التوريد'!$A$5:$A$304,0)),""))</f>
        <v/>
      </c>
      <c r="H243" s="39">
        <f>IF(C243="","",IFERROR(INDEX('أوامر التوريد'!$I$5:$I$304,MATCH(C243,'أوامر التوريد'!$A$5:$A$304,0)),""))</f>
        <v/>
      </c>
      <c r="I243" s="40" t="n"/>
      <c r="J243" s="41" t="n"/>
      <c r="K243" s="41" t="n"/>
      <c r="L243" s="46">
        <f>IF(J243="","",J243-K243)</f>
        <v/>
      </c>
      <c r="M243" s="49">
        <f>IF(J243="","",IF(K243=0,"مرفوض",IF(K243&lt;J243,"مقبول جزئياً","مقبول")))</f>
        <v/>
      </c>
      <c r="N243" s="40" t="n"/>
      <c r="O243" s="40" t="n"/>
    </row>
    <row r="244">
      <c r="A244" s="39">
        <f>IF(C244="","","MIR-"&amp;TEXT(ROW()-4,"0000"))</f>
        <v/>
      </c>
      <c r="B244" s="47" t="n"/>
      <c r="C244" s="40" t="n"/>
      <c r="D244" s="39">
        <f>IF(C244="","",IFERROR(INDEX('أوامر التوريد'!$C$5:$C$304,MATCH(C244,'أوامر التوريد'!$A$5:$A$304,0)),""))</f>
        <v/>
      </c>
      <c r="E244" s="49">
        <f>IF(C244="","",IFERROR(INDEX('أوامر التوريد'!$E$5:$E$304,MATCH(C244,'أوامر التوريد'!$A$5:$A$304,0)),""))</f>
        <v/>
      </c>
      <c r="F244" s="39">
        <f>IF(C244="","",IFERROR(INDEX('أوامر التوريد'!$G$5:$G$304,MATCH(C244,'أوامر التوريد'!$A$5:$A$304,0)),""))</f>
        <v/>
      </c>
      <c r="G244" s="49">
        <f>IF(C244="","",IFERROR(INDEX('أوامر التوريد'!$H$5:$H$304,MATCH(C244,'أوامر التوريد'!$A$5:$A$304,0)),""))</f>
        <v/>
      </c>
      <c r="H244" s="39">
        <f>IF(C244="","",IFERROR(INDEX('أوامر التوريد'!$I$5:$I$304,MATCH(C244,'أوامر التوريد'!$A$5:$A$304,0)),""))</f>
        <v/>
      </c>
      <c r="I244" s="40" t="n"/>
      <c r="J244" s="41" t="n"/>
      <c r="K244" s="41" t="n"/>
      <c r="L244" s="46">
        <f>IF(J244="","",J244-K244)</f>
        <v/>
      </c>
      <c r="M244" s="49">
        <f>IF(J244="","",IF(K244=0,"مرفوض",IF(K244&lt;J244,"مقبول جزئياً","مقبول")))</f>
        <v/>
      </c>
      <c r="N244" s="40" t="n"/>
      <c r="O244" s="40" t="n"/>
    </row>
    <row r="245">
      <c r="A245" s="39">
        <f>IF(C245="","","MIR-"&amp;TEXT(ROW()-4,"0000"))</f>
        <v/>
      </c>
      <c r="B245" s="47" t="n"/>
      <c r="C245" s="40" t="n"/>
      <c r="D245" s="39">
        <f>IF(C245="","",IFERROR(INDEX('أوامر التوريد'!$C$5:$C$304,MATCH(C245,'أوامر التوريد'!$A$5:$A$304,0)),""))</f>
        <v/>
      </c>
      <c r="E245" s="49">
        <f>IF(C245="","",IFERROR(INDEX('أوامر التوريد'!$E$5:$E$304,MATCH(C245,'أوامر التوريد'!$A$5:$A$304,0)),""))</f>
        <v/>
      </c>
      <c r="F245" s="39">
        <f>IF(C245="","",IFERROR(INDEX('أوامر التوريد'!$G$5:$G$304,MATCH(C245,'أوامر التوريد'!$A$5:$A$304,0)),""))</f>
        <v/>
      </c>
      <c r="G245" s="49">
        <f>IF(C245="","",IFERROR(INDEX('أوامر التوريد'!$H$5:$H$304,MATCH(C245,'أوامر التوريد'!$A$5:$A$304,0)),""))</f>
        <v/>
      </c>
      <c r="H245" s="39">
        <f>IF(C245="","",IFERROR(INDEX('أوامر التوريد'!$I$5:$I$304,MATCH(C245,'أوامر التوريد'!$A$5:$A$304,0)),""))</f>
        <v/>
      </c>
      <c r="I245" s="40" t="n"/>
      <c r="J245" s="41" t="n"/>
      <c r="K245" s="41" t="n"/>
      <c r="L245" s="46">
        <f>IF(J245="","",J245-K245)</f>
        <v/>
      </c>
      <c r="M245" s="49">
        <f>IF(J245="","",IF(K245=0,"مرفوض",IF(K245&lt;J245,"مقبول جزئياً","مقبول")))</f>
        <v/>
      </c>
      <c r="N245" s="40" t="n"/>
      <c r="O245" s="40" t="n"/>
    </row>
    <row r="246">
      <c r="A246" s="39">
        <f>IF(C246="","","MIR-"&amp;TEXT(ROW()-4,"0000"))</f>
        <v/>
      </c>
      <c r="B246" s="47" t="n"/>
      <c r="C246" s="40" t="n"/>
      <c r="D246" s="39">
        <f>IF(C246="","",IFERROR(INDEX('أوامر التوريد'!$C$5:$C$304,MATCH(C246,'أوامر التوريد'!$A$5:$A$304,0)),""))</f>
        <v/>
      </c>
      <c r="E246" s="49">
        <f>IF(C246="","",IFERROR(INDEX('أوامر التوريد'!$E$5:$E$304,MATCH(C246,'أوامر التوريد'!$A$5:$A$304,0)),""))</f>
        <v/>
      </c>
      <c r="F246" s="39">
        <f>IF(C246="","",IFERROR(INDEX('أوامر التوريد'!$G$5:$G$304,MATCH(C246,'أوامر التوريد'!$A$5:$A$304,0)),""))</f>
        <v/>
      </c>
      <c r="G246" s="49">
        <f>IF(C246="","",IFERROR(INDEX('أوامر التوريد'!$H$5:$H$304,MATCH(C246,'أوامر التوريد'!$A$5:$A$304,0)),""))</f>
        <v/>
      </c>
      <c r="H246" s="39">
        <f>IF(C246="","",IFERROR(INDEX('أوامر التوريد'!$I$5:$I$304,MATCH(C246,'أوامر التوريد'!$A$5:$A$304,0)),""))</f>
        <v/>
      </c>
      <c r="I246" s="40" t="n"/>
      <c r="J246" s="41" t="n"/>
      <c r="K246" s="41" t="n"/>
      <c r="L246" s="46">
        <f>IF(J246="","",J246-K246)</f>
        <v/>
      </c>
      <c r="M246" s="49">
        <f>IF(J246="","",IF(K246=0,"مرفوض",IF(K246&lt;J246,"مقبول جزئياً","مقبول")))</f>
        <v/>
      </c>
      <c r="N246" s="40" t="n"/>
      <c r="O246" s="40" t="n"/>
    </row>
    <row r="247">
      <c r="A247" s="39">
        <f>IF(C247="","","MIR-"&amp;TEXT(ROW()-4,"0000"))</f>
        <v/>
      </c>
      <c r="B247" s="47" t="n"/>
      <c r="C247" s="40" t="n"/>
      <c r="D247" s="39">
        <f>IF(C247="","",IFERROR(INDEX('أوامر التوريد'!$C$5:$C$304,MATCH(C247,'أوامر التوريد'!$A$5:$A$304,0)),""))</f>
        <v/>
      </c>
      <c r="E247" s="49">
        <f>IF(C247="","",IFERROR(INDEX('أوامر التوريد'!$E$5:$E$304,MATCH(C247,'أوامر التوريد'!$A$5:$A$304,0)),""))</f>
        <v/>
      </c>
      <c r="F247" s="39">
        <f>IF(C247="","",IFERROR(INDEX('أوامر التوريد'!$G$5:$G$304,MATCH(C247,'أوامر التوريد'!$A$5:$A$304,0)),""))</f>
        <v/>
      </c>
      <c r="G247" s="49">
        <f>IF(C247="","",IFERROR(INDEX('أوامر التوريد'!$H$5:$H$304,MATCH(C247,'أوامر التوريد'!$A$5:$A$304,0)),""))</f>
        <v/>
      </c>
      <c r="H247" s="39">
        <f>IF(C247="","",IFERROR(INDEX('أوامر التوريد'!$I$5:$I$304,MATCH(C247,'أوامر التوريد'!$A$5:$A$304,0)),""))</f>
        <v/>
      </c>
      <c r="I247" s="40" t="n"/>
      <c r="J247" s="41" t="n"/>
      <c r="K247" s="41" t="n"/>
      <c r="L247" s="46">
        <f>IF(J247="","",J247-K247)</f>
        <v/>
      </c>
      <c r="M247" s="49">
        <f>IF(J247="","",IF(K247=0,"مرفوض",IF(K247&lt;J247,"مقبول جزئياً","مقبول")))</f>
        <v/>
      </c>
      <c r="N247" s="40" t="n"/>
      <c r="O247" s="40" t="n"/>
    </row>
    <row r="248">
      <c r="A248" s="39">
        <f>IF(C248="","","MIR-"&amp;TEXT(ROW()-4,"0000"))</f>
        <v/>
      </c>
      <c r="B248" s="47" t="n"/>
      <c r="C248" s="40" t="n"/>
      <c r="D248" s="39">
        <f>IF(C248="","",IFERROR(INDEX('أوامر التوريد'!$C$5:$C$304,MATCH(C248,'أوامر التوريد'!$A$5:$A$304,0)),""))</f>
        <v/>
      </c>
      <c r="E248" s="49">
        <f>IF(C248="","",IFERROR(INDEX('أوامر التوريد'!$E$5:$E$304,MATCH(C248,'أوامر التوريد'!$A$5:$A$304,0)),""))</f>
        <v/>
      </c>
      <c r="F248" s="39">
        <f>IF(C248="","",IFERROR(INDEX('أوامر التوريد'!$G$5:$G$304,MATCH(C248,'أوامر التوريد'!$A$5:$A$304,0)),""))</f>
        <v/>
      </c>
      <c r="G248" s="49">
        <f>IF(C248="","",IFERROR(INDEX('أوامر التوريد'!$H$5:$H$304,MATCH(C248,'أوامر التوريد'!$A$5:$A$304,0)),""))</f>
        <v/>
      </c>
      <c r="H248" s="39">
        <f>IF(C248="","",IFERROR(INDEX('أوامر التوريد'!$I$5:$I$304,MATCH(C248,'أوامر التوريد'!$A$5:$A$304,0)),""))</f>
        <v/>
      </c>
      <c r="I248" s="40" t="n"/>
      <c r="J248" s="41" t="n"/>
      <c r="K248" s="41" t="n"/>
      <c r="L248" s="46">
        <f>IF(J248="","",J248-K248)</f>
        <v/>
      </c>
      <c r="M248" s="49">
        <f>IF(J248="","",IF(K248=0,"مرفوض",IF(K248&lt;J248,"مقبول جزئياً","مقبول")))</f>
        <v/>
      </c>
      <c r="N248" s="40" t="n"/>
      <c r="O248" s="40" t="n"/>
    </row>
    <row r="249">
      <c r="A249" s="39">
        <f>IF(C249="","","MIR-"&amp;TEXT(ROW()-4,"0000"))</f>
        <v/>
      </c>
      <c r="B249" s="47" t="n"/>
      <c r="C249" s="40" t="n"/>
      <c r="D249" s="39">
        <f>IF(C249="","",IFERROR(INDEX('أوامر التوريد'!$C$5:$C$304,MATCH(C249,'أوامر التوريد'!$A$5:$A$304,0)),""))</f>
        <v/>
      </c>
      <c r="E249" s="49">
        <f>IF(C249="","",IFERROR(INDEX('أوامر التوريد'!$E$5:$E$304,MATCH(C249,'أوامر التوريد'!$A$5:$A$304,0)),""))</f>
        <v/>
      </c>
      <c r="F249" s="39">
        <f>IF(C249="","",IFERROR(INDEX('أوامر التوريد'!$G$5:$G$304,MATCH(C249,'أوامر التوريد'!$A$5:$A$304,0)),""))</f>
        <v/>
      </c>
      <c r="G249" s="49">
        <f>IF(C249="","",IFERROR(INDEX('أوامر التوريد'!$H$5:$H$304,MATCH(C249,'أوامر التوريد'!$A$5:$A$304,0)),""))</f>
        <v/>
      </c>
      <c r="H249" s="39">
        <f>IF(C249="","",IFERROR(INDEX('أوامر التوريد'!$I$5:$I$304,MATCH(C249,'أوامر التوريد'!$A$5:$A$304,0)),""))</f>
        <v/>
      </c>
      <c r="I249" s="40" t="n"/>
      <c r="J249" s="41" t="n"/>
      <c r="K249" s="41" t="n"/>
      <c r="L249" s="46">
        <f>IF(J249="","",J249-K249)</f>
        <v/>
      </c>
      <c r="M249" s="49">
        <f>IF(J249="","",IF(K249=0,"مرفوض",IF(K249&lt;J249,"مقبول جزئياً","مقبول")))</f>
        <v/>
      </c>
      <c r="N249" s="40" t="n"/>
      <c r="O249" s="40" t="n"/>
    </row>
    <row r="250">
      <c r="A250" s="39">
        <f>IF(C250="","","MIR-"&amp;TEXT(ROW()-4,"0000"))</f>
        <v/>
      </c>
      <c r="B250" s="47" t="n"/>
      <c r="C250" s="40" t="n"/>
      <c r="D250" s="39">
        <f>IF(C250="","",IFERROR(INDEX('أوامر التوريد'!$C$5:$C$304,MATCH(C250,'أوامر التوريد'!$A$5:$A$304,0)),""))</f>
        <v/>
      </c>
      <c r="E250" s="49">
        <f>IF(C250="","",IFERROR(INDEX('أوامر التوريد'!$E$5:$E$304,MATCH(C250,'أوامر التوريد'!$A$5:$A$304,0)),""))</f>
        <v/>
      </c>
      <c r="F250" s="39">
        <f>IF(C250="","",IFERROR(INDEX('أوامر التوريد'!$G$5:$G$304,MATCH(C250,'أوامر التوريد'!$A$5:$A$304,0)),""))</f>
        <v/>
      </c>
      <c r="G250" s="49">
        <f>IF(C250="","",IFERROR(INDEX('أوامر التوريد'!$H$5:$H$304,MATCH(C250,'أوامر التوريد'!$A$5:$A$304,0)),""))</f>
        <v/>
      </c>
      <c r="H250" s="39">
        <f>IF(C250="","",IFERROR(INDEX('أوامر التوريد'!$I$5:$I$304,MATCH(C250,'أوامر التوريد'!$A$5:$A$304,0)),""))</f>
        <v/>
      </c>
      <c r="I250" s="40" t="n"/>
      <c r="J250" s="41" t="n"/>
      <c r="K250" s="41" t="n"/>
      <c r="L250" s="46">
        <f>IF(J250="","",J250-K250)</f>
        <v/>
      </c>
      <c r="M250" s="49">
        <f>IF(J250="","",IF(K250=0,"مرفوض",IF(K250&lt;J250,"مقبول جزئياً","مقبول")))</f>
        <v/>
      </c>
      <c r="N250" s="40" t="n"/>
      <c r="O250" s="40" t="n"/>
    </row>
    <row r="251">
      <c r="A251" s="39">
        <f>IF(C251="","","MIR-"&amp;TEXT(ROW()-4,"0000"))</f>
        <v/>
      </c>
      <c r="B251" s="47" t="n"/>
      <c r="C251" s="40" t="n"/>
      <c r="D251" s="39">
        <f>IF(C251="","",IFERROR(INDEX('أوامر التوريد'!$C$5:$C$304,MATCH(C251,'أوامر التوريد'!$A$5:$A$304,0)),""))</f>
        <v/>
      </c>
      <c r="E251" s="49">
        <f>IF(C251="","",IFERROR(INDEX('أوامر التوريد'!$E$5:$E$304,MATCH(C251,'أوامر التوريد'!$A$5:$A$304,0)),""))</f>
        <v/>
      </c>
      <c r="F251" s="39">
        <f>IF(C251="","",IFERROR(INDEX('أوامر التوريد'!$G$5:$G$304,MATCH(C251,'أوامر التوريد'!$A$5:$A$304,0)),""))</f>
        <v/>
      </c>
      <c r="G251" s="49">
        <f>IF(C251="","",IFERROR(INDEX('أوامر التوريد'!$H$5:$H$304,MATCH(C251,'أوامر التوريد'!$A$5:$A$304,0)),""))</f>
        <v/>
      </c>
      <c r="H251" s="39">
        <f>IF(C251="","",IFERROR(INDEX('أوامر التوريد'!$I$5:$I$304,MATCH(C251,'أوامر التوريد'!$A$5:$A$304,0)),""))</f>
        <v/>
      </c>
      <c r="I251" s="40" t="n"/>
      <c r="J251" s="41" t="n"/>
      <c r="K251" s="41" t="n"/>
      <c r="L251" s="46">
        <f>IF(J251="","",J251-K251)</f>
        <v/>
      </c>
      <c r="M251" s="49">
        <f>IF(J251="","",IF(K251=0,"مرفوض",IF(K251&lt;J251,"مقبول جزئياً","مقبول")))</f>
        <v/>
      </c>
      <c r="N251" s="40" t="n"/>
      <c r="O251" s="40" t="n"/>
    </row>
    <row r="252">
      <c r="A252" s="39">
        <f>IF(C252="","","MIR-"&amp;TEXT(ROW()-4,"0000"))</f>
        <v/>
      </c>
      <c r="B252" s="47" t="n"/>
      <c r="C252" s="40" t="n"/>
      <c r="D252" s="39">
        <f>IF(C252="","",IFERROR(INDEX('أوامر التوريد'!$C$5:$C$304,MATCH(C252,'أوامر التوريد'!$A$5:$A$304,0)),""))</f>
        <v/>
      </c>
      <c r="E252" s="49">
        <f>IF(C252="","",IFERROR(INDEX('أوامر التوريد'!$E$5:$E$304,MATCH(C252,'أوامر التوريد'!$A$5:$A$304,0)),""))</f>
        <v/>
      </c>
      <c r="F252" s="39">
        <f>IF(C252="","",IFERROR(INDEX('أوامر التوريد'!$G$5:$G$304,MATCH(C252,'أوامر التوريد'!$A$5:$A$304,0)),""))</f>
        <v/>
      </c>
      <c r="G252" s="49">
        <f>IF(C252="","",IFERROR(INDEX('أوامر التوريد'!$H$5:$H$304,MATCH(C252,'أوامر التوريد'!$A$5:$A$304,0)),""))</f>
        <v/>
      </c>
      <c r="H252" s="39">
        <f>IF(C252="","",IFERROR(INDEX('أوامر التوريد'!$I$5:$I$304,MATCH(C252,'أوامر التوريد'!$A$5:$A$304,0)),""))</f>
        <v/>
      </c>
      <c r="I252" s="40" t="n"/>
      <c r="J252" s="41" t="n"/>
      <c r="K252" s="41" t="n"/>
      <c r="L252" s="46">
        <f>IF(J252="","",J252-K252)</f>
        <v/>
      </c>
      <c r="M252" s="49">
        <f>IF(J252="","",IF(K252=0,"مرفوض",IF(K252&lt;J252,"مقبول جزئياً","مقبول")))</f>
        <v/>
      </c>
      <c r="N252" s="40" t="n"/>
      <c r="O252" s="40" t="n"/>
    </row>
    <row r="253">
      <c r="A253" s="39">
        <f>IF(C253="","","MIR-"&amp;TEXT(ROW()-4,"0000"))</f>
        <v/>
      </c>
      <c r="B253" s="47" t="n"/>
      <c r="C253" s="40" t="n"/>
      <c r="D253" s="39">
        <f>IF(C253="","",IFERROR(INDEX('أوامر التوريد'!$C$5:$C$304,MATCH(C253,'أوامر التوريد'!$A$5:$A$304,0)),""))</f>
        <v/>
      </c>
      <c r="E253" s="49">
        <f>IF(C253="","",IFERROR(INDEX('أوامر التوريد'!$E$5:$E$304,MATCH(C253,'أوامر التوريد'!$A$5:$A$304,0)),""))</f>
        <v/>
      </c>
      <c r="F253" s="39">
        <f>IF(C253="","",IFERROR(INDEX('أوامر التوريد'!$G$5:$G$304,MATCH(C253,'أوامر التوريد'!$A$5:$A$304,0)),""))</f>
        <v/>
      </c>
      <c r="G253" s="49">
        <f>IF(C253="","",IFERROR(INDEX('أوامر التوريد'!$H$5:$H$304,MATCH(C253,'أوامر التوريد'!$A$5:$A$304,0)),""))</f>
        <v/>
      </c>
      <c r="H253" s="39">
        <f>IF(C253="","",IFERROR(INDEX('أوامر التوريد'!$I$5:$I$304,MATCH(C253,'أوامر التوريد'!$A$5:$A$304,0)),""))</f>
        <v/>
      </c>
      <c r="I253" s="40" t="n"/>
      <c r="J253" s="41" t="n"/>
      <c r="K253" s="41" t="n"/>
      <c r="L253" s="46">
        <f>IF(J253="","",J253-K253)</f>
        <v/>
      </c>
      <c r="M253" s="49">
        <f>IF(J253="","",IF(K253=0,"مرفوض",IF(K253&lt;J253,"مقبول جزئياً","مقبول")))</f>
        <v/>
      </c>
      <c r="N253" s="40" t="n"/>
      <c r="O253" s="40" t="n"/>
    </row>
    <row r="254">
      <c r="A254" s="39">
        <f>IF(C254="","","MIR-"&amp;TEXT(ROW()-4,"0000"))</f>
        <v/>
      </c>
      <c r="B254" s="47" t="n"/>
      <c r="C254" s="40" t="n"/>
      <c r="D254" s="39">
        <f>IF(C254="","",IFERROR(INDEX('أوامر التوريد'!$C$5:$C$304,MATCH(C254,'أوامر التوريد'!$A$5:$A$304,0)),""))</f>
        <v/>
      </c>
      <c r="E254" s="49">
        <f>IF(C254="","",IFERROR(INDEX('أوامر التوريد'!$E$5:$E$304,MATCH(C254,'أوامر التوريد'!$A$5:$A$304,0)),""))</f>
        <v/>
      </c>
      <c r="F254" s="39">
        <f>IF(C254="","",IFERROR(INDEX('أوامر التوريد'!$G$5:$G$304,MATCH(C254,'أوامر التوريد'!$A$5:$A$304,0)),""))</f>
        <v/>
      </c>
      <c r="G254" s="49">
        <f>IF(C254="","",IFERROR(INDEX('أوامر التوريد'!$H$5:$H$304,MATCH(C254,'أوامر التوريد'!$A$5:$A$304,0)),""))</f>
        <v/>
      </c>
      <c r="H254" s="39">
        <f>IF(C254="","",IFERROR(INDEX('أوامر التوريد'!$I$5:$I$304,MATCH(C254,'أوامر التوريد'!$A$5:$A$304,0)),""))</f>
        <v/>
      </c>
      <c r="I254" s="40" t="n"/>
      <c r="J254" s="41" t="n"/>
      <c r="K254" s="41" t="n"/>
      <c r="L254" s="46">
        <f>IF(J254="","",J254-K254)</f>
        <v/>
      </c>
      <c r="M254" s="49">
        <f>IF(J254="","",IF(K254=0,"مرفوض",IF(K254&lt;J254,"مقبول جزئياً","مقبول")))</f>
        <v/>
      </c>
      <c r="N254" s="40" t="n"/>
      <c r="O254" s="40" t="n"/>
    </row>
    <row r="255">
      <c r="A255" s="39">
        <f>IF(C255="","","MIR-"&amp;TEXT(ROW()-4,"0000"))</f>
        <v/>
      </c>
      <c r="B255" s="47" t="n"/>
      <c r="C255" s="40" t="n"/>
      <c r="D255" s="39">
        <f>IF(C255="","",IFERROR(INDEX('أوامر التوريد'!$C$5:$C$304,MATCH(C255,'أوامر التوريد'!$A$5:$A$304,0)),""))</f>
        <v/>
      </c>
      <c r="E255" s="49">
        <f>IF(C255="","",IFERROR(INDEX('أوامر التوريد'!$E$5:$E$304,MATCH(C255,'أوامر التوريد'!$A$5:$A$304,0)),""))</f>
        <v/>
      </c>
      <c r="F255" s="39">
        <f>IF(C255="","",IFERROR(INDEX('أوامر التوريد'!$G$5:$G$304,MATCH(C255,'أوامر التوريد'!$A$5:$A$304,0)),""))</f>
        <v/>
      </c>
      <c r="G255" s="49">
        <f>IF(C255="","",IFERROR(INDEX('أوامر التوريد'!$H$5:$H$304,MATCH(C255,'أوامر التوريد'!$A$5:$A$304,0)),""))</f>
        <v/>
      </c>
      <c r="H255" s="39">
        <f>IF(C255="","",IFERROR(INDEX('أوامر التوريد'!$I$5:$I$304,MATCH(C255,'أوامر التوريد'!$A$5:$A$304,0)),""))</f>
        <v/>
      </c>
      <c r="I255" s="40" t="n"/>
      <c r="J255" s="41" t="n"/>
      <c r="K255" s="41" t="n"/>
      <c r="L255" s="46">
        <f>IF(J255="","",J255-K255)</f>
        <v/>
      </c>
      <c r="M255" s="49">
        <f>IF(J255="","",IF(K255=0,"مرفوض",IF(K255&lt;J255,"مقبول جزئياً","مقبول")))</f>
        <v/>
      </c>
      <c r="N255" s="40" t="n"/>
      <c r="O255" s="40" t="n"/>
    </row>
    <row r="256">
      <c r="A256" s="39">
        <f>IF(C256="","","MIR-"&amp;TEXT(ROW()-4,"0000"))</f>
        <v/>
      </c>
      <c r="B256" s="47" t="n"/>
      <c r="C256" s="40" t="n"/>
      <c r="D256" s="39">
        <f>IF(C256="","",IFERROR(INDEX('أوامر التوريد'!$C$5:$C$304,MATCH(C256,'أوامر التوريد'!$A$5:$A$304,0)),""))</f>
        <v/>
      </c>
      <c r="E256" s="49">
        <f>IF(C256="","",IFERROR(INDEX('أوامر التوريد'!$E$5:$E$304,MATCH(C256,'أوامر التوريد'!$A$5:$A$304,0)),""))</f>
        <v/>
      </c>
      <c r="F256" s="39">
        <f>IF(C256="","",IFERROR(INDEX('أوامر التوريد'!$G$5:$G$304,MATCH(C256,'أوامر التوريد'!$A$5:$A$304,0)),""))</f>
        <v/>
      </c>
      <c r="G256" s="49">
        <f>IF(C256="","",IFERROR(INDEX('أوامر التوريد'!$H$5:$H$304,MATCH(C256,'أوامر التوريد'!$A$5:$A$304,0)),""))</f>
        <v/>
      </c>
      <c r="H256" s="39">
        <f>IF(C256="","",IFERROR(INDEX('أوامر التوريد'!$I$5:$I$304,MATCH(C256,'أوامر التوريد'!$A$5:$A$304,0)),""))</f>
        <v/>
      </c>
      <c r="I256" s="40" t="n"/>
      <c r="J256" s="41" t="n"/>
      <c r="K256" s="41" t="n"/>
      <c r="L256" s="46">
        <f>IF(J256="","",J256-K256)</f>
        <v/>
      </c>
      <c r="M256" s="49">
        <f>IF(J256="","",IF(K256=0,"مرفوض",IF(K256&lt;J256,"مقبول جزئياً","مقبول")))</f>
        <v/>
      </c>
      <c r="N256" s="40" t="n"/>
      <c r="O256" s="40" t="n"/>
    </row>
    <row r="257">
      <c r="A257" s="39">
        <f>IF(C257="","","MIR-"&amp;TEXT(ROW()-4,"0000"))</f>
        <v/>
      </c>
      <c r="B257" s="47" t="n"/>
      <c r="C257" s="40" t="n"/>
      <c r="D257" s="39">
        <f>IF(C257="","",IFERROR(INDEX('أوامر التوريد'!$C$5:$C$304,MATCH(C257,'أوامر التوريد'!$A$5:$A$304,0)),""))</f>
        <v/>
      </c>
      <c r="E257" s="49">
        <f>IF(C257="","",IFERROR(INDEX('أوامر التوريد'!$E$5:$E$304,MATCH(C257,'أوامر التوريد'!$A$5:$A$304,0)),""))</f>
        <v/>
      </c>
      <c r="F257" s="39">
        <f>IF(C257="","",IFERROR(INDEX('أوامر التوريد'!$G$5:$G$304,MATCH(C257,'أوامر التوريد'!$A$5:$A$304,0)),""))</f>
        <v/>
      </c>
      <c r="G257" s="49">
        <f>IF(C257="","",IFERROR(INDEX('أوامر التوريد'!$H$5:$H$304,MATCH(C257,'أوامر التوريد'!$A$5:$A$304,0)),""))</f>
        <v/>
      </c>
      <c r="H257" s="39">
        <f>IF(C257="","",IFERROR(INDEX('أوامر التوريد'!$I$5:$I$304,MATCH(C257,'أوامر التوريد'!$A$5:$A$304,0)),""))</f>
        <v/>
      </c>
      <c r="I257" s="40" t="n"/>
      <c r="J257" s="41" t="n"/>
      <c r="K257" s="41" t="n"/>
      <c r="L257" s="46">
        <f>IF(J257="","",J257-K257)</f>
        <v/>
      </c>
      <c r="M257" s="49">
        <f>IF(J257="","",IF(K257=0,"مرفوض",IF(K257&lt;J257,"مقبول جزئياً","مقبول")))</f>
        <v/>
      </c>
      <c r="N257" s="40" t="n"/>
      <c r="O257" s="40" t="n"/>
    </row>
    <row r="258">
      <c r="A258" s="39">
        <f>IF(C258="","","MIR-"&amp;TEXT(ROW()-4,"0000"))</f>
        <v/>
      </c>
      <c r="B258" s="47" t="n"/>
      <c r="C258" s="40" t="n"/>
      <c r="D258" s="39">
        <f>IF(C258="","",IFERROR(INDEX('أوامر التوريد'!$C$5:$C$304,MATCH(C258,'أوامر التوريد'!$A$5:$A$304,0)),""))</f>
        <v/>
      </c>
      <c r="E258" s="49">
        <f>IF(C258="","",IFERROR(INDEX('أوامر التوريد'!$E$5:$E$304,MATCH(C258,'أوامر التوريد'!$A$5:$A$304,0)),""))</f>
        <v/>
      </c>
      <c r="F258" s="39">
        <f>IF(C258="","",IFERROR(INDEX('أوامر التوريد'!$G$5:$G$304,MATCH(C258,'أوامر التوريد'!$A$5:$A$304,0)),""))</f>
        <v/>
      </c>
      <c r="G258" s="49">
        <f>IF(C258="","",IFERROR(INDEX('أوامر التوريد'!$H$5:$H$304,MATCH(C258,'أوامر التوريد'!$A$5:$A$304,0)),""))</f>
        <v/>
      </c>
      <c r="H258" s="39">
        <f>IF(C258="","",IFERROR(INDEX('أوامر التوريد'!$I$5:$I$304,MATCH(C258,'أوامر التوريد'!$A$5:$A$304,0)),""))</f>
        <v/>
      </c>
      <c r="I258" s="40" t="n"/>
      <c r="J258" s="41" t="n"/>
      <c r="K258" s="41" t="n"/>
      <c r="L258" s="46">
        <f>IF(J258="","",J258-K258)</f>
        <v/>
      </c>
      <c r="M258" s="49">
        <f>IF(J258="","",IF(K258=0,"مرفوض",IF(K258&lt;J258,"مقبول جزئياً","مقبول")))</f>
        <v/>
      </c>
      <c r="N258" s="40" t="n"/>
      <c r="O258" s="40" t="n"/>
    </row>
    <row r="259">
      <c r="A259" s="39">
        <f>IF(C259="","","MIR-"&amp;TEXT(ROW()-4,"0000"))</f>
        <v/>
      </c>
      <c r="B259" s="47" t="n"/>
      <c r="C259" s="40" t="n"/>
      <c r="D259" s="39">
        <f>IF(C259="","",IFERROR(INDEX('أوامر التوريد'!$C$5:$C$304,MATCH(C259,'أوامر التوريد'!$A$5:$A$304,0)),""))</f>
        <v/>
      </c>
      <c r="E259" s="49">
        <f>IF(C259="","",IFERROR(INDEX('أوامر التوريد'!$E$5:$E$304,MATCH(C259,'أوامر التوريد'!$A$5:$A$304,0)),""))</f>
        <v/>
      </c>
      <c r="F259" s="39">
        <f>IF(C259="","",IFERROR(INDEX('أوامر التوريد'!$G$5:$G$304,MATCH(C259,'أوامر التوريد'!$A$5:$A$304,0)),""))</f>
        <v/>
      </c>
      <c r="G259" s="49">
        <f>IF(C259="","",IFERROR(INDEX('أوامر التوريد'!$H$5:$H$304,MATCH(C259,'أوامر التوريد'!$A$5:$A$304,0)),""))</f>
        <v/>
      </c>
      <c r="H259" s="39">
        <f>IF(C259="","",IFERROR(INDEX('أوامر التوريد'!$I$5:$I$304,MATCH(C259,'أوامر التوريد'!$A$5:$A$304,0)),""))</f>
        <v/>
      </c>
      <c r="I259" s="40" t="n"/>
      <c r="J259" s="41" t="n"/>
      <c r="K259" s="41" t="n"/>
      <c r="L259" s="46">
        <f>IF(J259="","",J259-K259)</f>
        <v/>
      </c>
      <c r="M259" s="49">
        <f>IF(J259="","",IF(K259=0,"مرفوض",IF(K259&lt;J259,"مقبول جزئياً","مقبول")))</f>
        <v/>
      </c>
      <c r="N259" s="40" t="n"/>
      <c r="O259" s="40" t="n"/>
    </row>
    <row r="260">
      <c r="A260" s="39">
        <f>IF(C260="","","MIR-"&amp;TEXT(ROW()-4,"0000"))</f>
        <v/>
      </c>
      <c r="B260" s="47" t="n"/>
      <c r="C260" s="40" t="n"/>
      <c r="D260" s="39">
        <f>IF(C260="","",IFERROR(INDEX('أوامر التوريد'!$C$5:$C$304,MATCH(C260,'أوامر التوريد'!$A$5:$A$304,0)),""))</f>
        <v/>
      </c>
      <c r="E260" s="49">
        <f>IF(C260="","",IFERROR(INDEX('أوامر التوريد'!$E$5:$E$304,MATCH(C260,'أوامر التوريد'!$A$5:$A$304,0)),""))</f>
        <v/>
      </c>
      <c r="F260" s="39">
        <f>IF(C260="","",IFERROR(INDEX('أوامر التوريد'!$G$5:$G$304,MATCH(C260,'أوامر التوريد'!$A$5:$A$304,0)),""))</f>
        <v/>
      </c>
      <c r="G260" s="49">
        <f>IF(C260="","",IFERROR(INDEX('أوامر التوريد'!$H$5:$H$304,MATCH(C260,'أوامر التوريد'!$A$5:$A$304,0)),""))</f>
        <v/>
      </c>
      <c r="H260" s="39">
        <f>IF(C260="","",IFERROR(INDEX('أوامر التوريد'!$I$5:$I$304,MATCH(C260,'أوامر التوريد'!$A$5:$A$304,0)),""))</f>
        <v/>
      </c>
      <c r="I260" s="40" t="n"/>
      <c r="J260" s="41" t="n"/>
      <c r="K260" s="41" t="n"/>
      <c r="L260" s="46">
        <f>IF(J260="","",J260-K260)</f>
        <v/>
      </c>
      <c r="M260" s="49">
        <f>IF(J260="","",IF(K260=0,"مرفوض",IF(K260&lt;J260,"مقبول جزئياً","مقبول")))</f>
        <v/>
      </c>
      <c r="N260" s="40" t="n"/>
      <c r="O260" s="40" t="n"/>
    </row>
    <row r="261">
      <c r="A261" s="39">
        <f>IF(C261="","","MIR-"&amp;TEXT(ROW()-4,"0000"))</f>
        <v/>
      </c>
      <c r="B261" s="47" t="n"/>
      <c r="C261" s="40" t="n"/>
      <c r="D261" s="39">
        <f>IF(C261="","",IFERROR(INDEX('أوامر التوريد'!$C$5:$C$304,MATCH(C261,'أوامر التوريد'!$A$5:$A$304,0)),""))</f>
        <v/>
      </c>
      <c r="E261" s="49">
        <f>IF(C261="","",IFERROR(INDEX('أوامر التوريد'!$E$5:$E$304,MATCH(C261,'أوامر التوريد'!$A$5:$A$304,0)),""))</f>
        <v/>
      </c>
      <c r="F261" s="39">
        <f>IF(C261="","",IFERROR(INDEX('أوامر التوريد'!$G$5:$G$304,MATCH(C261,'أوامر التوريد'!$A$5:$A$304,0)),""))</f>
        <v/>
      </c>
      <c r="G261" s="49">
        <f>IF(C261="","",IFERROR(INDEX('أوامر التوريد'!$H$5:$H$304,MATCH(C261,'أوامر التوريد'!$A$5:$A$304,0)),""))</f>
        <v/>
      </c>
      <c r="H261" s="39">
        <f>IF(C261="","",IFERROR(INDEX('أوامر التوريد'!$I$5:$I$304,MATCH(C261,'أوامر التوريد'!$A$5:$A$304,0)),""))</f>
        <v/>
      </c>
      <c r="I261" s="40" t="n"/>
      <c r="J261" s="41" t="n"/>
      <c r="K261" s="41" t="n"/>
      <c r="L261" s="46">
        <f>IF(J261="","",J261-K261)</f>
        <v/>
      </c>
      <c r="M261" s="49">
        <f>IF(J261="","",IF(K261=0,"مرفوض",IF(K261&lt;J261,"مقبول جزئياً","مقبول")))</f>
        <v/>
      </c>
      <c r="N261" s="40" t="n"/>
      <c r="O261" s="40" t="n"/>
    </row>
    <row r="262">
      <c r="A262" s="39">
        <f>IF(C262="","","MIR-"&amp;TEXT(ROW()-4,"0000"))</f>
        <v/>
      </c>
      <c r="B262" s="47" t="n"/>
      <c r="C262" s="40" t="n"/>
      <c r="D262" s="39">
        <f>IF(C262="","",IFERROR(INDEX('أوامر التوريد'!$C$5:$C$304,MATCH(C262,'أوامر التوريد'!$A$5:$A$304,0)),""))</f>
        <v/>
      </c>
      <c r="E262" s="49">
        <f>IF(C262="","",IFERROR(INDEX('أوامر التوريد'!$E$5:$E$304,MATCH(C262,'أوامر التوريد'!$A$5:$A$304,0)),""))</f>
        <v/>
      </c>
      <c r="F262" s="39">
        <f>IF(C262="","",IFERROR(INDEX('أوامر التوريد'!$G$5:$G$304,MATCH(C262,'أوامر التوريد'!$A$5:$A$304,0)),""))</f>
        <v/>
      </c>
      <c r="G262" s="49">
        <f>IF(C262="","",IFERROR(INDEX('أوامر التوريد'!$H$5:$H$304,MATCH(C262,'أوامر التوريد'!$A$5:$A$304,0)),""))</f>
        <v/>
      </c>
      <c r="H262" s="39">
        <f>IF(C262="","",IFERROR(INDEX('أوامر التوريد'!$I$5:$I$304,MATCH(C262,'أوامر التوريد'!$A$5:$A$304,0)),""))</f>
        <v/>
      </c>
      <c r="I262" s="40" t="n"/>
      <c r="J262" s="41" t="n"/>
      <c r="K262" s="41" t="n"/>
      <c r="L262" s="46">
        <f>IF(J262="","",J262-K262)</f>
        <v/>
      </c>
      <c r="M262" s="49">
        <f>IF(J262="","",IF(K262=0,"مرفوض",IF(K262&lt;J262,"مقبول جزئياً","مقبول")))</f>
        <v/>
      </c>
      <c r="N262" s="40" t="n"/>
      <c r="O262" s="40" t="n"/>
    </row>
    <row r="263">
      <c r="A263" s="39">
        <f>IF(C263="","","MIR-"&amp;TEXT(ROW()-4,"0000"))</f>
        <v/>
      </c>
      <c r="B263" s="47" t="n"/>
      <c r="C263" s="40" t="n"/>
      <c r="D263" s="39">
        <f>IF(C263="","",IFERROR(INDEX('أوامر التوريد'!$C$5:$C$304,MATCH(C263,'أوامر التوريد'!$A$5:$A$304,0)),""))</f>
        <v/>
      </c>
      <c r="E263" s="49">
        <f>IF(C263="","",IFERROR(INDEX('أوامر التوريد'!$E$5:$E$304,MATCH(C263,'أوامر التوريد'!$A$5:$A$304,0)),""))</f>
        <v/>
      </c>
      <c r="F263" s="39">
        <f>IF(C263="","",IFERROR(INDEX('أوامر التوريد'!$G$5:$G$304,MATCH(C263,'أوامر التوريد'!$A$5:$A$304,0)),""))</f>
        <v/>
      </c>
      <c r="G263" s="49">
        <f>IF(C263="","",IFERROR(INDEX('أوامر التوريد'!$H$5:$H$304,MATCH(C263,'أوامر التوريد'!$A$5:$A$304,0)),""))</f>
        <v/>
      </c>
      <c r="H263" s="39">
        <f>IF(C263="","",IFERROR(INDEX('أوامر التوريد'!$I$5:$I$304,MATCH(C263,'أوامر التوريد'!$A$5:$A$304,0)),""))</f>
        <v/>
      </c>
      <c r="I263" s="40" t="n"/>
      <c r="J263" s="41" t="n"/>
      <c r="K263" s="41" t="n"/>
      <c r="L263" s="46">
        <f>IF(J263="","",J263-K263)</f>
        <v/>
      </c>
      <c r="M263" s="49">
        <f>IF(J263="","",IF(K263=0,"مرفوض",IF(K263&lt;J263,"مقبول جزئياً","مقبول")))</f>
        <v/>
      </c>
      <c r="N263" s="40" t="n"/>
      <c r="O263" s="40" t="n"/>
    </row>
    <row r="264">
      <c r="A264" s="39">
        <f>IF(C264="","","MIR-"&amp;TEXT(ROW()-4,"0000"))</f>
        <v/>
      </c>
      <c r="B264" s="47" t="n"/>
      <c r="C264" s="40" t="n"/>
      <c r="D264" s="39">
        <f>IF(C264="","",IFERROR(INDEX('أوامر التوريد'!$C$5:$C$304,MATCH(C264,'أوامر التوريد'!$A$5:$A$304,0)),""))</f>
        <v/>
      </c>
      <c r="E264" s="49">
        <f>IF(C264="","",IFERROR(INDEX('أوامر التوريد'!$E$5:$E$304,MATCH(C264,'أوامر التوريد'!$A$5:$A$304,0)),""))</f>
        <v/>
      </c>
      <c r="F264" s="39">
        <f>IF(C264="","",IFERROR(INDEX('أوامر التوريد'!$G$5:$G$304,MATCH(C264,'أوامر التوريد'!$A$5:$A$304,0)),""))</f>
        <v/>
      </c>
      <c r="G264" s="49">
        <f>IF(C264="","",IFERROR(INDEX('أوامر التوريد'!$H$5:$H$304,MATCH(C264,'أوامر التوريد'!$A$5:$A$304,0)),""))</f>
        <v/>
      </c>
      <c r="H264" s="39">
        <f>IF(C264="","",IFERROR(INDEX('أوامر التوريد'!$I$5:$I$304,MATCH(C264,'أوامر التوريد'!$A$5:$A$304,0)),""))</f>
        <v/>
      </c>
      <c r="I264" s="40" t="n"/>
      <c r="J264" s="41" t="n"/>
      <c r="K264" s="41" t="n"/>
      <c r="L264" s="46">
        <f>IF(J264="","",J264-K264)</f>
        <v/>
      </c>
      <c r="M264" s="49">
        <f>IF(J264="","",IF(K264=0,"مرفوض",IF(K264&lt;J264,"مقبول جزئياً","مقبول")))</f>
        <v/>
      </c>
      <c r="N264" s="40" t="n"/>
      <c r="O264" s="40" t="n"/>
    </row>
    <row r="265">
      <c r="A265" s="39">
        <f>IF(C265="","","MIR-"&amp;TEXT(ROW()-4,"0000"))</f>
        <v/>
      </c>
      <c r="B265" s="47" t="n"/>
      <c r="C265" s="40" t="n"/>
      <c r="D265" s="39">
        <f>IF(C265="","",IFERROR(INDEX('أوامر التوريد'!$C$5:$C$304,MATCH(C265,'أوامر التوريد'!$A$5:$A$304,0)),""))</f>
        <v/>
      </c>
      <c r="E265" s="49">
        <f>IF(C265="","",IFERROR(INDEX('أوامر التوريد'!$E$5:$E$304,MATCH(C265,'أوامر التوريد'!$A$5:$A$304,0)),""))</f>
        <v/>
      </c>
      <c r="F265" s="39">
        <f>IF(C265="","",IFERROR(INDEX('أوامر التوريد'!$G$5:$G$304,MATCH(C265,'أوامر التوريد'!$A$5:$A$304,0)),""))</f>
        <v/>
      </c>
      <c r="G265" s="49">
        <f>IF(C265="","",IFERROR(INDEX('أوامر التوريد'!$H$5:$H$304,MATCH(C265,'أوامر التوريد'!$A$5:$A$304,0)),""))</f>
        <v/>
      </c>
      <c r="H265" s="39">
        <f>IF(C265="","",IFERROR(INDEX('أوامر التوريد'!$I$5:$I$304,MATCH(C265,'أوامر التوريد'!$A$5:$A$304,0)),""))</f>
        <v/>
      </c>
      <c r="I265" s="40" t="n"/>
      <c r="J265" s="41" t="n"/>
      <c r="K265" s="41" t="n"/>
      <c r="L265" s="46">
        <f>IF(J265="","",J265-K265)</f>
        <v/>
      </c>
      <c r="M265" s="49">
        <f>IF(J265="","",IF(K265=0,"مرفوض",IF(K265&lt;J265,"مقبول جزئياً","مقبول")))</f>
        <v/>
      </c>
      <c r="N265" s="40" t="n"/>
      <c r="O265" s="40" t="n"/>
    </row>
    <row r="266">
      <c r="A266" s="39">
        <f>IF(C266="","","MIR-"&amp;TEXT(ROW()-4,"0000"))</f>
        <v/>
      </c>
      <c r="B266" s="47" t="n"/>
      <c r="C266" s="40" t="n"/>
      <c r="D266" s="39">
        <f>IF(C266="","",IFERROR(INDEX('أوامر التوريد'!$C$5:$C$304,MATCH(C266,'أوامر التوريد'!$A$5:$A$304,0)),""))</f>
        <v/>
      </c>
      <c r="E266" s="49">
        <f>IF(C266="","",IFERROR(INDEX('أوامر التوريد'!$E$5:$E$304,MATCH(C266,'أوامر التوريد'!$A$5:$A$304,0)),""))</f>
        <v/>
      </c>
      <c r="F266" s="39">
        <f>IF(C266="","",IFERROR(INDEX('أوامر التوريد'!$G$5:$G$304,MATCH(C266,'أوامر التوريد'!$A$5:$A$304,0)),""))</f>
        <v/>
      </c>
      <c r="G266" s="49">
        <f>IF(C266="","",IFERROR(INDEX('أوامر التوريد'!$H$5:$H$304,MATCH(C266,'أوامر التوريد'!$A$5:$A$304,0)),""))</f>
        <v/>
      </c>
      <c r="H266" s="39">
        <f>IF(C266="","",IFERROR(INDEX('أوامر التوريد'!$I$5:$I$304,MATCH(C266,'أوامر التوريد'!$A$5:$A$304,0)),""))</f>
        <v/>
      </c>
      <c r="I266" s="40" t="n"/>
      <c r="J266" s="41" t="n"/>
      <c r="K266" s="41" t="n"/>
      <c r="L266" s="46">
        <f>IF(J266="","",J266-K266)</f>
        <v/>
      </c>
      <c r="M266" s="49">
        <f>IF(J266="","",IF(K266=0,"مرفوض",IF(K266&lt;J266,"مقبول جزئياً","مقبول")))</f>
        <v/>
      </c>
      <c r="N266" s="40" t="n"/>
      <c r="O266" s="40" t="n"/>
    </row>
    <row r="267">
      <c r="A267" s="39">
        <f>IF(C267="","","MIR-"&amp;TEXT(ROW()-4,"0000"))</f>
        <v/>
      </c>
      <c r="B267" s="47" t="n"/>
      <c r="C267" s="40" t="n"/>
      <c r="D267" s="39">
        <f>IF(C267="","",IFERROR(INDEX('أوامر التوريد'!$C$5:$C$304,MATCH(C267,'أوامر التوريد'!$A$5:$A$304,0)),""))</f>
        <v/>
      </c>
      <c r="E267" s="49">
        <f>IF(C267="","",IFERROR(INDEX('أوامر التوريد'!$E$5:$E$304,MATCH(C267,'أوامر التوريد'!$A$5:$A$304,0)),""))</f>
        <v/>
      </c>
      <c r="F267" s="39">
        <f>IF(C267="","",IFERROR(INDEX('أوامر التوريد'!$G$5:$G$304,MATCH(C267,'أوامر التوريد'!$A$5:$A$304,0)),""))</f>
        <v/>
      </c>
      <c r="G267" s="49">
        <f>IF(C267="","",IFERROR(INDEX('أوامر التوريد'!$H$5:$H$304,MATCH(C267,'أوامر التوريد'!$A$5:$A$304,0)),""))</f>
        <v/>
      </c>
      <c r="H267" s="39">
        <f>IF(C267="","",IFERROR(INDEX('أوامر التوريد'!$I$5:$I$304,MATCH(C267,'أوامر التوريد'!$A$5:$A$304,0)),""))</f>
        <v/>
      </c>
      <c r="I267" s="40" t="n"/>
      <c r="J267" s="41" t="n"/>
      <c r="K267" s="41" t="n"/>
      <c r="L267" s="46">
        <f>IF(J267="","",J267-K267)</f>
        <v/>
      </c>
      <c r="M267" s="49">
        <f>IF(J267="","",IF(K267=0,"مرفوض",IF(K267&lt;J267,"مقبول جزئياً","مقبول")))</f>
        <v/>
      </c>
      <c r="N267" s="40" t="n"/>
      <c r="O267" s="40" t="n"/>
    </row>
    <row r="268">
      <c r="A268" s="39">
        <f>IF(C268="","","MIR-"&amp;TEXT(ROW()-4,"0000"))</f>
        <v/>
      </c>
      <c r="B268" s="47" t="n"/>
      <c r="C268" s="40" t="n"/>
      <c r="D268" s="39">
        <f>IF(C268="","",IFERROR(INDEX('أوامر التوريد'!$C$5:$C$304,MATCH(C268,'أوامر التوريد'!$A$5:$A$304,0)),""))</f>
        <v/>
      </c>
      <c r="E268" s="49">
        <f>IF(C268="","",IFERROR(INDEX('أوامر التوريد'!$E$5:$E$304,MATCH(C268,'أوامر التوريد'!$A$5:$A$304,0)),""))</f>
        <v/>
      </c>
      <c r="F268" s="39">
        <f>IF(C268="","",IFERROR(INDEX('أوامر التوريد'!$G$5:$G$304,MATCH(C268,'أوامر التوريد'!$A$5:$A$304,0)),""))</f>
        <v/>
      </c>
      <c r="G268" s="49">
        <f>IF(C268="","",IFERROR(INDEX('أوامر التوريد'!$H$5:$H$304,MATCH(C268,'أوامر التوريد'!$A$5:$A$304,0)),""))</f>
        <v/>
      </c>
      <c r="H268" s="39">
        <f>IF(C268="","",IFERROR(INDEX('أوامر التوريد'!$I$5:$I$304,MATCH(C268,'أوامر التوريد'!$A$5:$A$304,0)),""))</f>
        <v/>
      </c>
      <c r="I268" s="40" t="n"/>
      <c r="J268" s="41" t="n"/>
      <c r="K268" s="41" t="n"/>
      <c r="L268" s="46">
        <f>IF(J268="","",J268-K268)</f>
        <v/>
      </c>
      <c r="M268" s="49">
        <f>IF(J268="","",IF(K268=0,"مرفوض",IF(K268&lt;J268,"مقبول جزئياً","مقبول")))</f>
        <v/>
      </c>
      <c r="N268" s="40" t="n"/>
      <c r="O268" s="40" t="n"/>
    </row>
    <row r="269">
      <c r="A269" s="39">
        <f>IF(C269="","","MIR-"&amp;TEXT(ROW()-4,"0000"))</f>
        <v/>
      </c>
      <c r="B269" s="47" t="n"/>
      <c r="C269" s="40" t="n"/>
      <c r="D269" s="39">
        <f>IF(C269="","",IFERROR(INDEX('أوامر التوريد'!$C$5:$C$304,MATCH(C269,'أوامر التوريد'!$A$5:$A$304,0)),""))</f>
        <v/>
      </c>
      <c r="E269" s="49">
        <f>IF(C269="","",IFERROR(INDEX('أوامر التوريد'!$E$5:$E$304,MATCH(C269,'أوامر التوريد'!$A$5:$A$304,0)),""))</f>
        <v/>
      </c>
      <c r="F269" s="39">
        <f>IF(C269="","",IFERROR(INDEX('أوامر التوريد'!$G$5:$G$304,MATCH(C269,'أوامر التوريد'!$A$5:$A$304,0)),""))</f>
        <v/>
      </c>
      <c r="G269" s="49">
        <f>IF(C269="","",IFERROR(INDEX('أوامر التوريد'!$H$5:$H$304,MATCH(C269,'أوامر التوريد'!$A$5:$A$304,0)),""))</f>
        <v/>
      </c>
      <c r="H269" s="39">
        <f>IF(C269="","",IFERROR(INDEX('أوامر التوريد'!$I$5:$I$304,MATCH(C269,'أوامر التوريد'!$A$5:$A$304,0)),""))</f>
        <v/>
      </c>
      <c r="I269" s="40" t="n"/>
      <c r="J269" s="41" t="n"/>
      <c r="K269" s="41" t="n"/>
      <c r="L269" s="46">
        <f>IF(J269="","",J269-K269)</f>
        <v/>
      </c>
      <c r="M269" s="49">
        <f>IF(J269="","",IF(K269=0,"مرفوض",IF(K269&lt;J269,"مقبول جزئياً","مقبول")))</f>
        <v/>
      </c>
      <c r="N269" s="40" t="n"/>
      <c r="O269" s="40" t="n"/>
    </row>
    <row r="270">
      <c r="A270" s="39">
        <f>IF(C270="","","MIR-"&amp;TEXT(ROW()-4,"0000"))</f>
        <v/>
      </c>
      <c r="B270" s="47" t="n"/>
      <c r="C270" s="40" t="n"/>
      <c r="D270" s="39">
        <f>IF(C270="","",IFERROR(INDEX('أوامر التوريد'!$C$5:$C$304,MATCH(C270,'أوامر التوريد'!$A$5:$A$304,0)),""))</f>
        <v/>
      </c>
      <c r="E270" s="49">
        <f>IF(C270="","",IFERROR(INDEX('أوامر التوريد'!$E$5:$E$304,MATCH(C270,'أوامر التوريد'!$A$5:$A$304,0)),""))</f>
        <v/>
      </c>
      <c r="F270" s="39">
        <f>IF(C270="","",IFERROR(INDEX('أوامر التوريد'!$G$5:$G$304,MATCH(C270,'أوامر التوريد'!$A$5:$A$304,0)),""))</f>
        <v/>
      </c>
      <c r="G270" s="49">
        <f>IF(C270="","",IFERROR(INDEX('أوامر التوريد'!$H$5:$H$304,MATCH(C270,'أوامر التوريد'!$A$5:$A$304,0)),""))</f>
        <v/>
      </c>
      <c r="H270" s="39">
        <f>IF(C270="","",IFERROR(INDEX('أوامر التوريد'!$I$5:$I$304,MATCH(C270,'أوامر التوريد'!$A$5:$A$304,0)),""))</f>
        <v/>
      </c>
      <c r="I270" s="40" t="n"/>
      <c r="J270" s="41" t="n"/>
      <c r="K270" s="41" t="n"/>
      <c r="L270" s="46">
        <f>IF(J270="","",J270-K270)</f>
        <v/>
      </c>
      <c r="M270" s="49">
        <f>IF(J270="","",IF(K270=0,"مرفوض",IF(K270&lt;J270,"مقبول جزئياً","مقبول")))</f>
        <v/>
      </c>
      <c r="N270" s="40" t="n"/>
      <c r="O270" s="40" t="n"/>
    </row>
    <row r="271">
      <c r="A271" s="39">
        <f>IF(C271="","","MIR-"&amp;TEXT(ROW()-4,"0000"))</f>
        <v/>
      </c>
      <c r="B271" s="47" t="n"/>
      <c r="C271" s="40" t="n"/>
      <c r="D271" s="39">
        <f>IF(C271="","",IFERROR(INDEX('أوامر التوريد'!$C$5:$C$304,MATCH(C271,'أوامر التوريد'!$A$5:$A$304,0)),""))</f>
        <v/>
      </c>
      <c r="E271" s="49">
        <f>IF(C271="","",IFERROR(INDEX('أوامر التوريد'!$E$5:$E$304,MATCH(C271,'أوامر التوريد'!$A$5:$A$304,0)),""))</f>
        <v/>
      </c>
      <c r="F271" s="39">
        <f>IF(C271="","",IFERROR(INDEX('أوامر التوريد'!$G$5:$G$304,MATCH(C271,'أوامر التوريد'!$A$5:$A$304,0)),""))</f>
        <v/>
      </c>
      <c r="G271" s="49">
        <f>IF(C271="","",IFERROR(INDEX('أوامر التوريد'!$H$5:$H$304,MATCH(C271,'أوامر التوريد'!$A$5:$A$304,0)),""))</f>
        <v/>
      </c>
      <c r="H271" s="39">
        <f>IF(C271="","",IFERROR(INDEX('أوامر التوريد'!$I$5:$I$304,MATCH(C271,'أوامر التوريد'!$A$5:$A$304,0)),""))</f>
        <v/>
      </c>
      <c r="I271" s="40" t="n"/>
      <c r="J271" s="41" t="n"/>
      <c r="K271" s="41" t="n"/>
      <c r="L271" s="46">
        <f>IF(J271="","",J271-K271)</f>
        <v/>
      </c>
      <c r="M271" s="49">
        <f>IF(J271="","",IF(K271=0,"مرفوض",IF(K271&lt;J271,"مقبول جزئياً","مقبول")))</f>
        <v/>
      </c>
      <c r="N271" s="40" t="n"/>
      <c r="O271" s="40" t="n"/>
    </row>
    <row r="272">
      <c r="A272" s="39">
        <f>IF(C272="","","MIR-"&amp;TEXT(ROW()-4,"0000"))</f>
        <v/>
      </c>
      <c r="B272" s="47" t="n"/>
      <c r="C272" s="40" t="n"/>
      <c r="D272" s="39">
        <f>IF(C272="","",IFERROR(INDEX('أوامر التوريد'!$C$5:$C$304,MATCH(C272,'أوامر التوريد'!$A$5:$A$304,0)),""))</f>
        <v/>
      </c>
      <c r="E272" s="49">
        <f>IF(C272="","",IFERROR(INDEX('أوامر التوريد'!$E$5:$E$304,MATCH(C272,'أوامر التوريد'!$A$5:$A$304,0)),""))</f>
        <v/>
      </c>
      <c r="F272" s="39">
        <f>IF(C272="","",IFERROR(INDEX('أوامر التوريد'!$G$5:$G$304,MATCH(C272,'أوامر التوريد'!$A$5:$A$304,0)),""))</f>
        <v/>
      </c>
      <c r="G272" s="49">
        <f>IF(C272="","",IFERROR(INDEX('أوامر التوريد'!$H$5:$H$304,MATCH(C272,'أوامر التوريد'!$A$5:$A$304,0)),""))</f>
        <v/>
      </c>
      <c r="H272" s="39">
        <f>IF(C272="","",IFERROR(INDEX('أوامر التوريد'!$I$5:$I$304,MATCH(C272,'أوامر التوريد'!$A$5:$A$304,0)),""))</f>
        <v/>
      </c>
      <c r="I272" s="40" t="n"/>
      <c r="J272" s="41" t="n"/>
      <c r="K272" s="41" t="n"/>
      <c r="L272" s="46">
        <f>IF(J272="","",J272-K272)</f>
        <v/>
      </c>
      <c r="M272" s="49">
        <f>IF(J272="","",IF(K272=0,"مرفوض",IF(K272&lt;J272,"مقبول جزئياً","مقبول")))</f>
        <v/>
      </c>
      <c r="N272" s="40" t="n"/>
      <c r="O272" s="40" t="n"/>
    </row>
    <row r="273">
      <c r="A273" s="39">
        <f>IF(C273="","","MIR-"&amp;TEXT(ROW()-4,"0000"))</f>
        <v/>
      </c>
      <c r="B273" s="47" t="n"/>
      <c r="C273" s="40" t="n"/>
      <c r="D273" s="39">
        <f>IF(C273="","",IFERROR(INDEX('أوامر التوريد'!$C$5:$C$304,MATCH(C273,'أوامر التوريد'!$A$5:$A$304,0)),""))</f>
        <v/>
      </c>
      <c r="E273" s="49">
        <f>IF(C273="","",IFERROR(INDEX('أوامر التوريد'!$E$5:$E$304,MATCH(C273,'أوامر التوريد'!$A$5:$A$304,0)),""))</f>
        <v/>
      </c>
      <c r="F273" s="39">
        <f>IF(C273="","",IFERROR(INDEX('أوامر التوريد'!$G$5:$G$304,MATCH(C273,'أوامر التوريد'!$A$5:$A$304,0)),""))</f>
        <v/>
      </c>
      <c r="G273" s="49">
        <f>IF(C273="","",IFERROR(INDEX('أوامر التوريد'!$H$5:$H$304,MATCH(C273,'أوامر التوريد'!$A$5:$A$304,0)),""))</f>
        <v/>
      </c>
      <c r="H273" s="39">
        <f>IF(C273="","",IFERROR(INDEX('أوامر التوريد'!$I$5:$I$304,MATCH(C273,'أوامر التوريد'!$A$5:$A$304,0)),""))</f>
        <v/>
      </c>
      <c r="I273" s="40" t="n"/>
      <c r="J273" s="41" t="n"/>
      <c r="K273" s="41" t="n"/>
      <c r="L273" s="46">
        <f>IF(J273="","",J273-K273)</f>
        <v/>
      </c>
      <c r="M273" s="49">
        <f>IF(J273="","",IF(K273=0,"مرفوض",IF(K273&lt;J273,"مقبول جزئياً","مقبول")))</f>
        <v/>
      </c>
      <c r="N273" s="40" t="n"/>
      <c r="O273" s="40" t="n"/>
    </row>
    <row r="274">
      <c r="A274" s="39">
        <f>IF(C274="","","MIR-"&amp;TEXT(ROW()-4,"0000"))</f>
        <v/>
      </c>
      <c r="B274" s="47" t="n"/>
      <c r="C274" s="40" t="n"/>
      <c r="D274" s="39">
        <f>IF(C274="","",IFERROR(INDEX('أوامر التوريد'!$C$5:$C$304,MATCH(C274,'أوامر التوريد'!$A$5:$A$304,0)),""))</f>
        <v/>
      </c>
      <c r="E274" s="49">
        <f>IF(C274="","",IFERROR(INDEX('أوامر التوريد'!$E$5:$E$304,MATCH(C274,'أوامر التوريد'!$A$5:$A$304,0)),""))</f>
        <v/>
      </c>
      <c r="F274" s="39">
        <f>IF(C274="","",IFERROR(INDEX('أوامر التوريد'!$G$5:$G$304,MATCH(C274,'أوامر التوريد'!$A$5:$A$304,0)),""))</f>
        <v/>
      </c>
      <c r="G274" s="49">
        <f>IF(C274="","",IFERROR(INDEX('أوامر التوريد'!$H$5:$H$304,MATCH(C274,'أوامر التوريد'!$A$5:$A$304,0)),""))</f>
        <v/>
      </c>
      <c r="H274" s="39">
        <f>IF(C274="","",IFERROR(INDEX('أوامر التوريد'!$I$5:$I$304,MATCH(C274,'أوامر التوريد'!$A$5:$A$304,0)),""))</f>
        <v/>
      </c>
      <c r="I274" s="40" t="n"/>
      <c r="J274" s="41" t="n"/>
      <c r="K274" s="41" t="n"/>
      <c r="L274" s="46">
        <f>IF(J274="","",J274-K274)</f>
        <v/>
      </c>
      <c r="M274" s="49">
        <f>IF(J274="","",IF(K274=0,"مرفوض",IF(K274&lt;J274,"مقبول جزئياً","مقبول")))</f>
        <v/>
      </c>
      <c r="N274" s="40" t="n"/>
      <c r="O274" s="40" t="n"/>
    </row>
    <row r="275">
      <c r="A275" s="39">
        <f>IF(C275="","","MIR-"&amp;TEXT(ROW()-4,"0000"))</f>
        <v/>
      </c>
      <c r="B275" s="47" t="n"/>
      <c r="C275" s="40" t="n"/>
      <c r="D275" s="39">
        <f>IF(C275="","",IFERROR(INDEX('أوامر التوريد'!$C$5:$C$304,MATCH(C275,'أوامر التوريد'!$A$5:$A$304,0)),""))</f>
        <v/>
      </c>
      <c r="E275" s="49">
        <f>IF(C275="","",IFERROR(INDEX('أوامر التوريد'!$E$5:$E$304,MATCH(C275,'أوامر التوريد'!$A$5:$A$304,0)),""))</f>
        <v/>
      </c>
      <c r="F275" s="39">
        <f>IF(C275="","",IFERROR(INDEX('أوامر التوريد'!$G$5:$G$304,MATCH(C275,'أوامر التوريد'!$A$5:$A$304,0)),""))</f>
        <v/>
      </c>
      <c r="G275" s="49">
        <f>IF(C275="","",IFERROR(INDEX('أوامر التوريد'!$H$5:$H$304,MATCH(C275,'أوامر التوريد'!$A$5:$A$304,0)),""))</f>
        <v/>
      </c>
      <c r="H275" s="39">
        <f>IF(C275="","",IFERROR(INDEX('أوامر التوريد'!$I$5:$I$304,MATCH(C275,'أوامر التوريد'!$A$5:$A$304,0)),""))</f>
        <v/>
      </c>
      <c r="I275" s="40" t="n"/>
      <c r="J275" s="41" t="n"/>
      <c r="K275" s="41" t="n"/>
      <c r="L275" s="46">
        <f>IF(J275="","",J275-K275)</f>
        <v/>
      </c>
      <c r="M275" s="49">
        <f>IF(J275="","",IF(K275=0,"مرفوض",IF(K275&lt;J275,"مقبول جزئياً","مقبول")))</f>
        <v/>
      </c>
      <c r="N275" s="40" t="n"/>
      <c r="O275" s="40" t="n"/>
    </row>
    <row r="276">
      <c r="A276" s="39">
        <f>IF(C276="","","MIR-"&amp;TEXT(ROW()-4,"0000"))</f>
        <v/>
      </c>
      <c r="B276" s="47" t="n"/>
      <c r="C276" s="40" t="n"/>
      <c r="D276" s="39">
        <f>IF(C276="","",IFERROR(INDEX('أوامر التوريد'!$C$5:$C$304,MATCH(C276,'أوامر التوريد'!$A$5:$A$304,0)),""))</f>
        <v/>
      </c>
      <c r="E276" s="49">
        <f>IF(C276="","",IFERROR(INDEX('أوامر التوريد'!$E$5:$E$304,MATCH(C276,'أوامر التوريد'!$A$5:$A$304,0)),""))</f>
        <v/>
      </c>
      <c r="F276" s="39">
        <f>IF(C276="","",IFERROR(INDEX('أوامر التوريد'!$G$5:$G$304,MATCH(C276,'أوامر التوريد'!$A$5:$A$304,0)),""))</f>
        <v/>
      </c>
      <c r="G276" s="49">
        <f>IF(C276="","",IFERROR(INDEX('أوامر التوريد'!$H$5:$H$304,MATCH(C276,'أوامر التوريد'!$A$5:$A$304,0)),""))</f>
        <v/>
      </c>
      <c r="H276" s="39">
        <f>IF(C276="","",IFERROR(INDEX('أوامر التوريد'!$I$5:$I$304,MATCH(C276,'أوامر التوريد'!$A$5:$A$304,0)),""))</f>
        <v/>
      </c>
      <c r="I276" s="40" t="n"/>
      <c r="J276" s="41" t="n"/>
      <c r="K276" s="41" t="n"/>
      <c r="L276" s="46">
        <f>IF(J276="","",J276-K276)</f>
        <v/>
      </c>
      <c r="M276" s="49">
        <f>IF(J276="","",IF(K276=0,"مرفوض",IF(K276&lt;J276,"مقبول جزئياً","مقبول")))</f>
        <v/>
      </c>
      <c r="N276" s="40" t="n"/>
      <c r="O276" s="40" t="n"/>
    </row>
    <row r="277">
      <c r="A277" s="39">
        <f>IF(C277="","","MIR-"&amp;TEXT(ROW()-4,"0000"))</f>
        <v/>
      </c>
      <c r="B277" s="47" t="n"/>
      <c r="C277" s="40" t="n"/>
      <c r="D277" s="39">
        <f>IF(C277="","",IFERROR(INDEX('أوامر التوريد'!$C$5:$C$304,MATCH(C277,'أوامر التوريد'!$A$5:$A$304,0)),""))</f>
        <v/>
      </c>
      <c r="E277" s="49">
        <f>IF(C277="","",IFERROR(INDEX('أوامر التوريد'!$E$5:$E$304,MATCH(C277,'أوامر التوريد'!$A$5:$A$304,0)),""))</f>
        <v/>
      </c>
      <c r="F277" s="39">
        <f>IF(C277="","",IFERROR(INDEX('أوامر التوريد'!$G$5:$G$304,MATCH(C277,'أوامر التوريد'!$A$5:$A$304,0)),""))</f>
        <v/>
      </c>
      <c r="G277" s="49">
        <f>IF(C277="","",IFERROR(INDEX('أوامر التوريد'!$H$5:$H$304,MATCH(C277,'أوامر التوريد'!$A$5:$A$304,0)),""))</f>
        <v/>
      </c>
      <c r="H277" s="39">
        <f>IF(C277="","",IFERROR(INDEX('أوامر التوريد'!$I$5:$I$304,MATCH(C277,'أوامر التوريد'!$A$5:$A$304,0)),""))</f>
        <v/>
      </c>
      <c r="I277" s="40" t="n"/>
      <c r="J277" s="41" t="n"/>
      <c r="K277" s="41" t="n"/>
      <c r="L277" s="46">
        <f>IF(J277="","",J277-K277)</f>
        <v/>
      </c>
      <c r="M277" s="49">
        <f>IF(J277="","",IF(K277=0,"مرفوض",IF(K277&lt;J277,"مقبول جزئياً","مقبول")))</f>
        <v/>
      </c>
      <c r="N277" s="40" t="n"/>
      <c r="O277" s="40" t="n"/>
    </row>
    <row r="278">
      <c r="A278" s="39">
        <f>IF(C278="","","MIR-"&amp;TEXT(ROW()-4,"0000"))</f>
        <v/>
      </c>
      <c r="B278" s="47" t="n"/>
      <c r="C278" s="40" t="n"/>
      <c r="D278" s="39">
        <f>IF(C278="","",IFERROR(INDEX('أوامر التوريد'!$C$5:$C$304,MATCH(C278,'أوامر التوريد'!$A$5:$A$304,0)),""))</f>
        <v/>
      </c>
      <c r="E278" s="49">
        <f>IF(C278="","",IFERROR(INDEX('أوامر التوريد'!$E$5:$E$304,MATCH(C278,'أوامر التوريد'!$A$5:$A$304,0)),""))</f>
        <v/>
      </c>
      <c r="F278" s="39">
        <f>IF(C278="","",IFERROR(INDEX('أوامر التوريد'!$G$5:$G$304,MATCH(C278,'أوامر التوريد'!$A$5:$A$304,0)),""))</f>
        <v/>
      </c>
      <c r="G278" s="49">
        <f>IF(C278="","",IFERROR(INDEX('أوامر التوريد'!$H$5:$H$304,MATCH(C278,'أوامر التوريد'!$A$5:$A$304,0)),""))</f>
        <v/>
      </c>
      <c r="H278" s="39">
        <f>IF(C278="","",IFERROR(INDEX('أوامر التوريد'!$I$5:$I$304,MATCH(C278,'أوامر التوريد'!$A$5:$A$304,0)),""))</f>
        <v/>
      </c>
      <c r="I278" s="40" t="n"/>
      <c r="J278" s="41" t="n"/>
      <c r="K278" s="41" t="n"/>
      <c r="L278" s="46">
        <f>IF(J278="","",J278-K278)</f>
        <v/>
      </c>
      <c r="M278" s="49">
        <f>IF(J278="","",IF(K278=0,"مرفوض",IF(K278&lt;J278,"مقبول جزئياً","مقبول")))</f>
        <v/>
      </c>
      <c r="N278" s="40" t="n"/>
      <c r="O278" s="40" t="n"/>
    </row>
    <row r="279">
      <c r="A279" s="39">
        <f>IF(C279="","","MIR-"&amp;TEXT(ROW()-4,"0000"))</f>
        <v/>
      </c>
      <c r="B279" s="47" t="n"/>
      <c r="C279" s="40" t="n"/>
      <c r="D279" s="39">
        <f>IF(C279="","",IFERROR(INDEX('أوامر التوريد'!$C$5:$C$304,MATCH(C279,'أوامر التوريد'!$A$5:$A$304,0)),""))</f>
        <v/>
      </c>
      <c r="E279" s="49">
        <f>IF(C279="","",IFERROR(INDEX('أوامر التوريد'!$E$5:$E$304,MATCH(C279,'أوامر التوريد'!$A$5:$A$304,0)),""))</f>
        <v/>
      </c>
      <c r="F279" s="39">
        <f>IF(C279="","",IFERROR(INDEX('أوامر التوريد'!$G$5:$G$304,MATCH(C279,'أوامر التوريد'!$A$5:$A$304,0)),""))</f>
        <v/>
      </c>
      <c r="G279" s="49">
        <f>IF(C279="","",IFERROR(INDEX('أوامر التوريد'!$H$5:$H$304,MATCH(C279,'أوامر التوريد'!$A$5:$A$304,0)),""))</f>
        <v/>
      </c>
      <c r="H279" s="39">
        <f>IF(C279="","",IFERROR(INDEX('أوامر التوريد'!$I$5:$I$304,MATCH(C279,'أوامر التوريد'!$A$5:$A$304,0)),""))</f>
        <v/>
      </c>
      <c r="I279" s="40" t="n"/>
      <c r="J279" s="41" t="n"/>
      <c r="K279" s="41" t="n"/>
      <c r="L279" s="46">
        <f>IF(J279="","",J279-K279)</f>
        <v/>
      </c>
      <c r="M279" s="49">
        <f>IF(J279="","",IF(K279=0,"مرفوض",IF(K279&lt;J279,"مقبول جزئياً","مقبول")))</f>
        <v/>
      </c>
      <c r="N279" s="40" t="n"/>
      <c r="O279" s="40" t="n"/>
    </row>
    <row r="280">
      <c r="A280" s="39">
        <f>IF(C280="","","MIR-"&amp;TEXT(ROW()-4,"0000"))</f>
        <v/>
      </c>
      <c r="B280" s="47" t="n"/>
      <c r="C280" s="40" t="n"/>
      <c r="D280" s="39">
        <f>IF(C280="","",IFERROR(INDEX('أوامر التوريد'!$C$5:$C$304,MATCH(C280,'أوامر التوريد'!$A$5:$A$304,0)),""))</f>
        <v/>
      </c>
      <c r="E280" s="49">
        <f>IF(C280="","",IFERROR(INDEX('أوامر التوريد'!$E$5:$E$304,MATCH(C280,'أوامر التوريد'!$A$5:$A$304,0)),""))</f>
        <v/>
      </c>
      <c r="F280" s="39">
        <f>IF(C280="","",IFERROR(INDEX('أوامر التوريد'!$G$5:$G$304,MATCH(C280,'أوامر التوريد'!$A$5:$A$304,0)),""))</f>
        <v/>
      </c>
      <c r="G280" s="49">
        <f>IF(C280="","",IFERROR(INDEX('أوامر التوريد'!$H$5:$H$304,MATCH(C280,'أوامر التوريد'!$A$5:$A$304,0)),""))</f>
        <v/>
      </c>
      <c r="H280" s="39">
        <f>IF(C280="","",IFERROR(INDEX('أوامر التوريد'!$I$5:$I$304,MATCH(C280,'أوامر التوريد'!$A$5:$A$304,0)),""))</f>
        <v/>
      </c>
      <c r="I280" s="40" t="n"/>
      <c r="J280" s="41" t="n"/>
      <c r="K280" s="41" t="n"/>
      <c r="L280" s="46">
        <f>IF(J280="","",J280-K280)</f>
        <v/>
      </c>
      <c r="M280" s="49">
        <f>IF(J280="","",IF(K280=0,"مرفوض",IF(K280&lt;J280,"مقبول جزئياً","مقبول")))</f>
        <v/>
      </c>
      <c r="N280" s="40" t="n"/>
      <c r="O280" s="40" t="n"/>
    </row>
    <row r="281">
      <c r="A281" s="39">
        <f>IF(C281="","","MIR-"&amp;TEXT(ROW()-4,"0000"))</f>
        <v/>
      </c>
      <c r="B281" s="47" t="n"/>
      <c r="C281" s="40" t="n"/>
      <c r="D281" s="39">
        <f>IF(C281="","",IFERROR(INDEX('أوامر التوريد'!$C$5:$C$304,MATCH(C281,'أوامر التوريد'!$A$5:$A$304,0)),""))</f>
        <v/>
      </c>
      <c r="E281" s="49">
        <f>IF(C281="","",IFERROR(INDEX('أوامر التوريد'!$E$5:$E$304,MATCH(C281,'أوامر التوريد'!$A$5:$A$304,0)),""))</f>
        <v/>
      </c>
      <c r="F281" s="39">
        <f>IF(C281="","",IFERROR(INDEX('أوامر التوريد'!$G$5:$G$304,MATCH(C281,'أوامر التوريد'!$A$5:$A$304,0)),""))</f>
        <v/>
      </c>
      <c r="G281" s="49">
        <f>IF(C281="","",IFERROR(INDEX('أوامر التوريد'!$H$5:$H$304,MATCH(C281,'أوامر التوريد'!$A$5:$A$304,0)),""))</f>
        <v/>
      </c>
      <c r="H281" s="39">
        <f>IF(C281="","",IFERROR(INDEX('أوامر التوريد'!$I$5:$I$304,MATCH(C281,'أوامر التوريد'!$A$5:$A$304,0)),""))</f>
        <v/>
      </c>
      <c r="I281" s="40" t="n"/>
      <c r="J281" s="41" t="n"/>
      <c r="K281" s="41" t="n"/>
      <c r="L281" s="46">
        <f>IF(J281="","",J281-K281)</f>
        <v/>
      </c>
      <c r="M281" s="49">
        <f>IF(J281="","",IF(K281=0,"مرفوض",IF(K281&lt;J281,"مقبول جزئياً","مقبول")))</f>
        <v/>
      </c>
      <c r="N281" s="40" t="n"/>
      <c r="O281" s="40" t="n"/>
    </row>
    <row r="282">
      <c r="A282" s="39">
        <f>IF(C282="","","MIR-"&amp;TEXT(ROW()-4,"0000"))</f>
        <v/>
      </c>
      <c r="B282" s="47" t="n"/>
      <c r="C282" s="40" t="n"/>
      <c r="D282" s="39">
        <f>IF(C282="","",IFERROR(INDEX('أوامر التوريد'!$C$5:$C$304,MATCH(C282,'أوامر التوريد'!$A$5:$A$304,0)),""))</f>
        <v/>
      </c>
      <c r="E282" s="49">
        <f>IF(C282="","",IFERROR(INDEX('أوامر التوريد'!$E$5:$E$304,MATCH(C282,'أوامر التوريد'!$A$5:$A$304,0)),""))</f>
        <v/>
      </c>
      <c r="F282" s="39">
        <f>IF(C282="","",IFERROR(INDEX('أوامر التوريد'!$G$5:$G$304,MATCH(C282,'أوامر التوريد'!$A$5:$A$304,0)),""))</f>
        <v/>
      </c>
      <c r="G282" s="49">
        <f>IF(C282="","",IFERROR(INDEX('أوامر التوريد'!$H$5:$H$304,MATCH(C282,'أوامر التوريد'!$A$5:$A$304,0)),""))</f>
        <v/>
      </c>
      <c r="H282" s="39">
        <f>IF(C282="","",IFERROR(INDEX('أوامر التوريد'!$I$5:$I$304,MATCH(C282,'أوامر التوريد'!$A$5:$A$304,0)),""))</f>
        <v/>
      </c>
      <c r="I282" s="40" t="n"/>
      <c r="J282" s="41" t="n"/>
      <c r="K282" s="41" t="n"/>
      <c r="L282" s="46">
        <f>IF(J282="","",J282-K282)</f>
        <v/>
      </c>
      <c r="M282" s="49">
        <f>IF(J282="","",IF(K282=0,"مرفوض",IF(K282&lt;J282,"مقبول جزئياً","مقبول")))</f>
        <v/>
      </c>
      <c r="N282" s="40" t="n"/>
      <c r="O282" s="40" t="n"/>
    </row>
    <row r="283">
      <c r="A283" s="39">
        <f>IF(C283="","","MIR-"&amp;TEXT(ROW()-4,"0000"))</f>
        <v/>
      </c>
      <c r="B283" s="47" t="n"/>
      <c r="C283" s="40" t="n"/>
      <c r="D283" s="39">
        <f>IF(C283="","",IFERROR(INDEX('أوامر التوريد'!$C$5:$C$304,MATCH(C283,'أوامر التوريد'!$A$5:$A$304,0)),""))</f>
        <v/>
      </c>
      <c r="E283" s="49">
        <f>IF(C283="","",IFERROR(INDEX('أوامر التوريد'!$E$5:$E$304,MATCH(C283,'أوامر التوريد'!$A$5:$A$304,0)),""))</f>
        <v/>
      </c>
      <c r="F283" s="39">
        <f>IF(C283="","",IFERROR(INDEX('أوامر التوريد'!$G$5:$G$304,MATCH(C283,'أوامر التوريد'!$A$5:$A$304,0)),""))</f>
        <v/>
      </c>
      <c r="G283" s="49">
        <f>IF(C283="","",IFERROR(INDEX('أوامر التوريد'!$H$5:$H$304,MATCH(C283,'أوامر التوريد'!$A$5:$A$304,0)),""))</f>
        <v/>
      </c>
      <c r="H283" s="39">
        <f>IF(C283="","",IFERROR(INDEX('أوامر التوريد'!$I$5:$I$304,MATCH(C283,'أوامر التوريد'!$A$5:$A$304,0)),""))</f>
        <v/>
      </c>
      <c r="I283" s="40" t="n"/>
      <c r="J283" s="41" t="n"/>
      <c r="K283" s="41" t="n"/>
      <c r="L283" s="46">
        <f>IF(J283="","",J283-K283)</f>
        <v/>
      </c>
      <c r="M283" s="49">
        <f>IF(J283="","",IF(K283=0,"مرفوض",IF(K283&lt;J283,"مقبول جزئياً","مقبول")))</f>
        <v/>
      </c>
      <c r="N283" s="40" t="n"/>
      <c r="O283" s="40" t="n"/>
    </row>
    <row r="284">
      <c r="A284" s="39">
        <f>IF(C284="","","MIR-"&amp;TEXT(ROW()-4,"0000"))</f>
        <v/>
      </c>
      <c r="B284" s="47" t="n"/>
      <c r="C284" s="40" t="n"/>
      <c r="D284" s="39">
        <f>IF(C284="","",IFERROR(INDEX('أوامر التوريد'!$C$5:$C$304,MATCH(C284,'أوامر التوريد'!$A$5:$A$304,0)),""))</f>
        <v/>
      </c>
      <c r="E284" s="49">
        <f>IF(C284="","",IFERROR(INDEX('أوامر التوريد'!$E$5:$E$304,MATCH(C284,'أوامر التوريد'!$A$5:$A$304,0)),""))</f>
        <v/>
      </c>
      <c r="F284" s="39">
        <f>IF(C284="","",IFERROR(INDEX('أوامر التوريد'!$G$5:$G$304,MATCH(C284,'أوامر التوريد'!$A$5:$A$304,0)),""))</f>
        <v/>
      </c>
      <c r="G284" s="49">
        <f>IF(C284="","",IFERROR(INDEX('أوامر التوريد'!$H$5:$H$304,MATCH(C284,'أوامر التوريد'!$A$5:$A$304,0)),""))</f>
        <v/>
      </c>
      <c r="H284" s="39">
        <f>IF(C284="","",IFERROR(INDEX('أوامر التوريد'!$I$5:$I$304,MATCH(C284,'أوامر التوريد'!$A$5:$A$304,0)),""))</f>
        <v/>
      </c>
      <c r="I284" s="40" t="n"/>
      <c r="J284" s="41" t="n"/>
      <c r="K284" s="41" t="n"/>
      <c r="L284" s="46">
        <f>IF(J284="","",J284-K284)</f>
        <v/>
      </c>
      <c r="M284" s="49">
        <f>IF(J284="","",IF(K284=0,"مرفوض",IF(K284&lt;J284,"مقبول جزئياً","مقبول")))</f>
        <v/>
      </c>
      <c r="N284" s="40" t="n"/>
      <c r="O284" s="40" t="n"/>
    </row>
    <row r="285">
      <c r="A285" s="39">
        <f>IF(C285="","","MIR-"&amp;TEXT(ROW()-4,"0000"))</f>
        <v/>
      </c>
      <c r="B285" s="47" t="n"/>
      <c r="C285" s="40" t="n"/>
      <c r="D285" s="39">
        <f>IF(C285="","",IFERROR(INDEX('أوامر التوريد'!$C$5:$C$304,MATCH(C285,'أوامر التوريد'!$A$5:$A$304,0)),""))</f>
        <v/>
      </c>
      <c r="E285" s="49">
        <f>IF(C285="","",IFERROR(INDEX('أوامر التوريد'!$E$5:$E$304,MATCH(C285,'أوامر التوريد'!$A$5:$A$304,0)),""))</f>
        <v/>
      </c>
      <c r="F285" s="39">
        <f>IF(C285="","",IFERROR(INDEX('أوامر التوريد'!$G$5:$G$304,MATCH(C285,'أوامر التوريد'!$A$5:$A$304,0)),""))</f>
        <v/>
      </c>
      <c r="G285" s="49">
        <f>IF(C285="","",IFERROR(INDEX('أوامر التوريد'!$H$5:$H$304,MATCH(C285,'أوامر التوريد'!$A$5:$A$304,0)),""))</f>
        <v/>
      </c>
      <c r="H285" s="39">
        <f>IF(C285="","",IFERROR(INDEX('أوامر التوريد'!$I$5:$I$304,MATCH(C285,'أوامر التوريد'!$A$5:$A$304,0)),""))</f>
        <v/>
      </c>
      <c r="I285" s="40" t="n"/>
      <c r="J285" s="41" t="n"/>
      <c r="K285" s="41" t="n"/>
      <c r="L285" s="46">
        <f>IF(J285="","",J285-K285)</f>
        <v/>
      </c>
      <c r="M285" s="49">
        <f>IF(J285="","",IF(K285=0,"مرفوض",IF(K285&lt;J285,"مقبول جزئياً","مقبول")))</f>
        <v/>
      </c>
      <c r="N285" s="40" t="n"/>
      <c r="O285" s="40" t="n"/>
    </row>
    <row r="286">
      <c r="A286" s="39">
        <f>IF(C286="","","MIR-"&amp;TEXT(ROW()-4,"0000"))</f>
        <v/>
      </c>
      <c r="B286" s="47" t="n"/>
      <c r="C286" s="40" t="n"/>
      <c r="D286" s="39">
        <f>IF(C286="","",IFERROR(INDEX('أوامر التوريد'!$C$5:$C$304,MATCH(C286,'أوامر التوريد'!$A$5:$A$304,0)),""))</f>
        <v/>
      </c>
      <c r="E286" s="49">
        <f>IF(C286="","",IFERROR(INDEX('أوامر التوريد'!$E$5:$E$304,MATCH(C286,'أوامر التوريد'!$A$5:$A$304,0)),""))</f>
        <v/>
      </c>
      <c r="F286" s="39">
        <f>IF(C286="","",IFERROR(INDEX('أوامر التوريد'!$G$5:$G$304,MATCH(C286,'أوامر التوريد'!$A$5:$A$304,0)),""))</f>
        <v/>
      </c>
      <c r="G286" s="49">
        <f>IF(C286="","",IFERROR(INDEX('أوامر التوريد'!$H$5:$H$304,MATCH(C286,'أوامر التوريد'!$A$5:$A$304,0)),""))</f>
        <v/>
      </c>
      <c r="H286" s="39">
        <f>IF(C286="","",IFERROR(INDEX('أوامر التوريد'!$I$5:$I$304,MATCH(C286,'أوامر التوريد'!$A$5:$A$304,0)),""))</f>
        <v/>
      </c>
      <c r="I286" s="40" t="n"/>
      <c r="J286" s="41" t="n"/>
      <c r="K286" s="41" t="n"/>
      <c r="L286" s="46">
        <f>IF(J286="","",J286-K286)</f>
        <v/>
      </c>
      <c r="M286" s="49">
        <f>IF(J286="","",IF(K286=0,"مرفوض",IF(K286&lt;J286,"مقبول جزئياً","مقبول")))</f>
        <v/>
      </c>
      <c r="N286" s="40" t="n"/>
      <c r="O286" s="40" t="n"/>
    </row>
    <row r="287">
      <c r="A287" s="39">
        <f>IF(C287="","","MIR-"&amp;TEXT(ROW()-4,"0000"))</f>
        <v/>
      </c>
      <c r="B287" s="47" t="n"/>
      <c r="C287" s="40" t="n"/>
      <c r="D287" s="39">
        <f>IF(C287="","",IFERROR(INDEX('أوامر التوريد'!$C$5:$C$304,MATCH(C287,'أوامر التوريد'!$A$5:$A$304,0)),""))</f>
        <v/>
      </c>
      <c r="E287" s="49">
        <f>IF(C287="","",IFERROR(INDEX('أوامر التوريد'!$E$5:$E$304,MATCH(C287,'أوامر التوريد'!$A$5:$A$304,0)),""))</f>
        <v/>
      </c>
      <c r="F287" s="39">
        <f>IF(C287="","",IFERROR(INDEX('أوامر التوريد'!$G$5:$G$304,MATCH(C287,'أوامر التوريد'!$A$5:$A$304,0)),""))</f>
        <v/>
      </c>
      <c r="G287" s="49">
        <f>IF(C287="","",IFERROR(INDEX('أوامر التوريد'!$H$5:$H$304,MATCH(C287,'أوامر التوريد'!$A$5:$A$304,0)),""))</f>
        <v/>
      </c>
      <c r="H287" s="39">
        <f>IF(C287="","",IFERROR(INDEX('أوامر التوريد'!$I$5:$I$304,MATCH(C287,'أوامر التوريد'!$A$5:$A$304,0)),""))</f>
        <v/>
      </c>
      <c r="I287" s="40" t="n"/>
      <c r="J287" s="41" t="n"/>
      <c r="K287" s="41" t="n"/>
      <c r="L287" s="46">
        <f>IF(J287="","",J287-K287)</f>
        <v/>
      </c>
      <c r="M287" s="49">
        <f>IF(J287="","",IF(K287=0,"مرفوض",IF(K287&lt;J287,"مقبول جزئياً","مقبول")))</f>
        <v/>
      </c>
      <c r="N287" s="40" t="n"/>
      <c r="O287" s="40" t="n"/>
    </row>
    <row r="288">
      <c r="A288" s="39">
        <f>IF(C288="","","MIR-"&amp;TEXT(ROW()-4,"0000"))</f>
        <v/>
      </c>
      <c r="B288" s="47" t="n"/>
      <c r="C288" s="40" t="n"/>
      <c r="D288" s="39">
        <f>IF(C288="","",IFERROR(INDEX('أوامر التوريد'!$C$5:$C$304,MATCH(C288,'أوامر التوريد'!$A$5:$A$304,0)),""))</f>
        <v/>
      </c>
      <c r="E288" s="49">
        <f>IF(C288="","",IFERROR(INDEX('أوامر التوريد'!$E$5:$E$304,MATCH(C288,'أوامر التوريد'!$A$5:$A$304,0)),""))</f>
        <v/>
      </c>
      <c r="F288" s="39">
        <f>IF(C288="","",IFERROR(INDEX('أوامر التوريد'!$G$5:$G$304,MATCH(C288,'أوامر التوريد'!$A$5:$A$304,0)),""))</f>
        <v/>
      </c>
      <c r="G288" s="49">
        <f>IF(C288="","",IFERROR(INDEX('أوامر التوريد'!$H$5:$H$304,MATCH(C288,'أوامر التوريد'!$A$5:$A$304,0)),""))</f>
        <v/>
      </c>
      <c r="H288" s="39">
        <f>IF(C288="","",IFERROR(INDEX('أوامر التوريد'!$I$5:$I$304,MATCH(C288,'أوامر التوريد'!$A$5:$A$304,0)),""))</f>
        <v/>
      </c>
      <c r="I288" s="40" t="n"/>
      <c r="J288" s="41" t="n"/>
      <c r="K288" s="41" t="n"/>
      <c r="L288" s="46">
        <f>IF(J288="","",J288-K288)</f>
        <v/>
      </c>
      <c r="M288" s="49">
        <f>IF(J288="","",IF(K288=0,"مرفوض",IF(K288&lt;J288,"مقبول جزئياً","مقبول")))</f>
        <v/>
      </c>
      <c r="N288" s="40" t="n"/>
      <c r="O288" s="40" t="n"/>
    </row>
    <row r="289">
      <c r="A289" s="39">
        <f>IF(C289="","","MIR-"&amp;TEXT(ROW()-4,"0000"))</f>
        <v/>
      </c>
      <c r="B289" s="47" t="n"/>
      <c r="C289" s="40" t="n"/>
      <c r="D289" s="39">
        <f>IF(C289="","",IFERROR(INDEX('أوامر التوريد'!$C$5:$C$304,MATCH(C289,'أوامر التوريد'!$A$5:$A$304,0)),""))</f>
        <v/>
      </c>
      <c r="E289" s="49">
        <f>IF(C289="","",IFERROR(INDEX('أوامر التوريد'!$E$5:$E$304,MATCH(C289,'أوامر التوريد'!$A$5:$A$304,0)),""))</f>
        <v/>
      </c>
      <c r="F289" s="39">
        <f>IF(C289="","",IFERROR(INDEX('أوامر التوريد'!$G$5:$G$304,MATCH(C289,'أوامر التوريد'!$A$5:$A$304,0)),""))</f>
        <v/>
      </c>
      <c r="G289" s="49">
        <f>IF(C289="","",IFERROR(INDEX('أوامر التوريد'!$H$5:$H$304,MATCH(C289,'أوامر التوريد'!$A$5:$A$304,0)),""))</f>
        <v/>
      </c>
      <c r="H289" s="39">
        <f>IF(C289="","",IFERROR(INDEX('أوامر التوريد'!$I$5:$I$304,MATCH(C289,'أوامر التوريد'!$A$5:$A$304,0)),""))</f>
        <v/>
      </c>
      <c r="I289" s="40" t="n"/>
      <c r="J289" s="41" t="n"/>
      <c r="K289" s="41" t="n"/>
      <c r="L289" s="46">
        <f>IF(J289="","",J289-K289)</f>
        <v/>
      </c>
      <c r="M289" s="49">
        <f>IF(J289="","",IF(K289=0,"مرفوض",IF(K289&lt;J289,"مقبول جزئياً","مقبول")))</f>
        <v/>
      </c>
      <c r="N289" s="40" t="n"/>
      <c r="O289" s="40" t="n"/>
    </row>
    <row r="290">
      <c r="A290" s="39">
        <f>IF(C290="","","MIR-"&amp;TEXT(ROW()-4,"0000"))</f>
        <v/>
      </c>
      <c r="B290" s="47" t="n"/>
      <c r="C290" s="40" t="n"/>
      <c r="D290" s="39">
        <f>IF(C290="","",IFERROR(INDEX('أوامر التوريد'!$C$5:$C$304,MATCH(C290,'أوامر التوريد'!$A$5:$A$304,0)),""))</f>
        <v/>
      </c>
      <c r="E290" s="49">
        <f>IF(C290="","",IFERROR(INDEX('أوامر التوريد'!$E$5:$E$304,MATCH(C290,'أوامر التوريد'!$A$5:$A$304,0)),""))</f>
        <v/>
      </c>
      <c r="F290" s="39">
        <f>IF(C290="","",IFERROR(INDEX('أوامر التوريد'!$G$5:$G$304,MATCH(C290,'أوامر التوريد'!$A$5:$A$304,0)),""))</f>
        <v/>
      </c>
      <c r="G290" s="49">
        <f>IF(C290="","",IFERROR(INDEX('أوامر التوريد'!$H$5:$H$304,MATCH(C290,'أوامر التوريد'!$A$5:$A$304,0)),""))</f>
        <v/>
      </c>
      <c r="H290" s="39">
        <f>IF(C290="","",IFERROR(INDEX('أوامر التوريد'!$I$5:$I$304,MATCH(C290,'أوامر التوريد'!$A$5:$A$304,0)),""))</f>
        <v/>
      </c>
      <c r="I290" s="40" t="n"/>
      <c r="J290" s="41" t="n"/>
      <c r="K290" s="41" t="n"/>
      <c r="L290" s="46">
        <f>IF(J290="","",J290-K290)</f>
        <v/>
      </c>
      <c r="M290" s="49">
        <f>IF(J290="","",IF(K290=0,"مرفوض",IF(K290&lt;J290,"مقبول جزئياً","مقبول")))</f>
        <v/>
      </c>
      <c r="N290" s="40" t="n"/>
      <c r="O290" s="40" t="n"/>
    </row>
    <row r="291">
      <c r="A291" s="39">
        <f>IF(C291="","","MIR-"&amp;TEXT(ROW()-4,"0000"))</f>
        <v/>
      </c>
      <c r="B291" s="47" t="n"/>
      <c r="C291" s="40" t="n"/>
      <c r="D291" s="39">
        <f>IF(C291="","",IFERROR(INDEX('أوامر التوريد'!$C$5:$C$304,MATCH(C291,'أوامر التوريد'!$A$5:$A$304,0)),""))</f>
        <v/>
      </c>
      <c r="E291" s="49">
        <f>IF(C291="","",IFERROR(INDEX('أوامر التوريد'!$E$5:$E$304,MATCH(C291,'أوامر التوريد'!$A$5:$A$304,0)),""))</f>
        <v/>
      </c>
      <c r="F291" s="39">
        <f>IF(C291="","",IFERROR(INDEX('أوامر التوريد'!$G$5:$G$304,MATCH(C291,'أوامر التوريد'!$A$5:$A$304,0)),""))</f>
        <v/>
      </c>
      <c r="G291" s="49">
        <f>IF(C291="","",IFERROR(INDEX('أوامر التوريد'!$H$5:$H$304,MATCH(C291,'أوامر التوريد'!$A$5:$A$304,0)),""))</f>
        <v/>
      </c>
      <c r="H291" s="39">
        <f>IF(C291="","",IFERROR(INDEX('أوامر التوريد'!$I$5:$I$304,MATCH(C291,'أوامر التوريد'!$A$5:$A$304,0)),""))</f>
        <v/>
      </c>
      <c r="I291" s="40" t="n"/>
      <c r="J291" s="41" t="n"/>
      <c r="K291" s="41" t="n"/>
      <c r="L291" s="46">
        <f>IF(J291="","",J291-K291)</f>
        <v/>
      </c>
      <c r="M291" s="49">
        <f>IF(J291="","",IF(K291=0,"مرفوض",IF(K291&lt;J291,"مقبول جزئياً","مقبول")))</f>
        <v/>
      </c>
      <c r="N291" s="40" t="n"/>
      <c r="O291" s="40" t="n"/>
    </row>
    <row r="292">
      <c r="A292" s="39">
        <f>IF(C292="","","MIR-"&amp;TEXT(ROW()-4,"0000"))</f>
        <v/>
      </c>
      <c r="B292" s="47" t="n"/>
      <c r="C292" s="40" t="n"/>
      <c r="D292" s="39">
        <f>IF(C292="","",IFERROR(INDEX('أوامر التوريد'!$C$5:$C$304,MATCH(C292,'أوامر التوريد'!$A$5:$A$304,0)),""))</f>
        <v/>
      </c>
      <c r="E292" s="49">
        <f>IF(C292="","",IFERROR(INDEX('أوامر التوريد'!$E$5:$E$304,MATCH(C292,'أوامر التوريد'!$A$5:$A$304,0)),""))</f>
        <v/>
      </c>
      <c r="F292" s="39">
        <f>IF(C292="","",IFERROR(INDEX('أوامر التوريد'!$G$5:$G$304,MATCH(C292,'أوامر التوريد'!$A$5:$A$304,0)),""))</f>
        <v/>
      </c>
      <c r="G292" s="49">
        <f>IF(C292="","",IFERROR(INDEX('أوامر التوريد'!$H$5:$H$304,MATCH(C292,'أوامر التوريد'!$A$5:$A$304,0)),""))</f>
        <v/>
      </c>
      <c r="H292" s="39">
        <f>IF(C292="","",IFERROR(INDEX('أوامر التوريد'!$I$5:$I$304,MATCH(C292,'أوامر التوريد'!$A$5:$A$304,0)),""))</f>
        <v/>
      </c>
      <c r="I292" s="40" t="n"/>
      <c r="J292" s="41" t="n"/>
      <c r="K292" s="41" t="n"/>
      <c r="L292" s="46">
        <f>IF(J292="","",J292-K292)</f>
        <v/>
      </c>
      <c r="M292" s="49">
        <f>IF(J292="","",IF(K292=0,"مرفوض",IF(K292&lt;J292,"مقبول جزئياً","مقبول")))</f>
        <v/>
      </c>
      <c r="N292" s="40" t="n"/>
      <c r="O292" s="40" t="n"/>
    </row>
    <row r="293">
      <c r="A293" s="39">
        <f>IF(C293="","","MIR-"&amp;TEXT(ROW()-4,"0000"))</f>
        <v/>
      </c>
      <c r="B293" s="47" t="n"/>
      <c r="C293" s="40" t="n"/>
      <c r="D293" s="39">
        <f>IF(C293="","",IFERROR(INDEX('أوامر التوريد'!$C$5:$C$304,MATCH(C293,'أوامر التوريد'!$A$5:$A$304,0)),""))</f>
        <v/>
      </c>
      <c r="E293" s="49">
        <f>IF(C293="","",IFERROR(INDEX('أوامر التوريد'!$E$5:$E$304,MATCH(C293,'أوامر التوريد'!$A$5:$A$304,0)),""))</f>
        <v/>
      </c>
      <c r="F293" s="39">
        <f>IF(C293="","",IFERROR(INDEX('أوامر التوريد'!$G$5:$G$304,MATCH(C293,'أوامر التوريد'!$A$5:$A$304,0)),""))</f>
        <v/>
      </c>
      <c r="G293" s="49">
        <f>IF(C293="","",IFERROR(INDEX('أوامر التوريد'!$H$5:$H$304,MATCH(C293,'أوامر التوريد'!$A$5:$A$304,0)),""))</f>
        <v/>
      </c>
      <c r="H293" s="39">
        <f>IF(C293="","",IFERROR(INDEX('أوامر التوريد'!$I$5:$I$304,MATCH(C293,'أوامر التوريد'!$A$5:$A$304,0)),""))</f>
        <v/>
      </c>
      <c r="I293" s="40" t="n"/>
      <c r="J293" s="41" t="n"/>
      <c r="K293" s="41" t="n"/>
      <c r="L293" s="46">
        <f>IF(J293="","",J293-K293)</f>
        <v/>
      </c>
      <c r="M293" s="49">
        <f>IF(J293="","",IF(K293=0,"مرفوض",IF(K293&lt;J293,"مقبول جزئياً","مقبول")))</f>
        <v/>
      </c>
      <c r="N293" s="40" t="n"/>
      <c r="O293" s="40" t="n"/>
    </row>
    <row r="294">
      <c r="A294" s="39">
        <f>IF(C294="","","MIR-"&amp;TEXT(ROW()-4,"0000"))</f>
        <v/>
      </c>
      <c r="B294" s="47" t="n"/>
      <c r="C294" s="40" t="n"/>
      <c r="D294" s="39">
        <f>IF(C294="","",IFERROR(INDEX('أوامر التوريد'!$C$5:$C$304,MATCH(C294,'أوامر التوريد'!$A$5:$A$304,0)),""))</f>
        <v/>
      </c>
      <c r="E294" s="49">
        <f>IF(C294="","",IFERROR(INDEX('أوامر التوريد'!$E$5:$E$304,MATCH(C294,'أوامر التوريد'!$A$5:$A$304,0)),""))</f>
        <v/>
      </c>
      <c r="F294" s="39">
        <f>IF(C294="","",IFERROR(INDEX('أوامر التوريد'!$G$5:$G$304,MATCH(C294,'أوامر التوريد'!$A$5:$A$304,0)),""))</f>
        <v/>
      </c>
      <c r="G294" s="49">
        <f>IF(C294="","",IFERROR(INDEX('أوامر التوريد'!$H$5:$H$304,MATCH(C294,'أوامر التوريد'!$A$5:$A$304,0)),""))</f>
        <v/>
      </c>
      <c r="H294" s="39">
        <f>IF(C294="","",IFERROR(INDEX('أوامر التوريد'!$I$5:$I$304,MATCH(C294,'أوامر التوريد'!$A$5:$A$304,0)),""))</f>
        <v/>
      </c>
      <c r="I294" s="40" t="n"/>
      <c r="J294" s="41" t="n"/>
      <c r="K294" s="41" t="n"/>
      <c r="L294" s="46">
        <f>IF(J294="","",J294-K294)</f>
        <v/>
      </c>
      <c r="M294" s="49">
        <f>IF(J294="","",IF(K294=0,"مرفوض",IF(K294&lt;J294,"مقبول جزئياً","مقبول")))</f>
        <v/>
      </c>
      <c r="N294" s="40" t="n"/>
      <c r="O294" s="40" t="n"/>
    </row>
    <row r="295">
      <c r="A295" s="39">
        <f>IF(C295="","","MIR-"&amp;TEXT(ROW()-4,"0000"))</f>
        <v/>
      </c>
      <c r="B295" s="47" t="n"/>
      <c r="C295" s="40" t="n"/>
      <c r="D295" s="39">
        <f>IF(C295="","",IFERROR(INDEX('أوامر التوريد'!$C$5:$C$304,MATCH(C295,'أوامر التوريد'!$A$5:$A$304,0)),""))</f>
        <v/>
      </c>
      <c r="E295" s="49">
        <f>IF(C295="","",IFERROR(INDEX('أوامر التوريد'!$E$5:$E$304,MATCH(C295,'أوامر التوريد'!$A$5:$A$304,0)),""))</f>
        <v/>
      </c>
      <c r="F295" s="39">
        <f>IF(C295="","",IFERROR(INDEX('أوامر التوريد'!$G$5:$G$304,MATCH(C295,'أوامر التوريد'!$A$5:$A$304,0)),""))</f>
        <v/>
      </c>
      <c r="G295" s="49">
        <f>IF(C295="","",IFERROR(INDEX('أوامر التوريد'!$H$5:$H$304,MATCH(C295,'أوامر التوريد'!$A$5:$A$304,0)),""))</f>
        <v/>
      </c>
      <c r="H295" s="39">
        <f>IF(C295="","",IFERROR(INDEX('أوامر التوريد'!$I$5:$I$304,MATCH(C295,'أوامر التوريد'!$A$5:$A$304,0)),""))</f>
        <v/>
      </c>
      <c r="I295" s="40" t="n"/>
      <c r="J295" s="41" t="n"/>
      <c r="K295" s="41" t="n"/>
      <c r="L295" s="46">
        <f>IF(J295="","",J295-K295)</f>
        <v/>
      </c>
      <c r="M295" s="49">
        <f>IF(J295="","",IF(K295=0,"مرفوض",IF(K295&lt;J295,"مقبول جزئياً","مقبول")))</f>
        <v/>
      </c>
      <c r="N295" s="40" t="n"/>
      <c r="O295" s="40" t="n"/>
    </row>
    <row r="296">
      <c r="A296" s="39">
        <f>IF(C296="","","MIR-"&amp;TEXT(ROW()-4,"0000"))</f>
        <v/>
      </c>
      <c r="B296" s="47" t="n"/>
      <c r="C296" s="40" t="n"/>
      <c r="D296" s="39">
        <f>IF(C296="","",IFERROR(INDEX('أوامر التوريد'!$C$5:$C$304,MATCH(C296,'أوامر التوريد'!$A$5:$A$304,0)),""))</f>
        <v/>
      </c>
      <c r="E296" s="49">
        <f>IF(C296="","",IFERROR(INDEX('أوامر التوريد'!$E$5:$E$304,MATCH(C296,'أوامر التوريد'!$A$5:$A$304,0)),""))</f>
        <v/>
      </c>
      <c r="F296" s="39">
        <f>IF(C296="","",IFERROR(INDEX('أوامر التوريد'!$G$5:$G$304,MATCH(C296,'أوامر التوريد'!$A$5:$A$304,0)),""))</f>
        <v/>
      </c>
      <c r="G296" s="49">
        <f>IF(C296="","",IFERROR(INDEX('أوامر التوريد'!$H$5:$H$304,MATCH(C296,'أوامر التوريد'!$A$5:$A$304,0)),""))</f>
        <v/>
      </c>
      <c r="H296" s="39">
        <f>IF(C296="","",IFERROR(INDEX('أوامر التوريد'!$I$5:$I$304,MATCH(C296,'أوامر التوريد'!$A$5:$A$304,0)),""))</f>
        <v/>
      </c>
      <c r="I296" s="40" t="n"/>
      <c r="J296" s="41" t="n"/>
      <c r="K296" s="41" t="n"/>
      <c r="L296" s="46">
        <f>IF(J296="","",J296-K296)</f>
        <v/>
      </c>
      <c r="M296" s="49">
        <f>IF(J296="","",IF(K296=0,"مرفوض",IF(K296&lt;J296,"مقبول جزئياً","مقبول")))</f>
        <v/>
      </c>
      <c r="N296" s="40" t="n"/>
      <c r="O296" s="40" t="n"/>
    </row>
    <row r="297">
      <c r="A297" s="39">
        <f>IF(C297="","","MIR-"&amp;TEXT(ROW()-4,"0000"))</f>
        <v/>
      </c>
      <c r="B297" s="47" t="n"/>
      <c r="C297" s="40" t="n"/>
      <c r="D297" s="39">
        <f>IF(C297="","",IFERROR(INDEX('أوامر التوريد'!$C$5:$C$304,MATCH(C297,'أوامر التوريد'!$A$5:$A$304,0)),""))</f>
        <v/>
      </c>
      <c r="E297" s="49">
        <f>IF(C297="","",IFERROR(INDEX('أوامر التوريد'!$E$5:$E$304,MATCH(C297,'أوامر التوريد'!$A$5:$A$304,0)),""))</f>
        <v/>
      </c>
      <c r="F297" s="39">
        <f>IF(C297="","",IFERROR(INDEX('أوامر التوريد'!$G$5:$G$304,MATCH(C297,'أوامر التوريد'!$A$5:$A$304,0)),""))</f>
        <v/>
      </c>
      <c r="G297" s="49">
        <f>IF(C297="","",IFERROR(INDEX('أوامر التوريد'!$H$5:$H$304,MATCH(C297,'أوامر التوريد'!$A$5:$A$304,0)),""))</f>
        <v/>
      </c>
      <c r="H297" s="39">
        <f>IF(C297="","",IFERROR(INDEX('أوامر التوريد'!$I$5:$I$304,MATCH(C297,'أوامر التوريد'!$A$5:$A$304,0)),""))</f>
        <v/>
      </c>
      <c r="I297" s="40" t="n"/>
      <c r="J297" s="41" t="n"/>
      <c r="K297" s="41" t="n"/>
      <c r="L297" s="46">
        <f>IF(J297="","",J297-K297)</f>
        <v/>
      </c>
      <c r="M297" s="49">
        <f>IF(J297="","",IF(K297=0,"مرفوض",IF(K297&lt;J297,"مقبول جزئياً","مقبول")))</f>
        <v/>
      </c>
      <c r="N297" s="40" t="n"/>
      <c r="O297" s="40" t="n"/>
    </row>
    <row r="298">
      <c r="A298" s="39">
        <f>IF(C298="","","MIR-"&amp;TEXT(ROW()-4,"0000"))</f>
        <v/>
      </c>
      <c r="B298" s="47" t="n"/>
      <c r="C298" s="40" t="n"/>
      <c r="D298" s="39">
        <f>IF(C298="","",IFERROR(INDEX('أوامر التوريد'!$C$5:$C$304,MATCH(C298,'أوامر التوريد'!$A$5:$A$304,0)),""))</f>
        <v/>
      </c>
      <c r="E298" s="49">
        <f>IF(C298="","",IFERROR(INDEX('أوامر التوريد'!$E$5:$E$304,MATCH(C298,'أوامر التوريد'!$A$5:$A$304,0)),""))</f>
        <v/>
      </c>
      <c r="F298" s="39">
        <f>IF(C298="","",IFERROR(INDEX('أوامر التوريد'!$G$5:$G$304,MATCH(C298,'أوامر التوريد'!$A$5:$A$304,0)),""))</f>
        <v/>
      </c>
      <c r="G298" s="49">
        <f>IF(C298="","",IFERROR(INDEX('أوامر التوريد'!$H$5:$H$304,MATCH(C298,'أوامر التوريد'!$A$5:$A$304,0)),""))</f>
        <v/>
      </c>
      <c r="H298" s="39">
        <f>IF(C298="","",IFERROR(INDEX('أوامر التوريد'!$I$5:$I$304,MATCH(C298,'أوامر التوريد'!$A$5:$A$304,0)),""))</f>
        <v/>
      </c>
      <c r="I298" s="40" t="n"/>
      <c r="J298" s="41" t="n"/>
      <c r="K298" s="41" t="n"/>
      <c r="L298" s="46">
        <f>IF(J298="","",J298-K298)</f>
        <v/>
      </c>
      <c r="M298" s="49">
        <f>IF(J298="","",IF(K298=0,"مرفوض",IF(K298&lt;J298,"مقبول جزئياً","مقبول")))</f>
        <v/>
      </c>
      <c r="N298" s="40" t="n"/>
      <c r="O298" s="40" t="n"/>
    </row>
    <row r="299">
      <c r="A299" s="39">
        <f>IF(C299="","","MIR-"&amp;TEXT(ROW()-4,"0000"))</f>
        <v/>
      </c>
      <c r="B299" s="47" t="n"/>
      <c r="C299" s="40" t="n"/>
      <c r="D299" s="39">
        <f>IF(C299="","",IFERROR(INDEX('أوامر التوريد'!$C$5:$C$304,MATCH(C299,'أوامر التوريد'!$A$5:$A$304,0)),""))</f>
        <v/>
      </c>
      <c r="E299" s="49">
        <f>IF(C299="","",IFERROR(INDEX('أوامر التوريد'!$E$5:$E$304,MATCH(C299,'أوامر التوريد'!$A$5:$A$304,0)),""))</f>
        <v/>
      </c>
      <c r="F299" s="39">
        <f>IF(C299="","",IFERROR(INDEX('أوامر التوريد'!$G$5:$G$304,MATCH(C299,'أوامر التوريد'!$A$5:$A$304,0)),""))</f>
        <v/>
      </c>
      <c r="G299" s="49">
        <f>IF(C299="","",IFERROR(INDEX('أوامر التوريد'!$H$5:$H$304,MATCH(C299,'أوامر التوريد'!$A$5:$A$304,0)),""))</f>
        <v/>
      </c>
      <c r="H299" s="39">
        <f>IF(C299="","",IFERROR(INDEX('أوامر التوريد'!$I$5:$I$304,MATCH(C299,'أوامر التوريد'!$A$5:$A$304,0)),""))</f>
        <v/>
      </c>
      <c r="I299" s="40" t="n"/>
      <c r="J299" s="41" t="n"/>
      <c r="K299" s="41" t="n"/>
      <c r="L299" s="46">
        <f>IF(J299="","",J299-K299)</f>
        <v/>
      </c>
      <c r="M299" s="49">
        <f>IF(J299="","",IF(K299=0,"مرفوض",IF(K299&lt;J299,"مقبول جزئياً","مقبول")))</f>
        <v/>
      </c>
      <c r="N299" s="40" t="n"/>
      <c r="O299" s="40" t="n"/>
    </row>
    <row r="300">
      <c r="A300" s="39">
        <f>IF(C300="","","MIR-"&amp;TEXT(ROW()-4,"0000"))</f>
        <v/>
      </c>
      <c r="B300" s="47" t="n"/>
      <c r="C300" s="40" t="n"/>
      <c r="D300" s="39">
        <f>IF(C300="","",IFERROR(INDEX('أوامر التوريد'!$C$5:$C$304,MATCH(C300,'أوامر التوريد'!$A$5:$A$304,0)),""))</f>
        <v/>
      </c>
      <c r="E300" s="49">
        <f>IF(C300="","",IFERROR(INDEX('أوامر التوريد'!$E$5:$E$304,MATCH(C300,'أوامر التوريد'!$A$5:$A$304,0)),""))</f>
        <v/>
      </c>
      <c r="F300" s="39">
        <f>IF(C300="","",IFERROR(INDEX('أوامر التوريد'!$G$5:$G$304,MATCH(C300,'أوامر التوريد'!$A$5:$A$304,0)),""))</f>
        <v/>
      </c>
      <c r="G300" s="49">
        <f>IF(C300="","",IFERROR(INDEX('أوامر التوريد'!$H$5:$H$304,MATCH(C300,'أوامر التوريد'!$A$5:$A$304,0)),""))</f>
        <v/>
      </c>
      <c r="H300" s="39">
        <f>IF(C300="","",IFERROR(INDEX('أوامر التوريد'!$I$5:$I$304,MATCH(C300,'أوامر التوريد'!$A$5:$A$304,0)),""))</f>
        <v/>
      </c>
      <c r="I300" s="40" t="n"/>
      <c r="J300" s="41" t="n"/>
      <c r="K300" s="41" t="n"/>
      <c r="L300" s="46">
        <f>IF(J300="","",J300-K300)</f>
        <v/>
      </c>
      <c r="M300" s="49">
        <f>IF(J300="","",IF(K300=0,"مرفوض",IF(K300&lt;J300,"مقبول جزئياً","مقبول")))</f>
        <v/>
      </c>
      <c r="N300" s="40" t="n"/>
      <c r="O300" s="40" t="n"/>
    </row>
    <row r="301">
      <c r="A301" s="39">
        <f>IF(C301="","","MIR-"&amp;TEXT(ROW()-4,"0000"))</f>
        <v/>
      </c>
      <c r="B301" s="47" t="n"/>
      <c r="C301" s="40" t="n"/>
      <c r="D301" s="39">
        <f>IF(C301="","",IFERROR(INDEX('أوامر التوريد'!$C$5:$C$304,MATCH(C301,'أوامر التوريد'!$A$5:$A$304,0)),""))</f>
        <v/>
      </c>
      <c r="E301" s="49">
        <f>IF(C301="","",IFERROR(INDEX('أوامر التوريد'!$E$5:$E$304,MATCH(C301,'أوامر التوريد'!$A$5:$A$304,0)),""))</f>
        <v/>
      </c>
      <c r="F301" s="39">
        <f>IF(C301="","",IFERROR(INDEX('أوامر التوريد'!$G$5:$G$304,MATCH(C301,'أوامر التوريد'!$A$5:$A$304,0)),""))</f>
        <v/>
      </c>
      <c r="G301" s="49">
        <f>IF(C301="","",IFERROR(INDEX('أوامر التوريد'!$H$5:$H$304,MATCH(C301,'أوامر التوريد'!$A$5:$A$304,0)),""))</f>
        <v/>
      </c>
      <c r="H301" s="39">
        <f>IF(C301="","",IFERROR(INDEX('أوامر التوريد'!$I$5:$I$304,MATCH(C301,'أوامر التوريد'!$A$5:$A$304,0)),""))</f>
        <v/>
      </c>
      <c r="I301" s="40" t="n"/>
      <c r="J301" s="41" t="n"/>
      <c r="K301" s="41" t="n"/>
      <c r="L301" s="46">
        <f>IF(J301="","",J301-K301)</f>
        <v/>
      </c>
      <c r="M301" s="49">
        <f>IF(J301="","",IF(K301=0,"مرفوض",IF(K301&lt;J301,"مقبول جزئياً","مقبول")))</f>
        <v/>
      </c>
      <c r="N301" s="40" t="n"/>
      <c r="O301" s="40" t="n"/>
    </row>
    <row r="302">
      <c r="A302" s="39">
        <f>IF(C302="","","MIR-"&amp;TEXT(ROW()-4,"0000"))</f>
        <v/>
      </c>
      <c r="B302" s="47" t="n"/>
      <c r="C302" s="40" t="n"/>
      <c r="D302" s="39">
        <f>IF(C302="","",IFERROR(INDEX('أوامر التوريد'!$C$5:$C$304,MATCH(C302,'أوامر التوريد'!$A$5:$A$304,0)),""))</f>
        <v/>
      </c>
      <c r="E302" s="49">
        <f>IF(C302="","",IFERROR(INDEX('أوامر التوريد'!$E$5:$E$304,MATCH(C302,'أوامر التوريد'!$A$5:$A$304,0)),""))</f>
        <v/>
      </c>
      <c r="F302" s="39">
        <f>IF(C302="","",IFERROR(INDEX('أوامر التوريد'!$G$5:$G$304,MATCH(C302,'أوامر التوريد'!$A$5:$A$304,0)),""))</f>
        <v/>
      </c>
      <c r="G302" s="49">
        <f>IF(C302="","",IFERROR(INDEX('أوامر التوريد'!$H$5:$H$304,MATCH(C302,'أوامر التوريد'!$A$5:$A$304,0)),""))</f>
        <v/>
      </c>
      <c r="H302" s="39">
        <f>IF(C302="","",IFERROR(INDEX('أوامر التوريد'!$I$5:$I$304,MATCH(C302,'أوامر التوريد'!$A$5:$A$304,0)),""))</f>
        <v/>
      </c>
      <c r="I302" s="40" t="n"/>
      <c r="J302" s="41" t="n"/>
      <c r="K302" s="41" t="n"/>
      <c r="L302" s="46">
        <f>IF(J302="","",J302-K302)</f>
        <v/>
      </c>
      <c r="M302" s="49">
        <f>IF(J302="","",IF(K302=0,"مرفوض",IF(K302&lt;J302,"مقبول جزئياً","مقبول")))</f>
        <v/>
      </c>
      <c r="N302" s="40" t="n"/>
      <c r="O302" s="40" t="n"/>
    </row>
    <row r="303">
      <c r="A303" s="39">
        <f>IF(C303="","","MIR-"&amp;TEXT(ROW()-4,"0000"))</f>
        <v/>
      </c>
      <c r="B303" s="47" t="n"/>
      <c r="C303" s="40" t="n"/>
      <c r="D303" s="39">
        <f>IF(C303="","",IFERROR(INDEX('أوامر التوريد'!$C$5:$C$304,MATCH(C303,'أوامر التوريد'!$A$5:$A$304,0)),""))</f>
        <v/>
      </c>
      <c r="E303" s="49">
        <f>IF(C303="","",IFERROR(INDEX('أوامر التوريد'!$E$5:$E$304,MATCH(C303,'أوامر التوريد'!$A$5:$A$304,0)),""))</f>
        <v/>
      </c>
      <c r="F303" s="39">
        <f>IF(C303="","",IFERROR(INDEX('أوامر التوريد'!$G$5:$G$304,MATCH(C303,'أوامر التوريد'!$A$5:$A$304,0)),""))</f>
        <v/>
      </c>
      <c r="G303" s="49">
        <f>IF(C303="","",IFERROR(INDEX('أوامر التوريد'!$H$5:$H$304,MATCH(C303,'أوامر التوريد'!$A$5:$A$304,0)),""))</f>
        <v/>
      </c>
      <c r="H303" s="39">
        <f>IF(C303="","",IFERROR(INDEX('أوامر التوريد'!$I$5:$I$304,MATCH(C303,'أوامر التوريد'!$A$5:$A$304,0)),""))</f>
        <v/>
      </c>
      <c r="I303" s="40" t="n"/>
      <c r="J303" s="41" t="n"/>
      <c r="K303" s="41" t="n"/>
      <c r="L303" s="46">
        <f>IF(J303="","",J303-K303)</f>
        <v/>
      </c>
      <c r="M303" s="49">
        <f>IF(J303="","",IF(K303=0,"مرفوض",IF(K303&lt;J303,"مقبول جزئياً","مقبول")))</f>
        <v/>
      </c>
      <c r="N303" s="40" t="n"/>
      <c r="O303" s="40" t="n"/>
    </row>
    <row r="304">
      <c r="A304" s="39">
        <f>IF(C304="","","MIR-"&amp;TEXT(ROW()-4,"0000"))</f>
        <v/>
      </c>
      <c r="B304" s="47" t="n"/>
      <c r="C304" s="40" t="n"/>
      <c r="D304" s="39">
        <f>IF(C304="","",IFERROR(INDEX('أوامر التوريد'!$C$5:$C$304,MATCH(C304,'أوامر التوريد'!$A$5:$A$304,0)),""))</f>
        <v/>
      </c>
      <c r="E304" s="49">
        <f>IF(C304="","",IFERROR(INDEX('أوامر التوريد'!$E$5:$E$304,MATCH(C304,'أوامر التوريد'!$A$5:$A$304,0)),""))</f>
        <v/>
      </c>
      <c r="F304" s="39">
        <f>IF(C304="","",IFERROR(INDEX('أوامر التوريد'!$G$5:$G$304,MATCH(C304,'أوامر التوريد'!$A$5:$A$304,0)),""))</f>
        <v/>
      </c>
      <c r="G304" s="49">
        <f>IF(C304="","",IFERROR(INDEX('أوامر التوريد'!$H$5:$H$304,MATCH(C304,'أوامر التوريد'!$A$5:$A$304,0)),""))</f>
        <v/>
      </c>
      <c r="H304" s="39">
        <f>IF(C304="","",IFERROR(INDEX('أوامر التوريد'!$I$5:$I$304,MATCH(C304,'أوامر التوريد'!$A$5:$A$304,0)),""))</f>
        <v/>
      </c>
      <c r="I304" s="40" t="n"/>
      <c r="J304" s="41" t="n"/>
      <c r="K304" s="41" t="n"/>
      <c r="L304" s="46">
        <f>IF(J304="","",J304-K304)</f>
        <v/>
      </c>
      <c r="M304" s="49">
        <f>IF(J304="","",IF(K304=0,"مرفوض",IF(K304&lt;J304,"مقبول جزئياً","مقبول")))</f>
        <v/>
      </c>
      <c r="N304" s="40" t="n"/>
      <c r="O304" s="40" t="n"/>
    </row>
  </sheetData>
  <autoFilter ref="A4:O304"/>
  <mergeCells count="2">
    <mergeCell ref="A1:O1"/>
    <mergeCell ref="A2:O2"/>
  </mergeCells>
  <conditionalFormatting sqref="M5:M304">
    <cfRule type="expression" priority="1" dxfId="0" stopIfTrue="1">
      <formula>OR(ISNUMBER(SEARCH("متأخر",M5)),ISNUMBER(SEARCH("مرفوض",M5)),ISNUMBER(SEARCH("غير معتمدة",M5)),ISNUMBER(SEARCH("غير محصّل",M5)),ISNUMBER(SEARCH("سالب",M5)),ISNUMBER(SEARCH("أكثر من الرصيد",M5)),ISNUMBER(SEARCH("بتحفظات",M5)))</formula>
    </cfRule>
    <cfRule type="expression" priority="2" dxfId="1" stopIfTrue="1">
      <formula>OR(ISNUMBER(SEARCH("قيد",M5)),ISNUMBER(SEARCH("جزئي",M5)),ISNUMBER(SEARCH("بانتظار",M5)),ISNUMBER(SEARCH("مفتوح",M5)),ISNUMBER(SEARCH("أعد الطلب",M5)),ISNUMBER(SEARCH("لم يُورد",M5)),ISNUMBER(SEARCH("فترة الضمان",M5)),ISNUMBER(SEARCH("مُقدم",M5)))</formula>
    </cfRule>
    <cfRule type="expression" priority="3" dxfId="2" stopIfTrue="1">
      <formula>OR(ISNUMBER(SEARCH("معتمد",M5)),ISNUMBER(SEARCH("مقبول",M5)),ISNUMBER(SEARCH("مكتمل",M5)),ISNUMBER(SEARCH("مغلق",M5)),ISNUMBER(SEARCH("بالكامل",M5)),ISNUMBER(SEARCH("مسلّم",M5)),ISNUMBER(SEARCH("كامل",M5)),ISNUMBER(SEARCH("متاح",M5)),ISNUMBER(SEARCH("جاري",M5)))</formula>
    </cfRule>
  </conditionalFormatting>
  <dataValidations count="2">
    <dataValidation sqref="B5:B304" showDropDown="0" showInputMessage="0" showErrorMessage="1" allowBlank="1" errorTitle="تاريخ" error="أدخل تاريخاً صحيحاً" type="date" operator="between">
      <formula1>DATE(2000,1,1)</formula1>
      <formula2>DATE(2100,12,31)</formula2>
    </dataValidation>
    <dataValidation sqref="C5:C304" showDropDown="0" showInputMessage="0" showErrorMessage="1" allowBlank="1" errorTitle="قيمة غير صحيحة" error="اختر من القائمة المنسدلة فقط" type="list">
      <formula1>=L_PO</formula1>
    </dataValidation>
  </dataValidations>
  <hyperlinks>
    <hyperlink xmlns:r="http://schemas.openxmlformats.org/officeDocument/2006/relationships" ref="A3" r:id="rId1"/>
  </hyperlinks>
  <printOptions horizontalCentered="1"/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tabColor rgb="002E7D7A"/>
    <outlinePr summaryBelow="1" summaryRight="1"/>
    <pageSetUpPr fitToPage="1"/>
  </sheetPr>
  <dimension ref="A1:L304"/>
  <sheetViews>
    <sheetView showGridLines="0" rightToLeft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11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1" customWidth="1" min="9" max="9"/>
    <col width="12" customWidth="1" min="10" max="10"/>
    <col width="14" customWidth="1" min="11" max="11"/>
    <col width="16" customWidth="1" min="12" max="12"/>
  </cols>
  <sheetData>
    <row r="1" ht="32" customHeight="1">
      <c r="A1" s="34">
        <f>S_Company&amp;"  |  رصيد المخزن"</f>
        <v/>
      </c>
    </row>
    <row r="2">
      <c r="A2" s="35" t="inlineStr">
        <is>
          <t>أرصدة مخزن الموقع – تتحدث تلقائياً من الاستلام والصرف</t>
        </is>
      </c>
    </row>
    <row r="3">
      <c r="A3" s="33" t="inlineStr">
        <is>
          <t>↩ الرئيسية</t>
        </is>
      </c>
      <c r="B3" s="36" t="inlineStr">
        <is>
          <t xml:space="preserve">   ■ أصفر = إدخال يدوي    ■ رمادي = معادلة تلقائية (لا تكتب فيها)    — الصفوف الأولى أمثلة توضيحية؛ احذف قيم الإدخال واستبدلها ببياناتك</t>
        </is>
      </c>
    </row>
    <row r="4" ht="42" customHeight="1">
      <c r="A4" s="38" t="inlineStr">
        <is>
          <t>كود الصنف</t>
        </is>
      </c>
      <c r="B4" s="37" t="inlineStr">
        <is>
          <t>الصنف</t>
        </is>
      </c>
      <c r="C4" s="37" t="inlineStr">
        <is>
          <t>كود المشروع</t>
        </is>
      </c>
      <c r="D4" s="37" t="inlineStr">
        <is>
          <t>الوحدة</t>
        </is>
      </c>
      <c r="E4" s="37" t="inlineStr">
        <is>
          <t>الكمية المطلوبة</t>
        </is>
      </c>
      <c r="F4" s="37" t="inlineStr">
        <is>
          <t>الوارد المقبول</t>
        </is>
      </c>
      <c r="G4" s="37" t="inlineStr">
        <is>
          <t>المنصرف</t>
        </is>
      </c>
      <c r="H4" s="37" t="inlineStr">
        <is>
          <t>الرصيد الحالي</t>
        </is>
      </c>
      <c r="I4" s="38" t="inlineStr">
        <is>
          <t>حد إعادة الطلب</t>
        </is>
      </c>
      <c r="J4" s="37" t="inlineStr">
        <is>
          <t>متوسط سعر الوحدة</t>
        </is>
      </c>
      <c r="K4" s="37" t="inlineStr">
        <is>
          <t>قيمة الرصيد</t>
        </is>
      </c>
      <c r="L4" s="37" t="inlineStr">
        <is>
          <t>تنبيه</t>
        </is>
      </c>
    </row>
    <row r="5">
      <c r="A5" s="50" t="inlineStr">
        <is>
          <t>STL-16</t>
        </is>
      </c>
      <c r="B5" s="49">
        <f>IF(A5="","",IFERROR(INDEX('أوامر التوريد'!$H$5:$H$304,MATCH(A5,'أوامر التوريد'!$G$5:$G$304,0)),""))</f>
        <v/>
      </c>
      <c r="C5" s="39">
        <f>IF(A5="","",IFERROR(INDEX('أوامر التوريد'!$C$5:$C$304,MATCH(A5,'أوامر التوريد'!$G$5:$G$304,0)),""))</f>
        <v/>
      </c>
      <c r="D5" s="39">
        <f>IF(A5="","",IFERROR(INDEX('أوامر التوريد'!$I$5:$I$304,MATCH(A5,'أوامر التوريد'!$G$5:$G$304,0)),""))</f>
        <v/>
      </c>
      <c r="E5" s="46">
        <f>IF(A5="","",SUMIFS('أوامر التوريد'!$J$5:$J$304,'أوامر التوريد'!$G$5:$G$304,A5))</f>
        <v/>
      </c>
      <c r="F5" s="46">
        <f>IF(A5="","",SUMIFS('استلام المواد'!$K$5:$K$304,'استلام المواد'!$F$5:$F$304,A5))</f>
        <v/>
      </c>
      <c r="G5" s="46">
        <f>IF(A5="","",SUMIFS('صرف المواد'!$G$5:$G$304,'صرف المواد'!$C$5:$C$304,A5))</f>
        <v/>
      </c>
      <c r="H5" s="46">
        <f>IF(A5="","",F5-G5)</f>
        <v/>
      </c>
      <c r="I5" s="41" t="n">
        <v>10</v>
      </c>
      <c r="J5" s="46">
        <f>IF(A5="","",IFERROR(SUMIFS('أوامر التوريد'!$L$5:$L$304,'أوامر التوريد'!$G$5:$G$304,A5)/E5,0))</f>
        <v/>
      </c>
      <c r="K5" s="46">
        <f>IF(A5="","",H5*J5)</f>
        <v/>
      </c>
      <c r="L5" s="49">
        <f>IF(A5="","",IF(H5&lt;0,"رصيد سالب!",IF(AND(I5&lt;&gt;"",H5&lt;=I5),"أعد الطلب","متاح")))</f>
        <v/>
      </c>
    </row>
    <row r="6">
      <c r="A6" s="50" t="inlineStr">
        <is>
          <t>CEM-425</t>
        </is>
      </c>
      <c r="B6" s="49">
        <f>IF(A6="","",IFERROR(INDEX('أوامر التوريد'!$H$5:$H$304,MATCH(A6,'أوامر التوريد'!$G$5:$G$304,0)),""))</f>
        <v/>
      </c>
      <c r="C6" s="39">
        <f>IF(A6="","",IFERROR(INDEX('أوامر التوريد'!$C$5:$C$304,MATCH(A6,'أوامر التوريد'!$G$5:$G$304,0)),""))</f>
        <v/>
      </c>
      <c r="D6" s="39">
        <f>IF(A6="","",IFERROR(INDEX('أوامر التوريد'!$I$5:$I$304,MATCH(A6,'أوامر التوريد'!$G$5:$G$304,0)),""))</f>
        <v/>
      </c>
      <c r="E6" s="46">
        <f>IF(A6="","",SUMIFS('أوامر التوريد'!$J$5:$J$304,'أوامر التوريد'!$G$5:$G$304,A6))</f>
        <v/>
      </c>
      <c r="F6" s="46">
        <f>IF(A6="","",SUMIFS('استلام المواد'!$K$5:$K$304,'استلام المواد'!$F$5:$F$304,A6))</f>
        <v/>
      </c>
      <c r="G6" s="46">
        <f>IF(A6="","",SUMIFS('صرف المواد'!$G$5:$G$304,'صرف المواد'!$C$5:$C$304,A6))</f>
        <v/>
      </c>
      <c r="H6" s="46">
        <f>IF(A6="","",F6-G6)</f>
        <v/>
      </c>
      <c r="I6" s="41" t="n">
        <v>500</v>
      </c>
      <c r="J6" s="46">
        <f>IF(A6="","",IFERROR(SUMIFS('أوامر التوريد'!$L$5:$L$304,'أوامر التوريد'!$G$5:$G$304,A6)/E6,0))</f>
        <v/>
      </c>
      <c r="K6" s="46">
        <f>IF(A6="","",H6*J6)</f>
        <v/>
      </c>
      <c r="L6" s="49">
        <f>IF(A6="","",IF(H6&lt;0,"رصيد سالب!",IF(AND(I6&lt;&gt;"",H6&lt;=I6),"أعد الطلب","متاح")))</f>
        <v/>
      </c>
    </row>
    <row r="7">
      <c r="A7" s="50" t="inlineStr">
        <is>
          <t>RMC-C30</t>
        </is>
      </c>
      <c r="B7" s="49">
        <f>IF(A7="","",IFERROR(INDEX('أوامر التوريد'!$H$5:$H$304,MATCH(A7,'أوامر التوريد'!$G$5:$G$304,0)),""))</f>
        <v/>
      </c>
      <c r="C7" s="39">
        <f>IF(A7="","",IFERROR(INDEX('أوامر التوريد'!$C$5:$C$304,MATCH(A7,'أوامر التوريد'!$G$5:$G$304,0)),""))</f>
        <v/>
      </c>
      <c r="D7" s="39">
        <f>IF(A7="","",IFERROR(INDEX('أوامر التوريد'!$I$5:$I$304,MATCH(A7,'أوامر التوريد'!$G$5:$G$304,0)),""))</f>
        <v/>
      </c>
      <c r="E7" s="46">
        <f>IF(A7="","",SUMIFS('أوامر التوريد'!$J$5:$J$304,'أوامر التوريد'!$G$5:$G$304,A7))</f>
        <v/>
      </c>
      <c r="F7" s="46">
        <f>IF(A7="","",SUMIFS('استلام المواد'!$K$5:$K$304,'استلام المواد'!$F$5:$F$304,A7))</f>
        <v/>
      </c>
      <c r="G7" s="46">
        <f>IF(A7="","",SUMIFS('صرف المواد'!$G$5:$G$304,'صرف المواد'!$C$5:$C$304,A7))</f>
        <v/>
      </c>
      <c r="H7" s="46">
        <f>IF(A7="","",F7-G7)</f>
        <v/>
      </c>
      <c r="I7" s="41" t="n"/>
      <c r="J7" s="46">
        <f>IF(A7="","",IFERROR(SUMIFS('أوامر التوريد'!$L$5:$L$304,'أوامر التوريد'!$G$5:$G$304,A7)/E7,0))</f>
        <v/>
      </c>
      <c r="K7" s="46">
        <f>IF(A7="","",H7*J7)</f>
        <v/>
      </c>
      <c r="L7" s="49">
        <f>IF(A7="","",IF(H7&lt;0,"رصيد سالب!",IF(AND(I7&lt;&gt;"",H7&lt;=I7),"أعد الطلب","متاح")))</f>
        <v/>
      </c>
    </row>
    <row r="8">
      <c r="A8" s="50" t="n"/>
      <c r="B8" s="49">
        <f>IF(A8="","",IFERROR(INDEX('أوامر التوريد'!$H$5:$H$304,MATCH(A8,'أوامر التوريد'!$G$5:$G$304,0)),""))</f>
        <v/>
      </c>
      <c r="C8" s="39">
        <f>IF(A8="","",IFERROR(INDEX('أوامر التوريد'!$C$5:$C$304,MATCH(A8,'أوامر التوريد'!$G$5:$G$304,0)),""))</f>
        <v/>
      </c>
      <c r="D8" s="39">
        <f>IF(A8="","",IFERROR(INDEX('أوامر التوريد'!$I$5:$I$304,MATCH(A8,'أوامر التوريد'!$G$5:$G$304,0)),""))</f>
        <v/>
      </c>
      <c r="E8" s="46">
        <f>IF(A8="","",SUMIFS('أوامر التوريد'!$J$5:$J$304,'أوامر التوريد'!$G$5:$G$304,A8))</f>
        <v/>
      </c>
      <c r="F8" s="46">
        <f>IF(A8="","",SUMIFS('استلام المواد'!$K$5:$K$304,'استلام المواد'!$F$5:$F$304,A8))</f>
        <v/>
      </c>
      <c r="G8" s="46">
        <f>IF(A8="","",SUMIFS('صرف المواد'!$G$5:$G$304,'صرف المواد'!$C$5:$C$304,A8))</f>
        <v/>
      </c>
      <c r="H8" s="46">
        <f>IF(A8="","",F8-G8)</f>
        <v/>
      </c>
      <c r="I8" s="41" t="n"/>
      <c r="J8" s="46">
        <f>IF(A8="","",IFERROR(SUMIFS('أوامر التوريد'!$L$5:$L$304,'أوامر التوريد'!$G$5:$G$304,A8)/E8,0))</f>
        <v/>
      </c>
      <c r="K8" s="46">
        <f>IF(A8="","",H8*J8)</f>
        <v/>
      </c>
      <c r="L8" s="49">
        <f>IF(A8="","",IF(H8&lt;0,"رصيد سالب!",IF(AND(I8&lt;&gt;"",H8&lt;=I8),"أعد الطلب","متاح")))</f>
        <v/>
      </c>
    </row>
    <row r="9">
      <c r="A9" s="50" t="n"/>
      <c r="B9" s="49">
        <f>IF(A9="","",IFERROR(INDEX('أوامر التوريد'!$H$5:$H$304,MATCH(A9,'أوامر التوريد'!$G$5:$G$304,0)),""))</f>
        <v/>
      </c>
      <c r="C9" s="39">
        <f>IF(A9="","",IFERROR(INDEX('أوامر التوريد'!$C$5:$C$304,MATCH(A9,'أوامر التوريد'!$G$5:$G$304,0)),""))</f>
        <v/>
      </c>
      <c r="D9" s="39">
        <f>IF(A9="","",IFERROR(INDEX('أوامر التوريد'!$I$5:$I$304,MATCH(A9,'أوامر التوريد'!$G$5:$G$304,0)),""))</f>
        <v/>
      </c>
      <c r="E9" s="46">
        <f>IF(A9="","",SUMIFS('أوامر التوريد'!$J$5:$J$304,'أوامر التوريد'!$G$5:$G$304,A9))</f>
        <v/>
      </c>
      <c r="F9" s="46">
        <f>IF(A9="","",SUMIFS('استلام المواد'!$K$5:$K$304,'استلام المواد'!$F$5:$F$304,A9))</f>
        <v/>
      </c>
      <c r="G9" s="46">
        <f>IF(A9="","",SUMIFS('صرف المواد'!$G$5:$G$304,'صرف المواد'!$C$5:$C$304,A9))</f>
        <v/>
      </c>
      <c r="H9" s="46">
        <f>IF(A9="","",F9-G9)</f>
        <v/>
      </c>
      <c r="I9" s="41" t="n"/>
      <c r="J9" s="46">
        <f>IF(A9="","",IFERROR(SUMIFS('أوامر التوريد'!$L$5:$L$304,'أوامر التوريد'!$G$5:$G$304,A9)/E9,0))</f>
        <v/>
      </c>
      <c r="K9" s="46">
        <f>IF(A9="","",H9*J9)</f>
        <v/>
      </c>
      <c r="L9" s="49">
        <f>IF(A9="","",IF(H9&lt;0,"رصيد سالب!",IF(AND(I9&lt;&gt;"",H9&lt;=I9),"أعد الطلب","متاح")))</f>
        <v/>
      </c>
    </row>
    <row r="10">
      <c r="A10" s="50" t="n"/>
      <c r="B10" s="49">
        <f>IF(A10="","",IFERROR(INDEX('أوامر التوريد'!$H$5:$H$304,MATCH(A10,'أوامر التوريد'!$G$5:$G$304,0)),""))</f>
        <v/>
      </c>
      <c r="C10" s="39">
        <f>IF(A10="","",IFERROR(INDEX('أوامر التوريد'!$C$5:$C$304,MATCH(A10,'أوامر التوريد'!$G$5:$G$304,0)),""))</f>
        <v/>
      </c>
      <c r="D10" s="39">
        <f>IF(A10="","",IFERROR(INDEX('أوامر التوريد'!$I$5:$I$304,MATCH(A10,'أوامر التوريد'!$G$5:$G$304,0)),""))</f>
        <v/>
      </c>
      <c r="E10" s="46">
        <f>IF(A10="","",SUMIFS('أوامر التوريد'!$J$5:$J$304,'أوامر التوريد'!$G$5:$G$304,A10))</f>
        <v/>
      </c>
      <c r="F10" s="46">
        <f>IF(A10="","",SUMIFS('استلام المواد'!$K$5:$K$304,'استلام المواد'!$F$5:$F$304,A10))</f>
        <v/>
      </c>
      <c r="G10" s="46">
        <f>IF(A10="","",SUMIFS('صرف المواد'!$G$5:$G$304,'صرف المواد'!$C$5:$C$304,A10))</f>
        <v/>
      </c>
      <c r="H10" s="46">
        <f>IF(A10="","",F10-G10)</f>
        <v/>
      </c>
      <c r="I10" s="41" t="n"/>
      <c r="J10" s="46">
        <f>IF(A10="","",IFERROR(SUMIFS('أوامر التوريد'!$L$5:$L$304,'أوامر التوريد'!$G$5:$G$304,A10)/E10,0))</f>
        <v/>
      </c>
      <c r="K10" s="46">
        <f>IF(A10="","",H10*J10)</f>
        <v/>
      </c>
      <c r="L10" s="49">
        <f>IF(A10="","",IF(H10&lt;0,"رصيد سالب!",IF(AND(I10&lt;&gt;"",H10&lt;=I10),"أعد الطلب","متاح")))</f>
        <v/>
      </c>
    </row>
    <row r="11">
      <c r="A11" s="50" t="n"/>
      <c r="B11" s="49">
        <f>IF(A11="","",IFERROR(INDEX('أوامر التوريد'!$H$5:$H$304,MATCH(A11,'أوامر التوريد'!$G$5:$G$304,0)),""))</f>
        <v/>
      </c>
      <c r="C11" s="39">
        <f>IF(A11="","",IFERROR(INDEX('أوامر التوريد'!$C$5:$C$304,MATCH(A11,'أوامر التوريد'!$G$5:$G$304,0)),""))</f>
        <v/>
      </c>
      <c r="D11" s="39">
        <f>IF(A11="","",IFERROR(INDEX('أوامر التوريد'!$I$5:$I$304,MATCH(A11,'أوامر التوريد'!$G$5:$G$304,0)),""))</f>
        <v/>
      </c>
      <c r="E11" s="46">
        <f>IF(A11="","",SUMIFS('أوامر التوريد'!$J$5:$J$304,'أوامر التوريد'!$G$5:$G$304,A11))</f>
        <v/>
      </c>
      <c r="F11" s="46">
        <f>IF(A11="","",SUMIFS('استلام المواد'!$K$5:$K$304,'استلام المواد'!$F$5:$F$304,A11))</f>
        <v/>
      </c>
      <c r="G11" s="46">
        <f>IF(A11="","",SUMIFS('صرف المواد'!$G$5:$G$304,'صرف المواد'!$C$5:$C$304,A11))</f>
        <v/>
      </c>
      <c r="H11" s="46">
        <f>IF(A11="","",F11-G11)</f>
        <v/>
      </c>
      <c r="I11" s="41" t="n"/>
      <c r="J11" s="46">
        <f>IF(A11="","",IFERROR(SUMIFS('أوامر التوريد'!$L$5:$L$304,'أوامر التوريد'!$G$5:$G$304,A11)/E11,0))</f>
        <v/>
      </c>
      <c r="K11" s="46">
        <f>IF(A11="","",H11*J11)</f>
        <v/>
      </c>
      <c r="L11" s="49">
        <f>IF(A11="","",IF(H11&lt;0,"رصيد سالب!",IF(AND(I11&lt;&gt;"",H11&lt;=I11),"أعد الطلب","متاح")))</f>
        <v/>
      </c>
    </row>
    <row r="12">
      <c r="A12" s="50" t="n"/>
      <c r="B12" s="49">
        <f>IF(A12="","",IFERROR(INDEX('أوامر التوريد'!$H$5:$H$304,MATCH(A12,'أوامر التوريد'!$G$5:$G$304,0)),""))</f>
        <v/>
      </c>
      <c r="C12" s="39">
        <f>IF(A12="","",IFERROR(INDEX('أوامر التوريد'!$C$5:$C$304,MATCH(A12,'أوامر التوريد'!$G$5:$G$304,0)),""))</f>
        <v/>
      </c>
      <c r="D12" s="39">
        <f>IF(A12="","",IFERROR(INDEX('أوامر التوريد'!$I$5:$I$304,MATCH(A12,'أوامر التوريد'!$G$5:$G$304,0)),""))</f>
        <v/>
      </c>
      <c r="E12" s="46">
        <f>IF(A12="","",SUMIFS('أوامر التوريد'!$J$5:$J$304,'أوامر التوريد'!$G$5:$G$304,A12))</f>
        <v/>
      </c>
      <c r="F12" s="46">
        <f>IF(A12="","",SUMIFS('استلام المواد'!$K$5:$K$304,'استلام المواد'!$F$5:$F$304,A12))</f>
        <v/>
      </c>
      <c r="G12" s="46">
        <f>IF(A12="","",SUMIFS('صرف المواد'!$G$5:$G$304,'صرف المواد'!$C$5:$C$304,A12))</f>
        <v/>
      </c>
      <c r="H12" s="46">
        <f>IF(A12="","",F12-G12)</f>
        <v/>
      </c>
      <c r="I12" s="41" t="n"/>
      <c r="J12" s="46">
        <f>IF(A12="","",IFERROR(SUMIFS('أوامر التوريد'!$L$5:$L$304,'أوامر التوريد'!$G$5:$G$304,A12)/E12,0))</f>
        <v/>
      </c>
      <c r="K12" s="46">
        <f>IF(A12="","",H12*J12)</f>
        <v/>
      </c>
      <c r="L12" s="49">
        <f>IF(A12="","",IF(H12&lt;0,"رصيد سالب!",IF(AND(I12&lt;&gt;"",H12&lt;=I12),"أعد الطلب","متاح")))</f>
        <v/>
      </c>
    </row>
    <row r="13">
      <c r="A13" s="50" t="n"/>
      <c r="B13" s="49">
        <f>IF(A13="","",IFERROR(INDEX('أوامر التوريد'!$H$5:$H$304,MATCH(A13,'أوامر التوريد'!$G$5:$G$304,0)),""))</f>
        <v/>
      </c>
      <c r="C13" s="39">
        <f>IF(A13="","",IFERROR(INDEX('أوامر التوريد'!$C$5:$C$304,MATCH(A13,'أوامر التوريد'!$G$5:$G$304,0)),""))</f>
        <v/>
      </c>
      <c r="D13" s="39">
        <f>IF(A13="","",IFERROR(INDEX('أوامر التوريد'!$I$5:$I$304,MATCH(A13,'أوامر التوريد'!$G$5:$G$304,0)),""))</f>
        <v/>
      </c>
      <c r="E13" s="46">
        <f>IF(A13="","",SUMIFS('أوامر التوريد'!$J$5:$J$304,'أوامر التوريد'!$G$5:$G$304,A13))</f>
        <v/>
      </c>
      <c r="F13" s="46">
        <f>IF(A13="","",SUMIFS('استلام المواد'!$K$5:$K$304,'استلام المواد'!$F$5:$F$304,A13))</f>
        <v/>
      </c>
      <c r="G13" s="46">
        <f>IF(A13="","",SUMIFS('صرف المواد'!$G$5:$G$304,'صرف المواد'!$C$5:$C$304,A13))</f>
        <v/>
      </c>
      <c r="H13" s="46">
        <f>IF(A13="","",F13-G13)</f>
        <v/>
      </c>
      <c r="I13" s="41" t="n"/>
      <c r="J13" s="46">
        <f>IF(A13="","",IFERROR(SUMIFS('أوامر التوريد'!$L$5:$L$304,'أوامر التوريد'!$G$5:$G$304,A13)/E13,0))</f>
        <v/>
      </c>
      <c r="K13" s="46">
        <f>IF(A13="","",H13*J13)</f>
        <v/>
      </c>
      <c r="L13" s="49">
        <f>IF(A13="","",IF(H13&lt;0,"رصيد سالب!",IF(AND(I13&lt;&gt;"",H13&lt;=I13),"أعد الطلب","متاح")))</f>
        <v/>
      </c>
    </row>
    <row r="14">
      <c r="A14" s="50" t="n"/>
      <c r="B14" s="49">
        <f>IF(A14="","",IFERROR(INDEX('أوامر التوريد'!$H$5:$H$304,MATCH(A14,'أوامر التوريد'!$G$5:$G$304,0)),""))</f>
        <v/>
      </c>
      <c r="C14" s="39">
        <f>IF(A14="","",IFERROR(INDEX('أوامر التوريد'!$C$5:$C$304,MATCH(A14,'أوامر التوريد'!$G$5:$G$304,0)),""))</f>
        <v/>
      </c>
      <c r="D14" s="39">
        <f>IF(A14="","",IFERROR(INDEX('أوامر التوريد'!$I$5:$I$304,MATCH(A14,'أوامر التوريد'!$G$5:$G$304,0)),""))</f>
        <v/>
      </c>
      <c r="E14" s="46">
        <f>IF(A14="","",SUMIFS('أوامر التوريد'!$J$5:$J$304,'أوامر التوريد'!$G$5:$G$304,A14))</f>
        <v/>
      </c>
      <c r="F14" s="46">
        <f>IF(A14="","",SUMIFS('استلام المواد'!$K$5:$K$304,'استلام المواد'!$F$5:$F$304,A14))</f>
        <v/>
      </c>
      <c r="G14" s="46">
        <f>IF(A14="","",SUMIFS('صرف المواد'!$G$5:$G$304,'صرف المواد'!$C$5:$C$304,A14))</f>
        <v/>
      </c>
      <c r="H14" s="46">
        <f>IF(A14="","",F14-G14)</f>
        <v/>
      </c>
      <c r="I14" s="41" t="n"/>
      <c r="J14" s="46">
        <f>IF(A14="","",IFERROR(SUMIFS('أوامر التوريد'!$L$5:$L$304,'أوامر التوريد'!$G$5:$G$304,A14)/E14,0))</f>
        <v/>
      </c>
      <c r="K14" s="46">
        <f>IF(A14="","",H14*J14)</f>
        <v/>
      </c>
      <c r="L14" s="49">
        <f>IF(A14="","",IF(H14&lt;0,"رصيد سالب!",IF(AND(I14&lt;&gt;"",H14&lt;=I14),"أعد الطلب","متاح")))</f>
        <v/>
      </c>
    </row>
    <row r="15">
      <c r="A15" s="50" t="n"/>
      <c r="B15" s="49">
        <f>IF(A15="","",IFERROR(INDEX('أوامر التوريد'!$H$5:$H$304,MATCH(A15,'أوامر التوريد'!$G$5:$G$304,0)),""))</f>
        <v/>
      </c>
      <c r="C15" s="39">
        <f>IF(A15="","",IFERROR(INDEX('أوامر التوريد'!$C$5:$C$304,MATCH(A15,'أوامر التوريد'!$G$5:$G$304,0)),""))</f>
        <v/>
      </c>
      <c r="D15" s="39">
        <f>IF(A15="","",IFERROR(INDEX('أوامر التوريد'!$I$5:$I$304,MATCH(A15,'أوامر التوريد'!$G$5:$G$304,0)),""))</f>
        <v/>
      </c>
      <c r="E15" s="46">
        <f>IF(A15="","",SUMIFS('أوامر التوريد'!$J$5:$J$304,'أوامر التوريد'!$G$5:$G$304,A15))</f>
        <v/>
      </c>
      <c r="F15" s="46">
        <f>IF(A15="","",SUMIFS('استلام المواد'!$K$5:$K$304,'استلام المواد'!$F$5:$F$304,A15))</f>
        <v/>
      </c>
      <c r="G15" s="46">
        <f>IF(A15="","",SUMIFS('صرف المواد'!$G$5:$G$304,'صرف المواد'!$C$5:$C$304,A15))</f>
        <v/>
      </c>
      <c r="H15" s="46">
        <f>IF(A15="","",F15-G15)</f>
        <v/>
      </c>
      <c r="I15" s="41" t="n"/>
      <c r="J15" s="46">
        <f>IF(A15="","",IFERROR(SUMIFS('أوامر التوريد'!$L$5:$L$304,'أوامر التوريد'!$G$5:$G$304,A15)/E15,0))</f>
        <v/>
      </c>
      <c r="K15" s="46">
        <f>IF(A15="","",H15*J15)</f>
        <v/>
      </c>
      <c r="L15" s="49">
        <f>IF(A15="","",IF(H15&lt;0,"رصيد سالب!",IF(AND(I15&lt;&gt;"",H15&lt;=I15),"أعد الطلب","متاح")))</f>
        <v/>
      </c>
    </row>
    <row r="16">
      <c r="A16" s="50" t="n"/>
      <c r="B16" s="49">
        <f>IF(A16="","",IFERROR(INDEX('أوامر التوريد'!$H$5:$H$304,MATCH(A16,'أوامر التوريد'!$G$5:$G$304,0)),""))</f>
        <v/>
      </c>
      <c r="C16" s="39">
        <f>IF(A16="","",IFERROR(INDEX('أوامر التوريد'!$C$5:$C$304,MATCH(A16,'أوامر التوريد'!$G$5:$G$304,0)),""))</f>
        <v/>
      </c>
      <c r="D16" s="39">
        <f>IF(A16="","",IFERROR(INDEX('أوامر التوريد'!$I$5:$I$304,MATCH(A16,'أوامر التوريد'!$G$5:$G$304,0)),""))</f>
        <v/>
      </c>
      <c r="E16" s="46">
        <f>IF(A16="","",SUMIFS('أوامر التوريد'!$J$5:$J$304,'أوامر التوريد'!$G$5:$G$304,A16))</f>
        <v/>
      </c>
      <c r="F16" s="46">
        <f>IF(A16="","",SUMIFS('استلام المواد'!$K$5:$K$304,'استلام المواد'!$F$5:$F$304,A16))</f>
        <v/>
      </c>
      <c r="G16" s="46">
        <f>IF(A16="","",SUMIFS('صرف المواد'!$G$5:$G$304,'صرف المواد'!$C$5:$C$304,A16))</f>
        <v/>
      </c>
      <c r="H16" s="46">
        <f>IF(A16="","",F16-G16)</f>
        <v/>
      </c>
      <c r="I16" s="41" t="n"/>
      <c r="J16" s="46">
        <f>IF(A16="","",IFERROR(SUMIFS('أوامر التوريد'!$L$5:$L$304,'أوامر التوريد'!$G$5:$G$304,A16)/E16,0))</f>
        <v/>
      </c>
      <c r="K16" s="46">
        <f>IF(A16="","",H16*J16)</f>
        <v/>
      </c>
      <c r="L16" s="49">
        <f>IF(A16="","",IF(H16&lt;0,"رصيد سالب!",IF(AND(I16&lt;&gt;"",H16&lt;=I16),"أعد الطلب","متاح")))</f>
        <v/>
      </c>
    </row>
    <row r="17">
      <c r="A17" s="50" t="n"/>
      <c r="B17" s="49">
        <f>IF(A17="","",IFERROR(INDEX('أوامر التوريد'!$H$5:$H$304,MATCH(A17,'أوامر التوريد'!$G$5:$G$304,0)),""))</f>
        <v/>
      </c>
      <c r="C17" s="39">
        <f>IF(A17="","",IFERROR(INDEX('أوامر التوريد'!$C$5:$C$304,MATCH(A17,'أوامر التوريد'!$G$5:$G$304,0)),""))</f>
        <v/>
      </c>
      <c r="D17" s="39">
        <f>IF(A17="","",IFERROR(INDEX('أوامر التوريد'!$I$5:$I$304,MATCH(A17,'أوامر التوريد'!$G$5:$G$304,0)),""))</f>
        <v/>
      </c>
      <c r="E17" s="46">
        <f>IF(A17="","",SUMIFS('أوامر التوريد'!$J$5:$J$304,'أوامر التوريد'!$G$5:$G$304,A17))</f>
        <v/>
      </c>
      <c r="F17" s="46">
        <f>IF(A17="","",SUMIFS('استلام المواد'!$K$5:$K$304,'استلام المواد'!$F$5:$F$304,A17))</f>
        <v/>
      </c>
      <c r="G17" s="46">
        <f>IF(A17="","",SUMIFS('صرف المواد'!$G$5:$G$304,'صرف المواد'!$C$5:$C$304,A17))</f>
        <v/>
      </c>
      <c r="H17" s="46">
        <f>IF(A17="","",F17-G17)</f>
        <v/>
      </c>
      <c r="I17" s="41" t="n"/>
      <c r="J17" s="46">
        <f>IF(A17="","",IFERROR(SUMIFS('أوامر التوريد'!$L$5:$L$304,'أوامر التوريد'!$G$5:$G$304,A17)/E17,0))</f>
        <v/>
      </c>
      <c r="K17" s="46">
        <f>IF(A17="","",H17*J17)</f>
        <v/>
      </c>
      <c r="L17" s="49">
        <f>IF(A17="","",IF(H17&lt;0,"رصيد سالب!",IF(AND(I17&lt;&gt;"",H17&lt;=I17),"أعد الطلب","متاح")))</f>
        <v/>
      </c>
    </row>
    <row r="18">
      <c r="A18" s="50" t="n"/>
      <c r="B18" s="49">
        <f>IF(A18="","",IFERROR(INDEX('أوامر التوريد'!$H$5:$H$304,MATCH(A18,'أوامر التوريد'!$G$5:$G$304,0)),""))</f>
        <v/>
      </c>
      <c r="C18" s="39">
        <f>IF(A18="","",IFERROR(INDEX('أوامر التوريد'!$C$5:$C$304,MATCH(A18,'أوامر التوريد'!$G$5:$G$304,0)),""))</f>
        <v/>
      </c>
      <c r="D18" s="39">
        <f>IF(A18="","",IFERROR(INDEX('أوامر التوريد'!$I$5:$I$304,MATCH(A18,'أوامر التوريد'!$G$5:$G$304,0)),""))</f>
        <v/>
      </c>
      <c r="E18" s="46">
        <f>IF(A18="","",SUMIFS('أوامر التوريد'!$J$5:$J$304,'أوامر التوريد'!$G$5:$G$304,A18))</f>
        <v/>
      </c>
      <c r="F18" s="46">
        <f>IF(A18="","",SUMIFS('استلام المواد'!$K$5:$K$304,'استلام المواد'!$F$5:$F$304,A18))</f>
        <v/>
      </c>
      <c r="G18" s="46">
        <f>IF(A18="","",SUMIFS('صرف المواد'!$G$5:$G$304,'صرف المواد'!$C$5:$C$304,A18))</f>
        <v/>
      </c>
      <c r="H18" s="46">
        <f>IF(A18="","",F18-G18)</f>
        <v/>
      </c>
      <c r="I18" s="41" t="n"/>
      <c r="J18" s="46">
        <f>IF(A18="","",IFERROR(SUMIFS('أوامر التوريد'!$L$5:$L$304,'أوامر التوريد'!$G$5:$G$304,A18)/E18,0))</f>
        <v/>
      </c>
      <c r="K18" s="46">
        <f>IF(A18="","",H18*J18)</f>
        <v/>
      </c>
      <c r="L18" s="49">
        <f>IF(A18="","",IF(H18&lt;0,"رصيد سالب!",IF(AND(I18&lt;&gt;"",H18&lt;=I18),"أعد الطلب","متاح")))</f>
        <v/>
      </c>
    </row>
    <row r="19">
      <c r="A19" s="50" t="n"/>
      <c r="B19" s="49">
        <f>IF(A19="","",IFERROR(INDEX('أوامر التوريد'!$H$5:$H$304,MATCH(A19,'أوامر التوريد'!$G$5:$G$304,0)),""))</f>
        <v/>
      </c>
      <c r="C19" s="39">
        <f>IF(A19="","",IFERROR(INDEX('أوامر التوريد'!$C$5:$C$304,MATCH(A19,'أوامر التوريد'!$G$5:$G$304,0)),""))</f>
        <v/>
      </c>
      <c r="D19" s="39">
        <f>IF(A19="","",IFERROR(INDEX('أوامر التوريد'!$I$5:$I$304,MATCH(A19,'أوامر التوريد'!$G$5:$G$304,0)),""))</f>
        <v/>
      </c>
      <c r="E19" s="46">
        <f>IF(A19="","",SUMIFS('أوامر التوريد'!$J$5:$J$304,'أوامر التوريد'!$G$5:$G$304,A19))</f>
        <v/>
      </c>
      <c r="F19" s="46">
        <f>IF(A19="","",SUMIFS('استلام المواد'!$K$5:$K$304,'استلام المواد'!$F$5:$F$304,A19))</f>
        <v/>
      </c>
      <c r="G19" s="46">
        <f>IF(A19="","",SUMIFS('صرف المواد'!$G$5:$G$304,'صرف المواد'!$C$5:$C$304,A19))</f>
        <v/>
      </c>
      <c r="H19" s="46">
        <f>IF(A19="","",F19-G19)</f>
        <v/>
      </c>
      <c r="I19" s="41" t="n"/>
      <c r="J19" s="46">
        <f>IF(A19="","",IFERROR(SUMIFS('أوامر التوريد'!$L$5:$L$304,'أوامر التوريد'!$G$5:$G$304,A19)/E19,0))</f>
        <v/>
      </c>
      <c r="K19" s="46">
        <f>IF(A19="","",H19*J19)</f>
        <v/>
      </c>
      <c r="L19" s="49">
        <f>IF(A19="","",IF(H19&lt;0,"رصيد سالب!",IF(AND(I19&lt;&gt;"",H19&lt;=I19),"أعد الطلب","متاح")))</f>
        <v/>
      </c>
    </row>
    <row r="20">
      <c r="A20" s="50" t="n"/>
      <c r="B20" s="49">
        <f>IF(A20="","",IFERROR(INDEX('أوامر التوريد'!$H$5:$H$304,MATCH(A20,'أوامر التوريد'!$G$5:$G$304,0)),""))</f>
        <v/>
      </c>
      <c r="C20" s="39">
        <f>IF(A20="","",IFERROR(INDEX('أوامر التوريد'!$C$5:$C$304,MATCH(A20,'أوامر التوريد'!$G$5:$G$304,0)),""))</f>
        <v/>
      </c>
      <c r="D20" s="39">
        <f>IF(A20="","",IFERROR(INDEX('أوامر التوريد'!$I$5:$I$304,MATCH(A20,'أوامر التوريد'!$G$5:$G$304,0)),""))</f>
        <v/>
      </c>
      <c r="E20" s="46">
        <f>IF(A20="","",SUMIFS('أوامر التوريد'!$J$5:$J$304,'أوامر التوريد'!$G$5:$G$304,A20))</f>
        <v/>
      </c>
      <c r="F20" s="46">
        <f>IF(A20="","",SUMIFS('استلام المواد'!$K$5:$K$304,'استلام المواد'!$F$5:$F$304,A20))</f>
        <v/>
      </c>
      <c r="G20" s="46">
        <f>IF(A20="","",SUMIFS('صرف المواد'!$G$5:$G$304,'صرف المواد'!$C$5:$C$304,A20))</f>
        <v/>
      </c>
      <c r="H20" s="46">
        <f>IF(A20="","",F20-G20)</f>
        <v/>
      </c>
      <c r="I20" s="41" t="n"/>
      <c r="J20" s="46">
        <f>IF(A20="","",IFERROR(SUMIFS('أوامر التوريد'!$L$5:$L$304,'أوامر التوريد'!$G$5:$G$304,A20)/E20,0))</f>
        <v/>
      </c>
      <c r="K20" s="46">
        <f>IF(A20="","",H20*J20)</f>
        <v/>
      </c>
      <c r="L20" s="49">
        <f>IF(A20="","",IF(H20&lt;0,"رصيد سالب!",IF(AND(I20&lt;&gt;"",H20&lt;=I20),"أعد الطلب","متاح")))</f>
        <v/>
      </c>
    </row>
    <row r="21">
      <c r="A21" s="50" t="n"/>
      <c r="B21" s="49">
        <f>IF(A21="","",IFERROR(INDEX('أوامر التوريد'!$H$5:$H$304,MATCH(A21,'أوامر التوريد'!$G$5:$G$304,0)),""))</f>
        <v/>
      </c>
      <c r="C21" s="39">
        <f>IF(A21="","",IFERROR(INDEX('أوامر التوريد'!$C$5:$C$304,MATCH(A21,'أوامر التوريد'!$G$5:$G$304,0)),""))</f>
        <v/>
      </c>
      <c r="D21" s="39">
        <f>IF(A21="","",IFERROR(INDEX('أوامر التوريد'!$I$5:$I$304,MATCH(A21,'أوامر التوريد'!$G$5:$G$304,0)),""))</f>
        <v/>
      </c>
      <c r="E21" s="46">
        <f>IF(A21="","",SUMIFS('أوامر التوريد'!$J$5:$J$304,'أوامر التوريد'!$G$5:$G$304,A21))</f>
        <v/>
      </c>
      <c r="F21" s="46">
        <f>IF(A21="","",SUMIFS('استلام المواد'!$K$5:$K$304,'استلام المواد'!$F$5:$F$304,A21))</f>
        <v/>
      </c>
      <c r="G21" s="46">
        <f>IF(A21="","",SUMIFS('صرف المواد'!$G$5:$G$304,'صرف المواد'!$C$5:$C$304,A21))</f>
        <v/>
      </c>
      <c r="H21" s="46">
        <f>IF(A21="","",F21-G21)</f>
        <v/>
      </c>
      <c r="I21" s="41" t="n"/>
      <c r="J21" s="46">
        <f>IF(A21="","",IFERROR(SUMIFS('أوامر التوريد'!$L$5:$L$304,'أوامر التوريد'!$G$5:$G$304,A21)/E21,0))</f>
        <v/>
      </c>
      <c r="K21" s="46">
        <f>IF(A21="","",H21*J21)</f>
        <v/>
      </c>
      <c r="L21" s="49">
        <f>IF(A21="","",IF(H21&lt;0,"رصيد سالب!",IF(AND(I21&lt;&gt;"",H21&lt;=I21),"أعد الطلب","متاح")))</f>
        <v/>
      </c>
    </row>
    <row r="22">
      <c r="A22" s="50" t="n"/>
      <c r="B22" s="49">
        <f>IF(A22="","",IFERROR(INDEX('أوامر التوريد'!$H$5:$H$304,MATCH(A22,'أوامر التوريد'!$G$5:$G$304,0)),""))</f>
        <v/>
      </c>
      <c r="C22" s="39">
        <f>IF(A22="","",IFERROR(INDEX('أوامر التوريد'!$C$5:$C$304,MATCH(A22,'أوامر التوريد'!$G$5:$G$304,0)),""))</f>
        <v/>
      </c>
      <c r="D22" s="39">
        <f>IF(A22="","",IFERROR(INDEX('أوامر التوريد'!$I$5:$I$304,MATCH(A22,'أوامر التوريد'!$G$5:$G$304,0)),""))</f>
        <v/>
      </c>
      <c r="E22" s="46">
        <f>IF(A22="","",SUMIFS('أوامر التوريد'!$J$5:$J$304,'أوامر التوريد'!$G$5:$G$304,A22))</f>
        <v/>
      </c>
      <c r="F22" s="46">
        <f>IF(A22="","",SUMIFS('استلام المواد'!$K$5:$K$304,'استلام المواد'!$F$5:$F$304,A22))</f>
        <v/>
      </c>
      <c r="G22" s="46">
        <f>IF(A22="","",SUMIFS('صرف المواد'!$G$5:$G$304,'صرف المواد'!$C$5:$C$304,A22))</f>
        <v/>
      </c>
      <c r="H22" s="46">
        <f>IF(A22="","",F22-G22)</f>
        <v/>
      </c>
      <c r="I22" s="41" t="n"/>
      <c r="J22" s="46">
        <f>IF(A22="","",IFERROR(SUMIFS('أوامر التوريد'!$L$5:$L$304,'أوامر التوريد'!$G$5:$G$304,A22)/E22,0))</f>
        <v/>
      </c>
      <c r="K22" s="46">
        <f>IF(A22="","",H22*J22)</f>
        <v/>
      </c>
      <c r="L22" s="49">
        <f>IF(A22="","",IF(H22&lt;0,"رصيد سالب!",IF(AND(I22&lt;&gt;"",H22&lt;=I22),"أعد الطلب","متاح")))</f>
        <v/>
      </c>
    </row>
    <row r="23">
      <c r="A23" s="50" t="n"/>
      <c r="B23" s="49">
        <f>IF(A23="","",IFERROR(INDEX('أوامر التوريد'!$H$5:$H$304,MATCH(A23,'أوامر التوريد'!$G$5:$G$304,0)),""))</f>
        <v/>
      </c>
      <c r="C23" s="39">
        <f>IF(A23="","",IFERROR(INDEX('أوامر التوريد'!$C$5:$C$304,MATCH(A23,'أوامر التوريد'!$G$5:$G$304,0)),""))</f>
        <v/>
      </c>
      <c r="D23" s="39">
        <f>IF(A23="","",IFERROR(INDEX('أوامر التوريد'!$I$5:$I$304,MATCH(A23,'أوامر التوريد'!$G$5:$G$304,0)),""))</f>
        <v/>
      </c>
      <c r="E23" s="46">
        <f>IF(A23="","",SUMIFS('أوامر التوريد'!$J$5:$J$304,'أوامر التوريد'!$G$5:$G$304,A23))</f>
        <v/>
      </c>
      <c r="F23" s="46">
        <f>IF(A23="","",SUMIFS('استلام المواد'!$K$5:$K$304,'استلام المواد'!$F$5:$F$304,A23))</f>
        <v/>
      </c>
      <c r="G23" s="46">
        <f>IF(A23="","",SUMIFS('صرف المواد'!$G$5:$G$304,'صرف المواد'!$C$5:$C$304,A23))</f>
        <v/>
      </c>
      <c r="H23" s="46">
        <f>IF(A23="","",F23-G23)</f>
        <v/>
      </c>
      <c r="I23" s="41" t="n"/>
      <c r="J23" s="46">
        <f>IF(A23="","",IFERROR(SUMIFS('أوامر التوريد'!$L$5:$L$304,'أوامر التوريد'!$G$5:$G$304,A23)/E23,0))</f>
        <v/>
      </c>
      <c r="K23" s="46">
        <f>IF(A23="","",H23*J23)</f>
        <v/>
      </c>
      <c r="L23" s="49">
        <f>IF(A23="","",IF(H23&lt;0,"رصيد سالب!",IF(AND(I23&lt;&gt;"",H23&lt;=I23),"أعد الطلب","متاح")))</f>
        <v/>
      </c>
    </row>
    <row r="24">
      <c r="A24" s="50" t="n"/>
      <c r="B24" s="49">
        <f>IF(A24="","",IFERROR(INDEX('أوامر التوريد'!$H$5:$H$304,MATCH(A24,'أوامر التوريد'!$G$5:$G$304,0)),""))</f>
        <v/>
      </c>
      <c r="C24" s="39">
        <f>IF(A24="","",IFERROR(INDEX('أوامر التوريد'!$C$5:$C$304,MATCH(A24,'أوامر التوريد'!$G$5:$G$304,0)),""))</f>
        <v/>
      </c>
      <c r="D24" s="39">
        <f>IF(A24="","",IFERROR(INDEX('أوامر التوريد'!$I$5:$I$304,MATCH(A24,'أوامر التوريد'!$G$5:$G$304,0)),""))</f>
        <v/>
      </c>
      <c r="E24" s="46">
        <f>IF(A24="","",SUMIFS('أوامر التوريد'!$J$5:$J$304,'أوامر التوريد'!$G$5:$G$304,A24))</f>
        <v/>
      </c>
      <c r="F24" s="46">
        <f>IF(A24="","",SUMIFS('استلام المواد'!$K$5:$K$304,'استلام المواد'!$F$5:$F$304,A24))</f>
        <v/>
      </c>
      <c r="G24" s="46">
        <f>IF(A24="","",SUMIFS('صرف المواد'!$G$5:$G$304,'صرف المواد'!$C$5:$C$304,A24))</f>
        <v/>
      </c>
      <c r="H24" s="46">
        <f>IF(A24="","",F24-G24)</f>
        <v/>
      </c>
      <c r="I24" s="41" t="n"/>
      <c r="J24" s="46">
        <f>IF(A24="","",IFERROR(SUMIFS('أوامر التوريد'!$L$5:$L$304,'أوامر التوريد'!$G$5:$G$304,A24)/E24,0))</f>
        <v/>
      </c>
      <c r="K24" s="46">
        <f>IF(A24="","",H24*J24)</f>
        <v/>
      </c>
      <c r="L24" s="49">
        <f>IF(A24="","",IF(H24&lt;0,"رصيد سالب!",IF(AND(I24&lt;&gt;"",H24&lt;=I24),"أعد الطلب","متاح")))</f>
        <v/>
      </c>
    </row>
    <row r="25">
      <c r="A25" s="50" t="n"/>
      <c r="B25" s="49">
        <f>IF(A25="","",IFERROR(INDEX('أوامر التوريد'!$H$5:$H$304,MATCH(A25,'أوامر التوريد'!$G$5:$G$304,0)),""))</f>
        <v/>
      </c>
      <c r="C25" s="39">
        <f>IF(A25="","",IFERROR(INDEX('أوامر التوريد'!$C$5:$C$304,MATCH(A25,'أوامر التوريد'!$G$5:$G$304,0)),""))</f>
        <v/>
      </c>
      <c r="D25" s="39">
        <f>IF(A25="","",IFERROR(INDEX('أوامر التوريد'!$I$5:$I$304,MATCH(A25,'أوامر التوريد'!$G$5:$G$304,0)),""))</f>
        <v/>
      </c>
      <c r="E25" s="46">
        <f>IF(A25="","",SUMIFS('أوامر التوريد'!$J$5:$J$304,'أوامر التوريد'!$G$5:$G$304,A25))</f>
        <v/>
      </c>
      <c r="F25" s="46">
        <f>IF(A25="","",SUMIFS('استلام المواد'!$K$5:$K$304,'استلام المواد'!$F$5:$F$304,A25))</f>
        <v/>
      </c>
      <c r="G25" s="46">
        <f>IF(A25="","",SUMIFS('صرف المواد'!$G$5:$G$304,'صرف المواد'!$C$5:$C$304,A25))</f>
        <v/>
      </c>
      <c r="H25" s="46">
        <f>IF(A25="","",F25-G25)</f>
        <v/>
      </c>
      <c r="I25" s="41" t="n"/>
      <c r="J25" s="46">
        <f>IF(A25="","",IFERROR(SUMIFS('أوامر التوريد'!$L$5:$L$304,'أوامر التوريد'!$G$5:$G$304,A25)/E25,0))</f>
        <v/>
      </c>
      <c r="K25" s="46">
        <f>IF(A25="","",H25*J25)</f>
        <v/>
      </c>
      <c r="L25" s="49">
        <f>IF(A25="","",IF(H25&lt;0,"رصيد سالب!",IF(AND(I25&lt;&gt;"",H25&lt;=I25),"أعد الطلب","متاح")))</f>
        <v/>
      </c>
    </row>
    <row r="26">
      <c r="A26" s="50" t="n"/>
      <c r="B26" s="49">
        <f>IF(A26="","",IFERROR(INDEX('أوامر التوريد'!$H$5:$H$304,MATCH(A26,'أوامر التوريد'!$G$5:$G$304,0)),""))</f>
        <v/>
      </c>
      <c r="C26" s="39">
        <f>IF(A26="","",IFERROR(INDEX('أوامر التوريد'!$C$5:$C$304,MATCH(A26,'أوامر التوريد'!$G$5:$G$304,0)),""))</f>
        <v/>
      </c>
      <c r="D26" s="39">
        <f>IF(A26="","",IFERROR(INDEX('أوامر التوريد'!$I$5:$I$304,MATCH(A26,'أوامر التوريد'!$G$5:$G$304,0)),""))</f>
        <v/>
      </c>
      <c r="E26" s="46">
        <f>IF(A26="","",SUMIFS('أوامر التوريد'!$J$5:$J$304,'أوامر التوريد'!$G$5:$G$304,A26))</f>
        <v/>
      </c>
      <c r="F26" s="46">
        <f>IF(A26="","",SUMIFS('استلام المواد'!$K$5:$K$304,'استلام المواد'!$F$5:$F$304,A26))</f>
        <v/>
      </c>
      <c r="G26" s="46">
        <f>IF(A26="","",SUMIFS('صرف المواد'!$G$5:$G$304,'صرف المواد'!$C$5:$C$304,A26))</f>
        <v/>
      </c>
      <c r="H26" s="46">
        <f>IF(A26="","",F26-G26)</f>
        <v/>
      </c>
      <c r="I26" s="41" t="n"/>
      <c r="J26" s="46">
        <f>IF(A26="","",IFERROR(SUMIFS('أوامر التوريد'!$L$5:$L$304,'أوامر التوريد'!$G$5:$G$304,A26)/E26,0))</f>
        <v/>
      </c>
      <c r="K26" s="46">
        <f>IF(A26="","",H26*J26)</f>
        <v/>
      </c>
      <c r="L26" s="49">
        <f>IF(A26="","",IF(H26&lt;0,"رصيد سالب!",IF(AND(I26&lt;&gt;"",H26&lt;=I26),"أعد الطلب","متاح")))</f>
        <v/>
      </c>
    </row>
    <row r="27">
      <c r="A27" s="50" t="n"/>
      <c r="B27" s="49">
        <f>IF(A27="","",IFERROR(INDEX('أوامر التوريد'!$H$5:$H$304,MATCH(A27,'أوامر التوريد'!$G$5:$G$304,0)),""))</f>
        <v/>
      </c>
      <c r="C27" s="39">
        <f>IF(A27="","",IFERROR(INDEX('أوامر التوريد'!$C$5:$C$304,MATCH(A27,'أوامر التوريد'!$G$5:$G$304,0)),""))</f>
        <v/>
      </c>
      <c r="D27" s="39">
        <f>IF(A27="","",IFERROR(INDEX('أوامر التوريد'!$I$5:$I$304,MATCH(A27,'أوامر التوريد'!$G$5:$G$304,0)),""))</f>
        <v/>
      </c>
      <c r="E27" s="46">
        <f>IF(A27="","",SUMIFS('أوامر التوريد'!$J$5:$J$304,'أوامر التوريد'!$G$5:$G$304,A27))</f>
        <v/>
      </c>
      <c r="F27" s="46">
        <f>IF(A27="","",SUMIFS('استلام المواد'!$K$5:$K$304,'استلام المواد'!$F$5:$F$304,A27))</f>
        <v/>
      </c>
      <c r="G27" s="46">
        <f>IF(A27="","",SUMIFS('صرف المواد'!$G$5:$G$304,'صرف المواد'!$C$5:$C$304,A27))</f>
        <v/>
      </c>
      <c r="H27" s="46">
        <f>IF(A27="","",F27-G27)</f>
        <v/>
      </c>
      <c r="I27" s="41" t="n"/>
      <c r="J27" s="46">
        <f>IF(A27="","",IFERROR(SUMIFS('أوامر التوريد'!$L$5:$L$304,'أوامر التوريد'!$G$5:$G$304,A27)/E27,0))</f>
        <v/>
      </c>
      <c r="K27" s="46">
        <f>IF(A27="","",H27*J27)</f>
        <v/>
      </c>
      <c r="L27" s="49">
        <f>IF(A27="","",IF(H27&lt;0,"رصيد سالب!",IF(AND(I27&lt;&gt;"",H27&lt;=I27),"أعد الطلب","متاح")))</f>
        <v/>
      </c>
    </row>
    <row r="28">
      <c r="A28" s="50" t="n"/>
      <c r="B28" s="49">
        <f>IF(A28="","",IFERROR(INDEX('أوامر التوريد'!$H$5:$H$304,MATCH(A28,'أوامر التوريد'!$G$5:$G$304,0)),""))</f>
        <v/>
      </c>
      <c r="C28" s="39">
        <f>IF(A28="","",IFERROR(INDEX('أوامر التوريد'!$C$5:$C$304,MATCH(A28,'أوامر التوريد'!$G$5:$G$304,0)),""))</f>
        <v/>
      </c>
      <c r="D28" s="39">
        <f>IF(A28="","",IFERROR(INDEX('أوامر التوريد'!$I$5:$I$304,MATCH(A28,'أوامر التوريد'!$G$5:$G$304,0)),""))</f>
        <v/>
      </c>
      <c r="E28" s="46">
        <f>IF(A28="","",SUMIFS('أوامر التوريد'!$J$5:$J$304,'أوامر التوريد'!$G$5:$G$304,A28))</f>
        <v/>
      </c>
      <c r="F28" s="46">
        <f>IF(A28="","",SUMIFS('استلام المواد'!$K$5:$K$304,'استلام المواد'!$F$5:$F$304,A28))</f>
        <v/>
      </c>
      <c r="G28" s="46">
        <f>IF(A28="","",SUMIFS('صرف المواد'!$G$5:$G$304,'صرف المواد'!$C$5:$C$304,A28))</f>
        <v/>
      </c>
      <c r="H28" s="46">
        <f>IF(A28="","",F28-G28)</f>
        <v/>
      </c>
      <c r="I28" s="41" t="n"/>
      <c r="J28" s="46">
        <f>IF(A28="","",IFERROR(SUMIFS('أوامر التوريد'!$L$5:$L$304,'أوامر التوريد'!$G$5:$G$304,A28)/E28,0))</f>
        <v/>
      </c>
      <c r="K28" s="46">
        <f>IF(A28="","",H28*J28)</f>
        <v/>
      </c>
      <c r="L28" s="49">
        <f>IF(A28="","",IF(H28&lt;0,"رصيد سالب!",IF(AND(I28&lt;&gt;"",H28&lt;=I28),"أعد الطلب","متاح")))</f>
        <v/>
      </c>
    </row>
    <row r="29">
      <c r="A29" s="50" t="n"/>
      <c r="B29" s="49">
        <f>IF(A29="","",IFERROR(INDEX('أوامر التوريد'!$H$5:$H$304,MATCH(A29,'أوامر التوريد'!$G$5:$G$304,0)),""))</f>
        <v/>
      </c>
      <c r="C29" s="39">
        <f>IF(A29="","",IFERROR(INDEX('أوامر التوريد'!$C$5:$C$304,MATCH(A29,'أوامر التوريد'!$G$5:$G$304,0)),""))</f>
        <v/>
      </c>
      <c r="D29" s="39">
        <f>IF(A29="","",IFERROR(INDEX('أوامر التوريد'!$I$5:$I$304,MATCH(A29,'أوامر التوريد'!$G$5:$G$304,0)),""))</f>
        <v/>
      </c>
      <c r="E29" s="46">
        <f>IF(A29="","",SUMIFS('أوامر التوريد'!$J$5:$J$304,'أوامر التوريد'!$G$5:$G$304,A29))</f>
        <v/>
      </c>
      <c r="F29" s="46">
        <f>IF(A29="","",SUMIFS('استلام المواد'!$K$5:$K$304,'استلام المواد'!$F$5:$F$304,A29))</f>
        <v/>
      </c>
      <c r="G29" s="46">
        <f>IF(A29="","",SUMIFS('صرف المواد'!$G$5:$G$304,'صرف المواد'!$C$5:$C$304,A29))</f>
        <v/>
      </c>
      <c r="H29" s="46">
        <f>IF(A29="","",F29-G29)</f>
        <v/>
      </c>
      <c r="I29" s="41" t="n"/>
      <c r="J29" s="46">
        <f>IF(A29="","",IFERROR(SUMIFS('أوامر التوريد'!$L$5:$L$304,'أوامر التوريد'!$G$5:$G$304,A29)/E29,0))</f>
        <v/>
      </c>
      <c r="K29" s="46">
        <f>IF(A29="","",H29*J29)</f>
        <v/>
      </c>
      <c r="L29" s="49">
        <f>IF(A29="","",IF(H29&lt;0,"رصيد سالب!",IF(AND(I29&lt;&gt;"",H29&lt;=I29),"أعد الطلب","متاح")))</f>
        <v/>
      </c>
    </row>
    <row r="30">
      <c r="A30" s="50" t="n"/>
      <c r="B30" s="49">
        <f>IF(A30="","",IFERROR(INDEX('أوامر التوريد'!$H$5:$H$304,MATCH(A30,'أوامر التوريد'!$G$5:$G$304,0)),""))</f>
        <v/>
      </c>
      <c r="C30" s="39">
        <f>IF(A30="","",IFERROR(INDEX('أوامر التوريد'!$C$5:$C$304,MATCH(A30,'أوامر التوريد'!$G$5:$G$304,0)),""))</f>
        <v/>
      </c>
      <c r="D30" s="39">
        <f>IF(A30="","",IFERROR(INDEX('أوامر التوريد'!$I$5:$I$304,MATCH(A30,'أوامر التوريد'!$G$5:$G$304,0)),""))</f>
        <v/>
      </c>
      <c r="E30" s="46">
        <f>IF(A30="","",SUMIFS('أوامر التوريد'!$J$5:$J$304,'أوامر التوريد'!$G$5:$G$304,A30))</f>
        <v/>
      </c>
      <c r="F30" s="46">
        <f>IF(A30="","",SUMIFS('استلام المواد'!$K$5:$K$304,'استلام المواد'!$F$5:$F$304,A30))</f>
        <v/>
      </c>
      <c r="G30" s="46">
        <f>IF(A30="","",SUMIFS('صرف المواد'!$G$5:$G$304,'صرف المواد'!$C$5:$C$304,A30))</f>
        <v/>
      </c>
      <c r="H30" s="46">
        <f>IF(A30="","",F30-G30)</f>
        <v/>
      </c>
      <c r="I30" s="41" t="n"/>
      <c r="J30" s="46">
        <f>IF(A30="","",IFERROR(SUMIFS('أوامر التوريد'!$L$5:$L$304,'أوامر التوريد'!$G$5:$G$304,A30)/E30,0))</f>
        <v/>
      </c>
      <c r="K30" s="46">
        <f>IF(A30="","",H30*J30)</f>
        <v/>
      </c>
      <c r="L30" s="49">
        <f>IF(A30="","",IF(H30&lt;0,"رصيد سالب!",IF(AND(I30&lt;&gt;"",H30&lt;=I30),"أعد الطلب","متاح")))</f>
        <v/>
      </c>
    </row>
    <row r="31">
      <c r="A31" s="50" t="n"/>
      <c r="B31" s="49">
        <f>IF(A31="","",IFERROR(INDEX('أوامر التوريد'!$H$5:$H$304,MATCH(A31,'أوامر التوريد'!$G$5:$G$304,0)),""))</f>
        <v/>
      </c>
      <c r="C31" s="39">
        <f>IF(A31="","",IFERROR(INDEX('أوامر التوريد'!$C$5:$C$304,MATCH(A31,'أوامر التوريد'!$G$5:$G$304,0)),""))</f>
        <v/>
      </c>
      <c r="D31" s="39">
        <f>IF(A31="","",IFERROR(INDEX('أوامر التوريد'!$I$5:$I$304,MATCH(A31,'أوامر التوريد'!$G$5:$G$304,0)),""))</f>
        <v/>
      </c>
      <c r="E31" s="46">
        <f>IF(A31="","",SUMIFS('أوامر التوريد'!$J$5:$J$304,'أوامر التوريد'!$G$5:$G$304,A31))</f>
        <v/>
      </c>
      <c r="F31" s="46">
        <f>IF(A31="","",SUMIFS('استلام المواد'!$K$5:$K$304,'استلام المواد'!$F$5:$F$304,A31))</f>
        <v/>
      </c>
      <c r="G31" s="46">
        <f>IF(A31="","",SUMIFS('صرف المواد'!$G$5:$G$304,'صرف المواد'!$C$5:$C$304,A31))</f>
        <v/>
      </c>
      <c r="H31" s="46">
        <f>IF(A31="","",F31-G31)</f>
        <v/>
      </c>
      <c r="I31" s="41" t="n"/>
      <c r="J31" s="46">
        <f>IF(A31="","",IFERROR(SUMIFS('أوامر التوريد'!$L$5:$L$304,'أوامر التوريد'!$G$5:$G$304,A31)/E31,0))</f>
        <v/>
      </c>
      <c r="K31" s="46">
        <f>IF(A31="","",H31*J31)</f>
        <v/>
      </c>
      <c r="L31" s="49">
        <f>IF(A31="","",IF(H31&lt;0,"رصيد سالب!",IF(AND(I31&lt;&gt;"",H31&lt;=I31),"أعد الطلب","متاح")))</f>
        <v/>
      </c>
    </row>
    <row r="32">
      <c r="A32" s="50" t="n"/>
      <c r="B32" s="49">
        <f>IF(A32="","",IFERROR(INDEX('أوامر التوريد'!$H$5:$H$304,MATCH(A32,'أوامر التوريد'!$G$5:$G$304,0)),""))</f>
        <v/>
      </c>
      <c r="C32" s="39">
        <f>IF(A32="","",IFERROR(INDEX('أوامر التوريد'!$C$5:$C$304,MATCH(A32,'أوامر التوريد'!$G$5:$G$304,0)),""))</f>
        <v/>
      </c>
      <c r="D32" s="39">
        <f>IF(A32="","",IFERROR(INDEX('أوامر التوريد'!$I$5:$I$304,MATCH(A32,'أوامر التوريد'!$G$5:$G$304,0)),""))</f>
        <v/>
      </c>
      <c r="E32" s="46">
        <f>IF(A32="","",SUMIFS('أوامر التوريد'!$J$5:$J$304,'أوامر التوريد'!$G$5:$G$304,A32))</f>
        <v/>
      </c>
      <c r="F32" s="46">
        <f>IF(A32="","",SUMIFS('استلام المواد'!$K$5:$K$304,'استلام المواد'!$F$5:$F$304,A32))</f>
        <v/>
      </c>
      <c r="G32" s="46">
        <f>IF(A32="","",SUMIFS('صرف المواد'!$G$5:$G$304,'صرف المواد'!$C$5:$C$304,A32))</f>
        <v/>
      </c>
      <c r="H32" s="46">
        <f>IF(A32="","",F32-G32)</f>
        <v/>
      </c>
      <c r="I32" s="41" t="n"/>
      <c r="J32" s="46">
        <f>IF(A32="","",IFERROR(SUMIFS('أوامر التوريد'!$L$5:$L$304,'أوامر التوريد'!$G$5:$G$304,A32)/E32,0))</f>
        <v/>
      </c>
      <c r="K32" s="46">
        <f>IF(A32="","",H32*J32)</f>
        <v/>
      </c>
      <c r="L32" s="49">
        <f>IF(A32="","",IF(H32&lt;0,"رصيد سالب!",IF(AND(I32&lt;&gt;"",H32&lt;=I32),"أعد الطلب","متاح")))</f>
        <v/>
      </c>
    </row>
    <row r="33">
      <c r="A33" s="50" t="n"/>
      <c r="B33" s="49">
        <f>IF(A33="","",IFERROR(INDEX('أوامر التوريد'!$H$5:$H$304,MATCH(A33,'أوامر التوريد'!$G$5:$G$304,0)),""))</f>
        <v/>
      </c>
      <c r="C33" s="39">
        <f>IF(A33="","",IFERROR(INDEX('أوامر التوريد'!$C$5:$C$304,MATCH(A33,'أوامر التوريد'!$G$5:$G$304,0)),""))</f>
        <v/>
      </c>
      <c r="D33" s="39">
        <f>IF(A33="","",IFERROR(INDEX('أوامر التوريد'!$I$5:$I$304,MATCH(A33,'أوامر التوريد'!$G$5:$G$304,0)),""))</f>
        <v/>
      </c>
      <c r="E33" s="46">
        <f>IF(A33="","",SUMIFS('أوامر التوريد'!$J$5:$J$304,'أوامر التوريد'!$G$5:$G$304,A33))</f>
        <v/>
      </c>
      <c r="F33" s="46">
        <f>IF(A33="","",SUMIFS('استلام المواد'!$K$5:$K$304,'استلام المواد'!$F$5:$F$304,A33))</f>
        <v/>
      </c>
      <c r="G33" s="46">
        <f>IF(A33="","",SUMIFS('صرف المواد'!$G$5:$G$304,'صرف المواد'!$C$5:$C$304,A33))</f>
        <v/>
      </c>
      <c r="H33" s="46">
        <f>IF(A33="","",F33-G33)</f>
        <v/>
      </c>
      <c r="I33" s="41" t="n"/>
      <c r="J33" s="46">
        <f>IF(A33="","",IFERROR(SUMIFS('أوامر التوريد'!$L$5:$L$304,'أوامر التوريد'!$G$5:$G$304,A33)/E33,0))</f>
        <v/>
      </c>
      <c r="K33" s="46">
        <f>IF(A33="","",H33*J33)</f>
        <v/>
      </c>
      <c r="L33" s="49">
        <f>IF(A33="","",IF(H33&lt;0,"رصيد سالب!",IF(AND(I33&lt;&gt;"",H33&lt;=I33),"أعد الطلب","متاح")))</f>
        <v/>
      </c>
    </row>
    <row r="34">
      <c r="A34" s="50" t="n"/>
      <c r="B34" s="49">
        <f>IF(A34="","",IFERROR(INDEX('أوامر التوريد'!$H$5:$H$304,MATCH(A34,'أوامر التوريد'!$G$5:$G$304,0)),""))</f>
        <v/>
      </c>
      <c r="C34" s="39">
        <f>IF(A34="","",IFERROR(INDEX('أوامر التوريد'!$C$5:$C$304,MATCH(A34,'أوامر التوريد'!$G$5:$G$304,0)),""))</f>
        <v/>
      </c>
      <c r="D34" s="39">
        <f>IF(A34="","",IFERROR(INDEX('أوامر التوريد'!$I$5:$I$304,MATCH(A34,'أوامر التوريد'!$G$5:$G$304,0)),""))</f>
        <v/>
      </c>
      <c r="E34" s="46">
        <f>IF(A34="","",SUMIFS('أوامر التوريد'!$J$5:$J$304,'أوامر التوريد'!$G$5:$G$304,A34))</f>
        <v/>
      </c>
      <c r="F34" s="46">
        <f>IF(A34="","",SUMIFS('استلام المواد'!$K$5:$K$304,'استلام المواد'!$F$5:$F$304,A34))</f>
        <v/>
      </c>
      <c r="G34" s="46">
        <f>IF(A34="","",SUMIFS('صرف المواد'!$G$5:$G$304,'صرف المواد'!$C$5:$C$304,A34))</f>
        <v/>
      </c>
      <c r="H34" s="46">
        <f>IF(A34="","",F34-G34)</f>
        <v/>
      </c>
      <c r="I34" s="41" t="n"/>
      <c r="J34" s="46">
        <f>IF(A34="","",IFERROR(SUMIFS('أوامر التوريد'!$L$5:$L$304,'أوامر التوريد'!$G$5:$G$304,A34)/E34,0))</f>
        <v/>
      </c>
      <c r="K34" s="46">
        <f>IF(A34="","",H34*J34)</f>
        <v/>
      </c>
      <c r="L34" s="49">
        <f>IF(A34="","",IF(H34&lt;0,"رصيد سالب!",IF(AND(I34&lt;&gt;"",H34&lt;=I34),"أعد الطلب","متاح")))</f>
        <v/>
      </c>
    </row>
    <row r="35">
      <c r="A35" s="50" t="n"/>
      <c r="B35" s="49">
        <f>IF(A35="","",IFERROR(INDEX('أوامر التوريد'!$H$5:$H$304,MATCH(A35,'أوامر التوريد'!$G$5:$G$304,0)),""))</f>
        <v/>
      </c>
      <c r="C35" s="39">
        <f>IF(A35="","",IFERROR(INDEX('أوامر التوريد'!$C$5:$C$304,MATCH(A35,'أوامر التوريد'!$G$5:$G$304,0)),""))</f>
        <v/>
      </c>
      <c r="D35" s="39">
        <f>IF(A35="","",IFERROR(INDEX('أوامر التوريد'!$I$5:$I$304,MATCH(A35,'أوامر التوريد'!$G$5:$G$304,0)),""))</f>
        <v/>
      </c>
      <c r="E35" s="46">
        <f>IF(A35="","",SUMIFS('أوامر التوريد'!$J$5:$J$304,'أوامر التوريد'!$G$5:$G$304,A35))</f>
        <v/>
      </c>
      <c r="F35" s="46">
        <f>IF(A35="","",SUMIFS('استلام المواد'!$K$5:$K$304,'استلام المواد'!$F$5:$F$304,A35))</f>
        <v/>
      </c>
      <c r="G35" s="46">
        <f>IF(A35="","",SUMIFS('صرف المواد'!$G$5:$G$304,'صرف المواد'!$C$5:$C$304,A35))</f>
        <v/>
      </c>
      <c r="H35" s="46">
        <f>IF(A35="","",F35-G35)</f>
        <v/>
      </c>
      <c r="I35" s="41" t="n"/>
      <c r="J35" s="46">
        <f>IF(A35="","",IFERROR(SUMIFS('أوامر التوريد'!$L$5:$L$304,'أوامر التوريد'!$G$5:$G$304,A35)/E35,0))</f>
        <v/>
      </c>
      <c r="K35" s="46">
        <f>IF(A35="","",H35*J35)</f>
        <v/>
      </c>
      <c r="L35" s="49">
        <f>IF(A35="","",IF(H35&lt;0,"رصيد سالب!",IF(AND(I35&lt;&gt;"",H35&lt;=I35),"أعد الطلب","متاح")))</f>
        <v/>
      </c>
    </row>
    <row r="36">
      <c r="A36" s="50" t="n"/>
      <c r="B36" s="49">
        <f>IF(A36="","",IFERROR(INDEX('أوامر التوريد'!$H$5:$H$304,MATCH(A36,'أوامر التوريد'!$G$5:$G$304,0)),""))</f>
        <v/>
      </c>
      <c r="C36" s="39">
        <f>IF(A36="","",IFERROR(INDEX('أوامر التوريد'!$C$5:$C$304,MATCH(A36,'أوامر التوريد'!$G$5:$G$304,0)),""))</f>
        <v/>
      </c>
      <c r="D36" s="39">
        <f>IF(A36="","",IFERROR(INDEX('أوامر التوريد'!$I$5:$I$304,MATCH(A36,'أوامر التوريد'!$G$5:$G$304,0)),""))</f>
        <v/>
      </c>
      <c r="E36" s="46">
        <f>IF(A36="","",SUMIFS('أوامر التوريد'!$J$5:$J$304,'أوامر التوريد'!$G$5:$G$304,A36))</f>
        <v/>
      </c>
      <c r="F36" s="46">
        <f>IF(A36="","",SUMIFS('استلام المواد'!$K$5:$K$304,'استلام المواد'!$F$5:$F$304,A36))</f>
        <v/>
      </c>
      <c r="G36" s="46">
        <f>IF(A36="","",SUMIFS('صرف المواد'!$G$5:$G$304,'صرف المواد'!$C$5:$C$304,A36))</f>
        <v/>
      </c>
      <c r="H36" s="46">
        <f>IF(A36="","",F36-G36)</f>
        <v/>
      </c>
      <c r="I36" s="41" t="n"/>
      <c r="J36" s="46">
        <f>IF(A36="","",IFERROR(SUMIFS('أوامر التوريد'!$L$5:$L$304,'أوامر التوريد'!$G$5:$G$304,A36)/E36,0))</f>
        <v/>
      </c>
      <c r="K36" s="46">
        <f>IF(A36="","",H36*J36)</f>
        <v/>
      </c>
      <c r="L36" s="49">
        <f>IF(A36="","",IF(H36&lt;0,"رصيد سالب!",IF(AND(I36&lt;&gt;"",H36&lt;=I36),"أعد الطلب","متاح")))</f>
        <v/>
      </c>
    </row>
    <row r="37">
      <c r="A37" s="50" t="n"/>
      <c r="B37" s="49">
        <f>IF(A37="","",IFERROR(INDEX('أوامر التوريد'!$H$5:$H$304,MATCH(A37,'أوامر التوريد'!$G$5:$G$304,0)),""))</f>
        <v/>
      </c>
      <c r="C37" s="39">
        <f>IF(A37="","",IFERROR(INDEX('أوامر التوريد'!$C$5:$C$304,MATCH(A37,'أوامر التوريد'!$G$5:$G$304,0)),""))</f>
        <v/>
      </c>
      <c r="D37" s="39">
        <f>IF(A37="","",IFERROR(INDEX('أوامر التوريد'!$I$5:$I$304,MATCH(A37,'أوامر التوريد'!$G$5:$G$304,0)),""))</f>
        <v/>
      </c>
      <c r="E37" s="46">
        <f>IF(A37="","",SUMIFS('أوامر التوريد'!$J$5:$J$304,'أوامر التوريد'!$G$5:$G$304,A37))</f>
        <v/>
      </c>
      <c r="F37" s="46">
        <f>IF(A37="","",SUMIFS('استلام المواد'!$K$5:$K$304,'استلام المواد'!$F$5:$F$304,A37))</f>
        <v/>
      </c>
      <c r="G37" s="46">
        <f>IF(A37="","",SUMIFS('صرف المواد'!$G$5:$G$304,'صرف المواد'!$C$5:$C$304,A37))</f>
        <v/>
      </c>
      <c r="H37" s="46">
        <f>IF(A37="","",F37-G37)</f>
        <v/>
      </c>
      <c r="I37" s="41" t="n"/>
      <c r="J37" s="46">
        <f>IF(A37="","",IFERROR(SUMIFS('أوامر التوريد'!$L$5:$L$304,'أوامر التوريد'!$G$5:$G$304,A37)/E37,0))</f>
        <v/>
      </c>
      <c r="K37" s="46">
        <f>IF(A37="","",H37*J37)</f>
        <v/>
      </c>
      <c r="L37" s="49">
        <f>IF(A37="","",IF(H37&lt;0,"رصيد سالب!",IF(AND(I37&lt;&gt;"",H37&lt;=I37),"أعد الطلب","متاح")))</f>
        <v/>
      </c>
    </row>
    <row r="38">
      <c r="A38" s="50" t="n"/>
      <c r="B38" s="49">
        <f>IF(A38="","",IFERROR(INDEX('أوامر التوريد'!$H$5:$H$304,MATCH(A38,'أوامر التوريد'!$G$5:$G$304,0)),""))</f>
        <v/>
      </c>
      <c r="C38" s="39">
        <f>IF(A38="","",IFERROR(INDEX('أوامر التوريد'!$C$5:$C$304,MATCH(A38,'أوامر التوريد'!$G$5:$G$304,0)),""))</f>
        <v/>
      </c>
      <c r="D38" s="39">
        <f>IF(A38="","",IFERROR(INDEX('أوامر التوريد'!$I$5:$I$304,MATCH(A38,'أوامر التوريد'!$G$5:$G$304,0)),""))</f>
        <v/>
      </c>
      <c r="E38" s="46">
        <f>IF(A38="","",SUMIFS('أوامر التوريد'!$J$5:$J$304,'أوامر التوريد'!$G$5:$G$304,A38))</f>
        <v/>
      </c>
      <c r="F38" s="46">
        <f>IF(A38="","",SUMIFS('استلام المواد'!$K$5:$K$304,'استلام المواد'!$F$5:$F$304,A38))</f>
        <v/>
      </c>
      <c r="G38" s="46">
        <f>IF(A38="","",SUMIFS('صرف المواد'!$G$5:$G$304,'صرف المواد'!$C$5:$C$304,A38))</f>
        <v/>
      </c>
      <c r="H38" s="46">
        <f>IF(A38="","",F38-G38)</f>
        <v/>
      </c>
      <c r="I38" s="41" t="n"/>
      <c r="J38" s="46">
        <f>IF(A38="","",IFERROR(SUMIFS('أوامر التوريد'!$L$5:$L$304,'أوامر التوريد'!$G$5:$G$304,A38)/E38,0))</f>
        <v/>
      </c>
      <c r="K38" s="46">
        <f>IF(A38="","",H38*J38)</f>
        <v/>
      </c>
      <c r="L38" s="49">
        <f>IF(A38="","",IF(H38&lt;0,"رصيد سالب!",IF(AND(I38&lt;&gt;"",H38&lt;=I38),"أعد الطلب","متاح")))</f>
        <v/>
      </c>
    </row>
    <row r="39">
      <c r="A39" s="50" t="n"/>
      <c r="B39" s="49">
        <f>IF(A39="","",IFERROR(INDEX('أوامر التوريد'!$H$5:$H$304,MATCH(A39,'أوامر التوريد'!$G$5:$G$304,0)),""))</f>
        <v/>
      </c>
      <c r="C39" s="39">
        <f>IF(A39="","",IFERROR(INDEX('أوامر التوريد'!$C$5:$C$304,MATCH(A39,'أوامر التوريد'!$G$5:$G$304,0)),""))</f>
        <v/>
      </c>
      <c r="D39" s="39">
        <f>IF(A39="","",IFERROR(INDEX('أوامر التوريد'!$I$5:$I$304,MATCH(A39,'أوامر التوريد'!$G$5:$G$304,0)),""))</f>
        <v/>
      </c>
      <c r="E39" s="46">
        <f>IF(A39="","",SUMIFS('أوامر التوريد'!$J$5:$J$304,'أوامر التوريد'!$G$5:$G$304,A39))</f>
        <v/>
      </c>
      <c r="F39" s="46">
        <f>IF(A39="","",SUMIFS('استلام المواد'!$K$5:$K$304,'استلام المواد'!$F$5:$F$304,A39))</f>
        <v/>
      </c>
      <c r="G39" s="46">
        <f>IF(A39="","",SUMIFS('صرف المواد'!$G$5:$G$304,'صرف المواد'!$C$5:$C$304,A39))</f>
        <v/>
      </c>
      <c r="H39" s="46">
        <f>IF(A39="","",F39-G39)</f>
        <v/>
      </c>
      <c r="I39" s="41" t="n"/>
      <c r="J39" s="46">
        <f>IF(A39="","",IFERROR(SUMIFS('أوامر التوريد'!$L$5:$L$304,'أوامر التوريد'!$G$5:$G$304,A39)/E39,0))</f>
        <v/>
      </c>
      <c r="K39" s="46">
        <f>IF(A39="","",H39*J39)</f>
        <v/>
      </c>
      <c r="L39" s="49">
        <f>IF(A39="","",IF(H39&lt;0,"رصيد سالب!",IF(AND(I39&lt;&gt;"",H39&lt;=I39),"أعد الطلب","متاح")))</f>
        <v/>
      </c>
    </row>
    <row r="40">
      <c r="A40" s="50" t="n"/>
      <c r="B40" s="49">
        <f>IF(A40="","",IFERROR(INDEX('أوامر التوريد'!$H$5:$H$304,MATCH(A40,'أوامر التوريد'!$G$5:$G$304,0)),""))</f>
        <v/>
      </c>
      <c r="C40" s="39">
        <f>IF(A40="","",IFERROR(INDEX('أوامر التوريد'!$C$5:$C$304,MATCH(A40,'أوامر التوريد'!$G$5:$G$304,0)),""))</f>
        <v/>
      </c>
      <c r="D40" s="39">
        <f>IF(A40="","",IFERROR(INDEX('أوامر التوريد'!$I$5:$I$304,MATCH(A40,'أوامر التوريد'!$G$5:$G$304,0)),""))</f>
        <v/>
      </c>
      <c r="E40" s="46">
        <f>IF(A40="","",SUMIFS('أوامر التوريد'!$J$5:$J$304,'أوامر التوريد'!$G$5:$G$304,A40))</f>
        <v/>
      </c>
      <c r="F40" s="46">
        <f>IF(A40="","",SUMIFS('استلام المواد'!$K$5:$K$304,'استلام المواد'!$F$5:$F$304,A40))</f>
        <v/>
      </c>
      <c r="G40" s="46">
        <f>IF(A40="","",SUMIFS('صرف المواد'!$G$5:$G$304,'صرف المواد'!$C$5:$C$304,A40))</f>
        <v/>
      </c>
      <c r="H40" s="46">
        <f>IF(A40="","",F40-G40)</f>
        <v/>
      </c>
      <c r="I40" s="41" t="n"/>
      <c r="J40" s="46">
        <f>IF(A40="","",IFERROR(SUMIFS('أوامر التوريد'!$L$5:$L$304,'أوامر التوريد'!$G$5:$G$304,A40)/E40,0))</f>
        <v/>
      </c>
      <c r="K40" s="46">
        <f>IF(A40="","",H40*J40)</f>
        <v/>
      </c>
      <c r="L40" s="49">
        <f>IF(A40="","",IF(H40&lt;0,"رصيد سالب!",IF(AND(I40&lt;&gt;"",H40&lt;=I40),"أعد الطلب","متاح")))</f>
        <v/>
      </c>
    </row>
    <row r="41">
      <c r="A41" s="50" t="n"/>
      <c r="B41" s="49">
        <f>IF(A41="","",IFERROR(INDEX('أوامر التوريد'!$H$5:$H$304,MATCH(A41,'أوامر التوريد'!$G$5:$G$304,0)),""))</f>
        <v/>
      </c>
      <c r="C41" s="39">
        <f>IF(A41="","",IFERROR(INDEX('أوامر التوريد'!$C$5:$C$304,MATCH(A41,'أوامر التوريد'!$G$5:$G$304,0)),""))</f>
        <v/>
      </c>
      <c r="D41" s="39">
        <f>IF(A41="","",IFERROR(INDEX('أوامر التوريد'!$I$5:$I$304,MATCH(A41,'أوامر التوريد'!$G$5:$G$304,0)),""))</f>
        <v/>
      </c>
      <c r="E41" s="46">
        <f>IF(A41="","",SUMIFS('أوامر التوريد'!$J$5:$J$304,'أوامر التوريد'!$G$5:$G$304,A41))</f>
        <v/>
      </c>
      <c r="F41" s="46">
        <f>IF(A41="","",SUMIFS('استلام المواد'!$K$5:$K$304,'استلام المواد'!$F$5:$F$304,A41))</f>
        <v/>
      </c>
      <c r="G41" s="46">
        <f>IF(A41="","",SUMIFS('صرف المواد'!$G$5:$G$304,'صرف المواد'!$C$5:$C$304,A41))</f>
        <v/>
      </c>
      <c r="H41" s="46">
        <f>IF(A41="","",F41-G41)</f>
        <v/>
      </c>
      <c r="I41" s="41" t="n"/>
      <c r="J41" s="46">
        <f>IF(A41="","",IFERROR(SUMIFS('أوامر التوريد'!$L$5:$L$304,'أوامر التوريد'!$G$5:$G$304,A41)/E41,0))</f>
        <v/>
      </c>
      <c r="K41" s="46">
        <f>IF(A41="","",H41*J41)</f>
        <v/>
      </c>
      <c r="L41" s="49">
        <f>IF(A41="","",IF(H41&lt;0,"رصيد سالب!",IF(AND(I41&lt;&gt;"",H41&lt;=I41),"أعد الطلب","متاح")))</f>
        <v/>
      </c>
    </row>
    <row r="42">
      <c r="A42" s="50" t="n"/>
      <c r="B42" s="49">
        <f>IF(A42="","",IFERROR(INDEX('أوامر التوريد'!$H$5:$H$304,MATCH(A42,'أوامر التوريد'!$G$5:$G$304,0)),""))</f>
        <v/>
      </c>
      <c r="C42" s="39">
        <f>IF(A42="","",IFERROR(INDEX('أوامر التوريد'!$C$5:$C$304,MATCH(A42,'أوامر التوريد'!$G$5:$G$304,0)),""))</f>
        <v/>
      </c>
      <c r="D42" s="39">
        <f>IF(A42="","",IFERROR(INDEX('أوامر التوريد'!$I$5:$I$304,MATCH(A42,'أوامر التوريد'!$G$5:$G$304,0)),""))</f>
        <v/>
      </c>
      <c r="E42" s="46">
        <f>IF(A42="","",SUMIFS('أوامر التوريد'!$J$5:$J$304,'أوامر التوريد'!$G$5:$G$304,A42))</f>
        <v/>
      </c>
      <c r="F42" s="46">
        <f>IF(A42="","",SUMIFS('استلام المواد'!$K$5:$K$304,'استلام المواد'!$F$5:$F$304,A42))</f>
        <v/>
      </c>
      <c r="G42" s="46">
        <f>IF(A42="","",SUMIFS('صرف المواد'!$G$5:$G$304,'صرف المواد'!$C$5:$C$304,A42))</f>
        <v/>
      </c>
      <c r="H42" s="46">
        <f>IF(A42="","",F42-G42)</f>
        <v/>
      </c>
      <c r="I42" s="41" t="n"/>
      <c r="J42" s="46">
        <f>IF(A42="","",IFERROR(SUMIFS('أوامر التوريد'!$L$5:$L$304,'أوامر التوريد'!$G$5:$G$304,A42)/E42,0))</f>
        <v/>
      </c>
      <c r="K42" s="46">
        <f>IF(A42="","",H42*J42)</f>
        <v/>
      </c>
      <c r="L42" s="49">
        <f>IF(A42="","",IF(H42&lt;0,"رصيد سالب!",IF(AND(I42&lt;&gt;"",H42&lt;=I42),"أعد الطلب","متاح")))</f>
        <v/>
      </c>
    </row>
    <row r="43">
      <c r="A43" s="50" t="n"/>
      <c r="B43" s="49">
        <f>IF(A43="","",IFERROR(INDEX('أوامر التوريد'!$H$5:$H$304,MATCH(A43,'أوامر التوريد'!$G$5:$G$304,0)),""))</f>
        <v/>
      </c>
      <c r="C43" s="39">
        <f>IF(A43="","",IFERROR(INDEX('أوامر التوريد'!$C$5:$C$304,MATCH(A43,'أوامر التوريد'!$G$5:$G$304,0)),""))</f>
        <v/>
      </c>
      <c r="D43" s="39">
        <f>IF(A43="","",IFERROR(INDEX('أوامر التوريد'!$I$5:$I$304,MATCH(A43,'أوامر التوريد'!$G$5:$G$304,0)),""))</f>
        <v/>
      </c>
      <c r="E43" s="46">
        <f>IF(A43="","",SUMIFS('أوامر التوريد'!$J$5:$J$304,'أوامر التوريد'!$G$5:$G$304,A43))</f>
        <v/>
      </c>
      <c r="F43" s="46">
        <f>IF(A43="","",SUMIFS('استلام المواد'!$K$5:$K$304,'استلام المواد'!$F$5:$F$304,A43))</f>
        <v/>
      </c>
      <c r="G43" s="46">
        <f>IF(A43="","",SUMIFS('صرف المواد'!$G$5:$G$304,'صرف المواد'!$C$5:$C$304,A43))</f>
        <v/>
      </c>
      <c r="H43" s="46">
        <f>IF(A43="","",F43-G43)</f>
        <v/>
      </c>
      <c r="I43" s="41" t="n"/>
      <c r="J43" s="46">
        <f>IF(A43="","",IFERROR(SUMIFS('أوامر التوريد'!$L$5:$L$304,'أوامر التوريد'!$G$5:$G$304,A43)/E43,0))</f>
        <v/>
      </c>
      <c r="K43" s="46">
        <f>IF(A43="","",H43*J43)</f>
        <v/>
      </c>
      <c r="L43" s="49">
        <f>IF(A43="","",IF(H43&lt;0,"رصيد سالب!",IF(AND(I43&lt;&gt;"",H43&lt;=I43),"أعد الطلب","متاح")))</f>
        <v/>
      </c>
    </row>
    <row r="44">
      <c r="A44" s="50" t="n"/>
      <c r="B44" s="49">
        <f>IF(A44="","",IFERROR(INDEX('أوامر التوريد'!$H$5:$H$304,MATCH(A44,'أوامر التوريد'!$G$5:$G$304,0)),""))</f>
        <v/>
      </c>
      <c r="C44" s="39">
        <f>IF(A44="","",IFERROR(INDEX('أوامر التوريد'!$C$5:$C$304,MATCH(A44,'أوامر التوريد'!$G$5:$G$304,0)),""))</f>
        <v/>
      </c>
      <c r="D44" s="39">
        <f>IF(A44="","",IFERROR(INDEX('أوامر التوريد'!$I$5:$I$304,MATCH(A44,'أوامر التوريد'!$G$5:$G$304,0)),""))</f>
        <v/>
      </c>
      <c r="E44" s="46">
        <f>IF(A44="","",SUMIFS('أوامر التوريد'!$J$5:$J$304,'أوامر التوريد'!$G$5:$G$304,A44))</f>
        <v/>
      </c>
      <c r="F44" s="46">
        <f>IF(A44="","",SUMIFS('استلام المواد'!$K$5:$K$304,'استلام المواد'!$F$5:$F$304,A44))</f>
        <v/>
      </c>
      <c r="G44" s="46">
        <f>IF(A44="","",SUMIFS('صرف المواد'!$G$5:$G$304,'صرف المواد'!$C$5:$C$304,A44))</f>
        <v/>
      </c>
      <c r="H44" s="46">
        <f>IF(A44="","",F44-G44)</f>
        <v/>
      </c>
      <c r="I44" s="41" t="n"/>
      <c r="J44" s="46">
        <f>IF(A44="","",IFERROR(SUMIFS('أوامر التوريد'!$L$5:$L$304,'أوامر التوريد'!$G$5:$G$304,A44)/E44,0))</f>
        <v/>
      </c>
      <c r="K44" s="46">
        <f>IF(A44="","",H44*J44)</f>
        <v/>
      </c>
      <c r="L44" s="49">
        <f>IF(A44="","",IF(H44&lt;0,"رصيد سالب!",IF(AND(I44&lt;&gt;"",H44&lt;=I44),"أعد الطلب","متاح")))</f>
        <v/>
      </c>
    </row>
    <row r="45">
      <c r="A45" s="50" t="n"/>
      <c r="B45" s="49">
        <f>IF(A45="","",IFERROR(INDEX('أوامر التوريد'!$H$5:$H$304,MATCH(A45,'أوامر التوريد'!$G$5:$G$304,0)),""))</f>
        <v/>
      </c>
      <c r="C45" s="39">
        <f>IF(A45="","",IFERROR(INDEX('أوامر التوريد'!$C$5:$C$304,MATCH(A45,'أوامر التوريد'!$G$5:$G$304,0)),""))</f>
        <v/>
      </c>
      <c r="D45" s="39">
        <f>IF(A45="","",IFERROR(INDEX('أوامر التوريد'!$I$5:$I$304,MATCH(A45,'أوامر التوريد'!$G$5:$G$304,0)),""))</f>
        <v/>
      </c>
      <c r="E45" s="46">
        <f>IF(A45="","",SUMIFS('أوامر التوريد'!$J$5:$J$304,'أوامر التوريد'!$G$5:$G$304,A45))</f>
        <v/>
      </c>
      <c r="F45" s="46">
        <f>IF(A45="","",SUMIFS('استلام المواد'!$K$5:$K$304,'استلام المواد'!$F$5:$F$304,A45))</f>
        <v/>
      </c>
      <c r="G45" s="46">
        <f>IF(A45="","",SUMIFS('صرف المواد'!$G$5:$G$304,'صرف المواد'!$C$5:$C$304,A45))</f>
        <v/>
      </c>
      <c r="H45" s="46">
        <f>IF(A45="","",F45-G45)</f>
        <v/>
      </c>
      <c r="I45" s="41" t="n"/>
      <c r="J45" s="46">
        <f>IF(A45="","",IFERROR(SUMIFS('أوامر التوريد'!$L$5:$L$304,'أوامر التوريد'!$G$5:$G$304,A45)/E45,0))</f>
        <v/>
      </c>
      <c r="K45" s="46">
        <f>IF(A45="","",H45*J45)</f>
        <v/>
      </c>
      <c r="L45" s="49">
        <f>IF(A45="","",IF(H45&lt;0,"رصيد سالب!",IF(AND(I45&lt;&gt;"",H45&lt;=I45),"أعد الطلب","متاح")))</f>
        <v/>
      </c>
    </row>
    <row r="46">
      <c r="A46" s="50" t="n"/>
      <c r="B46" s="49">
        <f>IF(A46="","",IFERROR(INDEX('أوامر التوريد'!$H$5:$H$304,MATCH(A46,'أوامر التوريد'!$G$5:$G$304,0)),""))</f>
        <v/>
      </c>
      <c r="C46" s="39">
        <f>IF(A46="","",IFERROR(INDEX('أوامر التوريد'!$C$5:$C$304,MATCH(A46,'أوامر التوريد'!$G$5:$G$304,0)),""))</f>
        <v/>
      </c>
      <c r="D46" s="39">
        <f>IF(A46="","",IFERROR(INDEX('أوامر التوريد'!$I$5:$I$304,MATCH(A46,'أوامر التوريد'!$G$5:$G$304,0)),""))</f>
        <v/>
      </c>
      <c r="E46" s="46">
        <f>IF(A46="","",SUMIFS('أوامر التوريد'!$J$5:$J$304,'أوامر التوريد'!$G$5:$G$304,A46))</f>
        <v/>
      </c>
      <c r="F46" s="46">
        <f>IF(A46="","",SUMIFS('استلام المواد'!$K$5:$K$304,'استلام المواد'!$F$5:$F$304,A46))</f>
        <v/>
      </c>
      <c r="G46" s="46">
        <f>IF(A46="","",SUMIFS('صرف المواد'!$G$5:$G$304,'صرف المواد'!$C$5:$C$304,A46))</f>
        <v/>
      </c>
      <c r="H46" s="46">
        <f>IF(A46="","",F46-G46)</f>
        <v/>
      </c>
      <c r="I46" s="41" t="n"/>
      <c r="J46" s="46">
        <f>IF(A46="","",IFERROR(SUMIFS('أوامر التوريد'!$L$5:$L$304,'أوامر التوريد'!$G$5:$G$304,A46)/E46,0))</f>
        <v/>
      </c>
      <c r="K46" s="46">
        <f>IF(A46="","",H46*J46)</f>
        <v/>
      </c>
      <c r="L46" s="49">
        <f>IF(A46="","",IF(H46&lt;0,"رصيد سالب!",IF(AND(I46&lt;&gt;"",H46&lt;=I46),"أعد الطلب","متاح")))</f>
        <v/>
      </c>
    </row>
    <row r="47">
      <c r="A47" s="50" t="n"/>
      <c r="B47" s="49">
        <f>IF(A47="","",IFERROR(INDEX('أوامر التوريد'!$H$5:$H$304,MATCH(A47,'أوامر التوريد'!$G$5:$G$304,0)),""))</f>
        <v/>
      </c>
      <c r="C47" s="39">
        <f>IF(A47="","",IFERROR(INDEX('أوامر التوريد'!$C$5:$C$304,MATCH(A47,'أوامر التوريد'!$G$5:$G$304,0)),""))</f>
        <v/>
      </c>
      <c r="D47" s="39">
        <f>IF(A47="","",IFERROR(INDEX('أوامر التوريد'!$I$5:$I$304,MATCH(A47,'أوامر التوريد'!$G$5:$G$304,0)),""))</f>
        <v/>
      </c>
      <c r="E47" s="46">
        <f>IF(A47="","",SUMIFS('أوامر التوريد'!$J$5:$J$304,'أوامر التوريد'!$G$5:$G$304,A47))</f>
        <v/>
      </c>
      <c r="F47" s="46">
        <f>IF(A47="","",SUMIFS('استلام المواد'!$K$5:$K$304,'استلام المواد'!$F$5:$F$304,A47))</f>
        <v/>
      </c>
      <c r="G47" s="46">
        <f>IF(A47="","",SUMIFS('صرف المواد'!$G$5:$G$304,'صرف المواد'!$C$5:$C$304,A47))</f>
        <v/>
      </c>
      <c r="H47" s="46">
        <f>IF(A47="","",F47-G47)</f>
        <v/>
      </c>
      <c r="I47" s="41" t="n"/>
      <c r="J47" s="46">
        <f>IF(A47="","",IFERROR(SUMIFS('أوامر التوريد'!$L$5:$L$304,'أوامر التوريد'!$G$5:$G$304,A47)/E47,0))</f>
        <v/>
      </c>
      <c r="K47" s="46">
        <f>IF(A47="","",H47*J47)</f>
        <v/>
      </c>
      <c r="L47" s="49">
        <f>IF(A47="","",IF(H47&lt;0,"رصيد سالب!",IF(AND(I47&lt;&gt;"",H47&lt;=I47),"أعد الطلب","متاح")))</f>
        <v/>
      </c>
    </row>
    <row r="48">
      <c r="A48" s="50" t="n"/>
      <c r="B48" s="49">
        <f>IF(A48="","",IFERROR(INDEX('أوامر التوريد'!$H$5:$H$304,MATCH(A48,'أوامر التوريد'!$G$5:$G$304,0)),""))</f>
        <v/>
      </c>
      <c r="C48" s="39">
        <f>IF(A48="","",IFERROR(INDEX('أوامر التوريد'!$C$5:$C$304,MATCH(A48,'أوامر التوريد'!$G$5:$G$304,0)),""))</f>
        <v/>
      </c>
      <c r="D48" s="39">
        <f>IF(A48="","",IFERROR(INDEX('أوامر التوريد'!$I$5:$I$304,MATCH(A48,'أوامر التوريد'!$G$5:$G$304,0)),""))</f>
        <v/>
      </c>
      <c r="E48" s="46">
        <f>IF(A48="","",SUMIFS('أوامر التوريد'!$J$5:$J$304,'أوامر التوريد'!$G$5:$G$304,A48))</f>
        <v/>
      </c>
      <c r="F48" s="46">
        <f>IF(A48="","",SUMIFS('استلام المواد'!$K$5:$K$304,'استلام المواد'!$F$5:$F$304,A48))</f>
        <v/>
      </c>
      <c r="G48" s="46">
        <f>IF(A48="","",SUMIFS('صرف المواد'!$G$5:$G$304,'صرف المواد'!$C$5:$C$304,A48))</f>
        <v/>
      </c>
      <c r="H48" s="46">
        <f>IF(A48="","",F48-G48)</f>
        <v/>
      </c>
      <c r="I48" s="41" t="n"/>
      <c r="J48" s="46">
        <f>IF(A48="","",IFERROR(SUMIFS('أوامر التوريد'!$L$5:$L$304,'أوامر التوريد'!$G$5:$G$304,A48)/E48,0))</f>
        <v/>
      </c>
      <c r="K48" s="46">
        <f>IF(A48="","",H48*J48)</f>
        <v/>
      </c>
      <c r="L48" s="49">
        <f>IF(A48="","",IF(H48&lt;0,"رصيد سالب!",IF(AND(I48&lt;&gt;"",H48&lt;=I48),"أعد الطلب","متاح")))</f>
        <v/>
      </c>
    </row>
    <row r="49">
      <c r="A49" s="50" t="n"/>
      <c r="B49" s="49">
        <f>IF(A49="","",IFERROR(INDEX('أوامر التوريد'!$H$5:$H$304,MATCH(A49,'أوامر التوريد'!$G$5:$G$304,0)),""))</f>
        <v/>
      </c>
      <c r="C49" s="39">
        <f>IF(A49="","",IFERROR(INDEX('أوامر التوريد'!$C$5:$C$304,MATCH(A49,'أوامر التوريد'!$G$5:$G$304,0)),""))</f>
        <v/>
      </c>
      <c r="D49" s="39">
        <f>IF(A49="","",IFERROR(INDEX('أوامر التوريد'!$I$5:$I$304,MATCH(A49,'أوامر التوريد'!$G$5:$G$304,0)),""))</f>
        <v/>
      </c>
      <c r="E49" s="46">
        <f>IF(A49="","",SUMIFS('أوامر التوريد'!$J$5:$J$304,'أوامر التوريد'!$G$5:$G$304,A49))</f>
        <v/>
      </c>
      <c r="F49" s="46">
        <f>IF(A49="","",SUMIFS('استلام المواد'!$K$5:$K$304,'استلام المواد'!$F$5:$F$304,A49))</f>
        <v/>
      </c>
      <c r="G49" s="46">
        <f>IF(A49="","",SUMIFS('صرف المواد'!$G$5:$G$304,'صرف المواد'!$C$5:$C$304,A49))</f>
        <v/>
      </c>
      <c r="H49" s="46">
        <f>IF(A49="","",F49-G49)</f>
        <v/>
      </c>
      <c r="I49" s="41" t="n"/>
      <c r="J49" s="46">
        <f>IF(A49="","",IFERROR(SUMIFS('أوامر التوريد'!$L$5:$L$304,'أوامر التوريد'!$G$5:$G$304,A49)/E49,0))</f>
        <v/>
      </c>
      <c r="K49" s="46">
        <f>IF(A49="","",H49*J49)</f>
        <v/>
      </c>
      <c r="L49" s="49">
        <f>IF(A49="","",IF(H49&lt;0,"رصيد سالب!",IF(AND(I49&lt;&gt;"",H49&lt;=I49),"أعد الطلب","متاح")))</f>
        <v/>
      </c>
    </row>
    <row r="50">
      <c r="A50" s="50" t="n"/>
      <c r="B50" s="49">
        <f>IF(A50="","",IFERROR(INDEX('أوامر التوريد'!$H$5:$H$304,MATCH(A50,'أوامر التوريد'!$G$5:$G$304,0)),""))</f>
        <v/>
      </c>
      <c r="C50" s="39">
        <f>IF(A50="","",IFERROR(INDEX('أوامر التوريد'!$C$5:$C$304,MATCH(A50,'أوامر التوريد'!$G$5:$G$304,0)),""))</f>
        <v/>
      </c>
      <c r="D50" s="39">
        <f>IF(A50="","",IFERROR(INDEX('أوامر التوريد'!$I$5:$I$304,MATCH(A50,'أوامر التوريد'!$G$5:$G$304,0)),""))</f>
        <v/>
      </c>
      <c r="E50" s="46">
        <f>IF(A50="","",SUMIFS('أوامر التوريد'!$J$5:$J$304,'أوامر التوريد'!$G$5:$G$304,A50))</f>
        <v/>
      </c>
      <c r="F50" s="46">
        <f>IF(A50="","",SUMIFS('استلام المواد'!$K$5:$K$304,'استلام المواد'!$F$5:$F$304,A50))</f>
        <v/>
      </c>
      <c r="G50" s="46">
        <f>IF(A50="","",SUMIFS('صرف المواد'!$G$5:$G$304,'صرف المواد'!$C$5:$C$304,A50))</f>
        <v/>
      </c>
      <c r="H50" s="46">
        <f>IF(A50="","",F50-G50)</f>
        <v/>
      </c>
      <c r="I50" s="41" t="n"/>
      <c r="J50" s="46">
        <f>IF(A50="","",IFERROR(SUMIFS('أوامر التوريد'!$L$5:$L$304,'أوامر التوريد'!$G$5:$G$304,A50)/E50,0))</f>
        <v/>
      </c>
      <c r="K50" s="46">
        <f>IF(A50="","",H50*J50)</f>
        <v/>
      </c>
      <c r="L50" s="49">
        <f>IF(A50="","",IF(H50&lt;0,"رصيد سالب!",IF(AND(I50&lt;&gt;"",H50&lt;=I50),"أعد الطلب","متاح")))</f>
        <v/>
      </c>
    </row>
    <row r="51">
      <c r="A51" s="50" t="n"/>
      <c r="B51" s="49">
        <f>IF(A51="","",IFERROR(INDEX('أوامر التوريد'!$H$5:$H$304,MATCH(A51,'أوامر التوريد'!$G$5:$G$304,0)),""))</f>
        <v/>
      </c>
      <c r="C51" s="39">
        <f>IF(A51="","",IFERROR(INDEX('أوامر التوريد'!$C$5:$C$304,MATCH(A51,'أوامر التوريد'!$G$5:$G$304,0)),""))</f>
        <v/>
      </c>
      <c r="D51" s="39">
        <f>IF(A51="","",IFERROR(INDEX('أوامر التوريد'!$I$5:$I$304,MATCH(A51,'أوامر التوريد'!$G$5:$G$304,0)),""))</f>
        <v/>
      </c>
      <c r="E51" s="46">
        <f>IF(A51="","",SUMIFS('أوامر التوريد'!$J$5:$J$304,'أوامر التوريد'!$G$5:$G$304,A51))</f>
        <v/>
      </c>
      <c r="F51" s="46">
        <f>IF(A51="","",SUMIFS('استلام المواد'!$K$5:$K$304,'استلام المواد'!$F$5:$F$304,A51))</f>
        <v/>
      </c>
      <c r="G51" s="46">
        <f>IF(A51="","",SUMIFS('صرف المواد'!$G$5:$G$304,'صرف المواد'!$C$5:$C$304,A51))</f>
        <v/>
      </c>
      <c r="H51" s="46">
        <f>IF(A51="","",F51-G51)</f>
        <v/>
      </c>
      <c r="I51" s="41" t="n"/>
      <c r="J51" s="46">
        <f>IF(A51="","",IFERROR(SUMIFS('أوامر التوريد'!$L$5:$L$304,'أوامر التوريد'!$G$5:$G$304,A51)/E51,0))</f>
        <v/>
      </c>
      <c r="K51" s="46">
        <f>IF(A51="","",H51*J51)</f>
        <v/>
      </c>
      <c r="L51" s="49">
        <f>IF(A51="","",IF(H51&lt;0,"رصيد سالب!",IF(AND(I51&lt;&gt;"",H51&lt;=I51),"أعد الطلب","متاح")))</f>
        <v/>
      </c>
    </row>
    <row r="52">
      <c r="A52" s="50" t="n"/>
      <c r="B52" s="49">
        <f>IF(A52="","",IFERROR(INDEX('أوامر التوريد'!$H$5:$H$304,MATCH(A52,'أوامر التوريد'!$G$5:$G$304,0)),""))</f>
        <v/>
      </c>
      <c r="C52" s="39">
        <f>IF(A52="","",IFERROR(INDEX('أوامر التوريد'!$C$5:$C$304,MATCH(A52,'أوامر التوريد'!$G$5:$G$304,0)),""))</f>
        <v/>
      </c>
      <c r="D52" s="39">
        <f>IF(A52="","",IFERROR(INDEX('أوامر التوريد'!$I$5:$I$304,MATCH(A52,'أوامر التوريد'!$G$5:$G$304,0)),""))</f>
        <v/>
      </c>
      <c r="E52" s="46">
        <f>IF(A52="","",SUMIFS('أوامر التوريد'!$J$5:$J$304,'أوامر التوريد'!$G$5:$G$304,A52))</f>
        <v/>
      </c>
      <c r="F52" s="46">
        <f>IF(A52="","",SUMIFS('استلام المواد'!$K$5:$K$304,'استلام المواد'!$F$5:$F$304,A52))</f>
        <v/>
      </c>
      <c r="G52" s="46">
        <f>IF(A52="","",SUMIFS('صرف المواد'!$G$5:$G$304,'صرف المواد'!$C$5:$C$304,A52))</f>
        <v/>
      </c>
      <c r="H52" s="46">
        <f>IF(A52="","",F52-G52)</f>
        <v/>
      </c>
      <c r="I52" s="41" t="n"/>
      <c r="J52" s="46">
        <f>IF(A52="","",IFERROR(SUMIFS('أوامر التوريد'!$L$5:$L$304,'أوامر التوريد'!$G$5:$G$304,A52)/E52,0))</f>
        <v/>
      </c>
      <c r="K52" s="46">
        <f>IF(A52="","",H52*J52)</f>
        <v/>
      </c>
      <c r="L52" s="49">
        <f>IF(A52="","",IF(H52&lt;0,"رصيد سالب!",IF(AND(I52&lt;&gt;"",H52&lt;=I52),"أعد الطلب","متاح")))</f>
        <v/>
      </c>
    </row>
    <row r="53">
      <c r="A53" s="50" t="n"/>
      <c r="B53" s="49">
        <f>IF(A53="","",IFERROR(INDEX('أوامر التوريد'!$H$5:$H$304,MATCH(A53,'أوامر التوريد'!$G$5:$G$304,0)),""))</f>
        <v/>
      </c>
      <c r="C53" s="39">
        <f>IF(A53="","",IFERROR(INDEX('أوامر التوريد'!$C$5:$C$304,MATCH(A53,'أوامر التوريد'!$G$5:$G$304,0)),""))</f>
        <v/>
      </c>
      <c r="D53" s="39">
        <f>IF(A53="","",IFERROR(INDEX('أوامر التوريد'!$I$5:$I$304,MATCH(A53,'أوامر التوريد'!$G$5:$G$304,0)),""))</f>
        <v/>
      </c>
      <c r="E53" s="46">
        <f>IF(A53="","",SUMIFS('أوامر التوريد'!$J$5:$J$304,'أوامر التوريد'!$G$5:$G$304,A53))</f>
        <v/>
      </c>
      <c r="F53" s="46">
        <f>IF(A53="","",SUMIFS('استلام المواد'!$K$5:$K$304,'استلام المواد'!$F$5:$F$304,A53))</f>
        <v/>
      </c>
      <c r="G53" s="46">
        <f>IF(A53="","",SUMIFS('صرف المواد'!$G$5:$G$304,'صرف المواد'!$C$5:$C$304,A53))</f>
        <v/>
      </c>
      <c r="H53" s="46">
        <f>IF(A53="","",F53-G53)</f>
        <v/>
      </c>
      <c r="I53" s="41" t="n"/>
      <c r="J53" s="46">
        <f>IF(A53="","",IFERROR(SUMIFS('أوامر التوريد'!$L$5:$L$304,'أوامر التوريد'!$G$5:$G$304,A53)/E53,0))</f>
        <v/>
      </c>
      <c r="K53" s="46">
        <f>IF(A53="","",H53*J53)</f>
        <v/>
      </c>
      <c r="L53" s="49">
        <f>IF(A53="","",IF(H53&lt;0,"رصيد سالب!",IF(AND(I53&lt;&gt;"",H53&lt;=I53),"أعد الطلب","متاح")))</f>
        <v/>
      </c>
    </row>
    <row r="54">
      <c r="A54" s="50" t="n"/>
      <c r="B54" s="49">
        <f>IF(A54="","",IFERROR(INDEX('أوامر التوريد'!$H$5:$H$304,MATCH(A54,'أوامر التوريد'!$G$5:$G$304,0)),""))</f>
        <v/>
      </c>
      <c r="C54" s="39">
        <f>IF(A54="","",IFERROR(INDEX('أوامر التوريد'!$C$5:$C$304,MATCH(A54,'أوامر التوريد'!$G$5:$G$304,0)),""))</f>
        <v/>
      </c>
      <c r="D54" s="39">
        <f>IF(A54="","",IFERROR(INDEX('أوامر التوريد'!$I$5:$I$304,MATCH(A54,'أوامر التوريد'!$G$5:$G$304,0)),""))</f>
        <v/>
      </c>
      <c r="E54" s="46">
        <f>IF(A54="","",SUMIFS('أوامر التوريد'!$J$5:$J$304,'أوامر التوريد'!$G$5:$G$304,A54))</f>
        <v/>
      </c>
      <c r="F54" s="46">
        <f>IF(A54="","",SUMIFS('استلام المواد'!$K$5:$K$304,'استلام المواد'!$F$5:$F$304,A54))</f>
        <v/>
      </c>
      <c r="G54" s="46">
        <f>IF(A54="","",SUMIFS('صرف المواد'!$G$5:$G$304,'صرف المواد'!$C$5:$C$304,A54))</f>
        <v/>
      </c>
      <c r="H54" s="46">
        <f>IF(A54="","",F54-G54)</f>
        <v/>
      </c>
      <c r="I54" s="41" t="n"/>
      <c r="J54" s="46">
        <f>IF(A54="","",IFERROR(SUMIFS('أوامر التوريد'!$L$5:$L$304,'أوامر التوريد'!$G$5:$G$304,A54)/E54,0))</f>
        <v/>
      </c>
      <c r="K54" s="46">
        <f>IF(A54="","",H54*J54)</f>
        <v/>
      </c>
      <c r="L54" s="49">
        <f>IF(A54="","",IF(H54&lt;0,"رصيد سالب!",IF(AND(I54&lt;&gt;"",H54&lt;=I54),"أعد الطلب","متاح")))</f>
        <v/>
      </c>
    </row>
    <row r="55">
      <c r="A55" s="50" t="n"/>
      <c r="B55" s="49">
        <f>IF(A55="","",IFERROR(INDEX('أوامر التوريد'!$H$5:$H$304,MATCH(A55,'أوامر التوريد'!$G$5:$G$304,0)),""))</f>
        <v/>
      </c>
      <c r="C55" s="39">
        <f>IF(A55="","",IFERROR(INDEX('أوامر التوريد'!$C$5:$C$304,MATCH(A55,'أوامر التوريد'!$G$5:$G$304,0)),""))</f>
        <v/>
      </c>
      <c r="D55" s="39">
        <f>IF(A55="","",IFERROR(INDEX('أوامر التوريد'!$I$5:$I$304,MATCH(A55,'أوامر التوريد'!$G$5:$G$304,0)),""))</f>
        <v/>
      </c>
      <c r="E55" s="46">
        <f>IF(A55="","",SUMIFS('أوامر التوريد'!$J$5:$J$304,'أوامر التوريد'!$G$5:$G$304,A55))</f>
        <v/>
      </c>
      <c r="F55" s="46">
        <f>IF(A55="","",SUMIFS('استلام المواد'!$K$5:$K$304,'استلام المواد'!$F$5:$F$304,A55))</f>
        <v/>
      </c>
      <c r="G55" s="46">
        <f>IF(A55="","",SUMIFS('صرف المواد'!$G$5:$G$304,'صرف المواد'!$C$5:$C$304,A55))</f>
        <v/>
      </c>
      <c r="H55" s="46">
        <f>IF(A55="","",F55-G55)</f>
        <v/>
      </c>
      <c r="I55" s="41" t="n"/>
      <c r="J55" s="46">
        <f>IF(A55="","",IFERROR(SUMIFS('أوامر التوريد'!$L$5:$L$304,'أوامر التوريد'!$G$5:$G$304,A55)/E55,0))</f>
        <v/>
      </c>
      <c r="K55" s="46">
        <f>IF(A55="","",H55*J55)</f>
        <v/>
      </c>
      <c r="L55" s="49">
        <f>IF(A55="","",IF(H55&lt;0,"رصيد سالب!",IF(AND(I55&lt;&gt;"",H55&lt;=I55),"أعد الطلب","متاح")))</f>
        <v/>
      </c>
    </row>
    <row r="56">
      <c r="A56" s="50" t="n"/>
      <c r="B56" s="49">
        <f>IF(A56="","",IFERROR(INDEX('أوامر التوريد'!$H$5:$H$304,MATCH(A56,'أوامر التوريد'!$G$5:$G$304,0)),""))</f>
        <v/>
      </c>
      <c r="C56" s="39">
        <f>IF(A56="","",IFERROR(INDEX('أوامر التوريد'!$C$5:$C$304,MATCH(A56,'أوامر التوريد'!$G$5:$G$304,0)),""))</f>
        <v/>
      </c>
      <c r="D56" s="39">
        <f>IF(A56="","",IFERROR(INDEX('أوامر التوريد'!$I$5:$I$304,MATCH(A56,'أوامر التوريد'!$G$5:$G$304,0)),""))</f>
        <v/>
      </c>
      <c r="E56" s="46">
        <f>IF(A56="","",SUMIFS('أوامر التوريد'!$J$5:$J$304,'أوامر التوريد'!$G$5:$G$304,A56))</f>
        <v/>
      </c>
      <c r="F56" s="46">
        <f>IF(A56="","",SUMIFS('استلام المواد'!$K$5:$K$304,'استلام المواد'!$F$5:$F$304,A56))</f>
        <v/>
      </c>
      <c r="G56" s="46">
        <f>IF(A56="","",SUMIFS('صرف المواد'!$G$5:$G$304,'صرف المواد'!$C$5:$C$304,A56))</f>
        <v/>
      </c>
      <c r="H56" s="46">
        <f>IF(A56="","",F56-G56)</f>
        <v/>
      </c>
      <c r="I56" s="41" t="n"/>
      <c r="J56" s="46">
        <f>IF(A56="","",IFERROR(SUMIFS('أوامر التوريد'!$L$5:$L$304,'أوامر التوريد'!$G$5:$G$304,A56)/E56,0))</f>
        <v/>
      </c>
      <c r="K56" s="46">
        <f>IF(A56="","",H56*J56)</f>
        <v/>
      </c>
      <c r="L56" s="49">
        <f>IF(A56="","",IF(H56&lt;0,"رصيد سالب!",IF(AND(I56&lt;&gt;"",H56&lt;=I56),"أعد الطلب","متاح")))</f>
        <v/>
      </c>
    </row>
    <row r="57">
      <c r="A57" s="50" t="n"/>
      <c r="B57" s="49">
        <f>IF(A57="","",IFERROR(INDEX('أوامر التوريد'!$H$5:$H$304,MATCH(A57,'أوامر التوريد'!$G$5:$G$304,0)),""))</f>
        <v/>
      </c>
      <c r="C57" s="39">
        <f>IF(A57="","",IFERROR(INDEX('أوامر التوريد'!$C$5:$C$304,MATCH(A57,'أوامر التوريد'!$G$5:$G$304,0)),""))</f>
        <v/>
      </c>
      <c r="D57" s="39">
        <f>IF(A57="","",IFERROR(INDEX('أوامر التوريد'!$I$5:$I$304,MATCH(A57,'أوامر التوريد'!$G$5:$G$304,0)),""))</f>
        <v/>
      </c>
      <c r="E57" s="46">
        <f>IF(A57="","",SUMIFS('أوامر التوريد'!$J$5:$J$304,'أوامر التوريد'!$G$5:$G$304,A57))</f>
        <v/>
      </c>
      <c r="F57" s="46">
        <f>IF(A57="","",SUMIFS('استلام المواد'!$K$5:$K$304,'استلام المواد'!$F$5:$F$304,A57))</f>
        <v/>
      </c>
      <c r="G57" s="46">
        <f>IF(A57="","",SUMIFS('صرف المواد'!$G$5:$G$304,'صرف المواد'!$C$5:$C$304,A57))</f>
        <v/>
      </c>
      <c r="H57" s="46">
        <f>IF(A57="","",F57-G57)</f>
        <v/>
      </c>
      <c r="I57" s="41" t="n"/>
      <c r="J57" s="46">
        <f>IF(A57="","",IFERROR(SUMIFS('أوامر التوريد'!$L$5:$L$304,'أوامر التوريد'!$G$5:$G$304,A57)/E57,0))</f>
        <v/>
      </c>
      <c r="K57" s="46">
        <f>IF(A57="","",H57*J57)</f>
        <v/>
      </c>
      <c r="L57" s="49">
        <f>IF(A57="","",IF(H57&lt;0,"رصيد سالب!",IF(AND(I57&lt;&gt;"",H57&lt;=I57),"أعد الطلب","متاح")))</f>
        <v/>
      </c>
    </row>
    <row r="58">
      <c r="A58" s="50" t="n"/>
      <c r="B58" s="49">
        <f>IF(A58="","",IFERROR(INDEX('أوامر التوريد'!$H$5:$H$304,MATCH(A58,'أوامر التوريد'!$G$5:$G$304,0)),""))</f>
        <v/>
      </c>
      <c r="C58" s="39">
        <f>IF(A58="","",IFERROR(INDEX('أوامر التوريد'!$C$5:$C$304,MATCH(A58,'أوامر التوريد'!$G$5:$G$304,0)),""))</f>
        <v/>
      </c>
      <c r="D58" s="39">
        <f>IF(A58="","",IFERROR(INDEX('أوامر التوريد'!$I$5:$I$304,MATCH(A58,'أوامر التوريد'!$G$5:$G$304,0)),""))</f>
        <v/>
      </c>
      <c r="E58" s="46">
        <f>IF(A58="","",SUMIFS('أوامر التوريد'!$J$5:$J$304,'أوامر التوريد'!$G$5:$G$304,A58))</f>
        <v/>
      </c>
      <c r="F58" s="46">
        <f>IF(A58="","",SUMIFS('استلام المواد'!$K$5:$K$304,'استلام المواد'!$F$5:$F$304,A58))</f>
        <v/>
      </c>
      <c r="G58" s="46">
        <f>IF(A58="","",SUMIFS('صرف المواد'!$G$5:$G$304,'صرف المواد'!$C$5:$C$304,A58))</f>
        <v/>
      </c>
      <c r="H58" s="46">
        <f>IF(A58="","",F58-G58)</f>
        <v/>
      </c>
      <c r="I58" s="41" t="n"/>
      <c r="J58" s="46">
        <f>IF(A58="","",IFERROR(SUMIFS('أوامر التوريد'!$L$5:$L$304,'أوامر التوريد'!$G$5:$G$304,A58)/E58,0))</f>
        <v/>
      </c>
      <c r="K58" s="46">
        <f>IF(A58="","",H58*J58)</f>
        <v/>
      </c>
      <c r="L58" s="49">
        <f>IF(A58="","",IF(H58&lt;0,"رصيد سالب!",IF(AND(I58&lt;&gt;"",H58&lt;=I58),"أعد الطلب","متاح")))</f>
        <v/>
      </c>
    </row>
    <row r="59">
      <c r="A59" s="50" t="n"/>
      <c r="B59" s="49">
        <f>IF(A59="","",IFERROR(INDEX('أوامر التوريد'!$H$5:$H$304,MATCH(A59,'أوامر التوريد'!$G$5:$G$304,0)),""))</f>
        <v/>
      </c>
      <c r="C59" s="39">
        <f>IF(A59="","",IFERROR(INDEX('أوامر التوريد'!$C$5:$C$304,MATCH(A59,'أوامر التوريد'!$G$5:$G$304,0)),""))</f>
        <v/>
      </c>
      <c r="D59" s="39">
        <f>IF(A59="","",IFERROR(INDEX('أوامر التوريد'!$I$5:$I$304,MATCH(A59,'أوامر التوريد'!$G$5:$G$304,0)),""))</f>
        <v/>
      </c>
      <c r="E59" s="46">
        <f>IF(A59="","",SUMIFS('أوامر التوريد'!$J$5:$J$304,'أوامر التوريد'!$G$5:$G$304,A59))</f>
        <v/>
      </c>
      <c r="F59" s="46">
        <f>IF(A59="","",SUMIFS('استلام المواد'!$K$5:$K$304,'استلام المواد'!$F$5:$F$304,A59))</f>
        <v/>
      </c>
      <c r="G59" s="46">
        <f>IF(A59="","",SUMIFS('صرف المواد'!$G$5:$G$304,'صرف المواد'!$C$5:$C$304,A59))</f>
        <v/>
      </c>
      <c r="H59" s="46">
        <f>IF(A59="","",F59-G59)</f>
        <v/>
      </c>
      <c r="I59" s="41" t="n"/>
      <c r="J59" s="46">
        <f>IF(A59="","",IFERROR(SUMIFS('أوامر التوريد'!$L$5:$L$304,'أوامر التوريد'!$G$5:$G$304,A59)/E59,0))</f>
        <v/>
      </c>
      <c r="K59" s="46">
        <f>IF(A59="","",H59*J59)</f>
        <v/>
      </c>
      <c r="L59" s="49">
        <f>IF(A59="","",IF(H59&lt;0,"رصيد سالب!",IF(AND(I59&lt;&gt;"",H59&lt;=I59),"أعد الطلب","متاح")))</f>
        <v/>
      </c>
    </row>
    <row r="60">
      <c r="A60" s="50" t="n"/>
      <c r="B60" s="49">
        <f>IF(A60="","",IFERROR(INDEX('أوامر التوريد'!$H$5:$H$304,MATCH(A60,'أوامر التوريد'!$G$5:$G$304,0)),""))</f>
        <v/>
      </c>
      <c r="C60" s="39">
        <f>IF(A60="","",IFERROR(INDEX('أوامر التوريد'!$C$5:$C$304,MATCH(A60,'أوامر التوريد'!$G$5:$G$304,0)),""))</f>
        <v/>
      </c>
      <c r="D60" s="39">
        <f>IF(A60="","",IFERROR(INDEX('أوامر التوريد'!$I$5:$I$304,MATCH(A60,'أوامر التوريد'!$G$5:$G$304,0)),""))</f>
        <v/>
      </c>
      <c r="E60" s="46">
        <f>IF(A60="","",SUMIFS('أوامر التوريد'!$J$5:$J$304,'أوامر التوريد'!$G$5:$G$304,A60))</f>
        <v/>
      </c>
      <c r="F60" s="46">
        <f>IF(A60="","",SUMIFS('استلام المواد'!$K$5:$K$304,'استلام المواد'!$F$5:$F$304,A60))</f>
        <v/>
      </c>
      <c r="G60" s="46">
        <f>IF(A60="","",SUMIFS('صرف المواد'!$G$5:$G$304,'صرف المواد'!$C$5:$C$304,A60))</f>
        <v/>
      </c>
      <c r="H60" s="46">
        <f>IF(A60="","",F60-G60)</f>
        <v/>
      </c>
      <c r="I60" s="41" t="n"/>
      <c r="J60" s="46">
        <f>IF(A60="","",IFERROR(SUMIFS('أوامر التوريد'!$L$5:$L$304,'أوامر التوريد'!$G$5:$G$304,A60)/E60,0))</f>
        <v/>
      </c>
      <c r="K60" s="46">
        <f>IF(A60="","",H60*J60)</f>
        <v/>
      </c>
      <c r="L60" s="49">
        <f>IF(A60="","",IF(H60&lt;0,"رصيد سالب!",IF(AND(I60&lt;&gt;"",H60&lt;=I60),"أعد الطلب","متاح")))</f>
        <v/>
      </c>
    </row>
    <row r="61">
      <c r="A61" s="50" t="n"/>
      <c r="B61" s="49">
        <f>IF(A61="","",IFERROR(INDEX('أوامر التوريد'!$H$5:$H$304,MATCH(A61,'أوامر التوريد'!$G$5:$G$304,0)),""))</f>
        <v/>
      </c>
      <c r="C61" s="39">
        <f>IF(A61="","",IFERROR(INDEX('أوامر التوريد'!$C$5:$C$304,MATCH(A61,'أوامر التوريد'!$G$5:$G$304,0)),""))</f>
        <v/>
      </c>
      <c r="D61" s="39">
        <f>IF(A61="","",IFERROR(INDEX('أوامر التوريد'!$I$5:$I$304,MATCH(A61,'أوامر التوريد'!$G$5:$G$304,0)),""))</f>
        <v/>
      </c>
      <c r="E61" s="46">
        <f>IF(A61="","",SUMIFS('أوامر التوريد'!$J$5:$J$304,'أوامر التوريد'!$G$5:$G$304,A61))</f>
        <v/>
      </c>
      <c r="F61" s="46">
        <f>IF(A61="","",SUMIFS('استلام المواد'!$K$5:$K$304,'استلام المواد'!$F$5:$F$304,A61))</f>
        <v/>
      </c>
      <c r="G61" s="46">
        <f>IF(A61="","",SUMIFS('صرف المواد'!$G$5:$G$304,'صرف المواد'!$C$5:$C$304,A61))</f>
        <v/>
      </c>
      <c r="H61" s="46">
        <f>IF(A61="","",F61-G61)</f>
        <v/>
      </c>
      <c r="I61" s="41" t="n"/>
      <c r="J61" s="46">
        <f>IF(A61="","",IFERROR(SUMIFS('أوامر التوريد'!$L$5:$L$304,'أوامر التوريد'!$G$5:$G$304,A61)/E61,0))</f>
        <v/>
      </c>
      <c r="K61" s="46">
        <f>IF(A61="","",H61*J61)</f>
        <v/>
      </c>
      <c r="L61" s="49">
        <f>IF(A61="","",IF(H61&lt;0,"رصيد سالب!",IF(AND(I61&lt;&gt;"",H61&lt;=I61),"أعد الطلب","متاح")))</f>
        <v/>
      </c>
    </row>
    <row r="62">
      <c r="A62" s="50" t="n"/>
      <c r="B62" s="49">
        <f>IF(A62="","",IFERROR(INDEX('أوامر التوريد'!$H$5:$H$304,MATCH(A62,'أوامر التوريد'!$G$5:$G$304,0)),""))</f>
        <v/>
      </c>
      <c r="C62" s="39">
        <f>IF(A62="","",IFERROR(INDEX('أوامر التوريد'!$C$5:$C$304,MATCH(A62,'أوامر التوريد'!$G$5:$G$304,0)),""))</f>
        <v/>
      </c>
      <c r="D62" s="39">
        <f>IF(A62="","",IFERROR(INDEX('أوامر التوريد'!$I$5:$I$304,MATCH(A62,'أوامر التوريد'!$G$5:$G$304,0)),""))</f>
        <v/>
      </c>
      <c r="E62" s="46">
        <f>IF(A62="","",SUMIFS('أوامر التوريد'!$J$5:$J$304,'أوامر التوريد'!$G$5:$G$304,A62))</f>
        <v/>
      </c>
      <c r="F62" s="46">
        <f>IF(A62="","",SUMIFS('استلام المواد'!$K$5:$K$304,'استلام المواد'!$F$5:$F$304,A62))</f>
        <v/>
      </c>
      <c r="G62" s="46">
        <f>IF(A62="","",SUMIFS('صرف المواد'!$G$5:$G$304,'صرف المواد'!$C$5:$C$304,A62))</f>
        <v/>
      </c>
      <c r="H62" s="46">
        <f>IF(A62="","",F62-G62)</f>
        <v/>
      </c>
      <c r="I62" s="41" t="n"/>
      <c r="J62" s="46">
        <f>IF(A62="","",IFERROR(SUMIFS('أوامر التوريد'!$L$5:$L$304,'أوامر التوريد'!$G$5:$G$304,A62)/E62,0))</f>
        <v/>
      </c>
      <c r="K62" s="46">
        <f>IF(A62="","",H62*J62)</f>
        <v/>
      </c>
      <c r="L62" s="49">
        <f>IF(A62="","",IF(H62&lt;0,"رصيد سالب!",IF(AND(I62&lt;&gt;"",H62&lt;=I62),"أعد الطلب","متاح")))</f>
        <v/>
      </c>
    </row>
    <row r="63">
      <c r="A63" s="50" t="n"/>
      <c r="B63" s="49">
        <f>IF(A63="","",IFERROR(INDEX('أوامر التوريد'!$H$5:$H$304,MATCH(A63,'أوامر التوريد'!$G$5:$G$304,0)),""))</f>
        <v/>
      </c>
      <c r="C63" s="39">
        <f>IF(A63="","",IFERROR(INDEX('أوامر التوريد'!$C$5:$C$304,MATCH(A63,'أوامر التوريد'!$G$5:$G$304,0)),""))</f>
        <v/>
      </c>
      <c r="D63" s="39">
        <f>IF(A63="","",IFERROR(INDEX('أوامر التوريد'!$I$5:$I$304,MATCH(A63,'أوامر التوريد'!$G$5:$G$304,0)),""))</f>
        <v/>
      </c>
      <c r="E63" s="46">
        <f>IF(A63="","",SUMIFS('أوامر التوريد'!$J$5:$J$304,'أوامر التوريد'!$G$5:$G$304,A63))</f>
        <v/>
      </c>
      <c r="F63" s="46">
        <f>IF(A63="","",SUMIFS('استلام المواد'!$K$5:$K$304,'استلام المواد'!$F$5:$F$304,A63))</f>
        <v/>
      </c>
      <c r="G63" s="46">
        <f>IF(A63="","",SUMIFS('صرف المواد'!$G$5:$G$304,'صرف المواد'!$C$5:$C$304,A63))</f>
        <v/>
      </c>
      <c r="H63" s="46">
        <f>IF(A63="","",F63-G63)</f>
        <v/>
      </c>
      <c r="I63" s="41" t="n"/>
      <c r="J63" s="46">
        <f>IF(A63="","",IFERROR(SUMIFS('أوامر التوريد'!$L$5:$L$304,'أوامر التوريد'!$G$5:$G$304,A63)/E63,0))</f>
        <v/>
      </c>
      <c r="K63" s="46">
        <f>IF(A63="","",H63*J63)</f>
        <v/>
      </c>
      <c r="L63" s="49">
        <f>IF(A63="","",IF(H63&lt;0,"رصيد سالب!",IF(AND(I63&lt;&gt;"",H63&lt;=I63),"أعد الطلب","متاح")))</f>
        <v/>
      </c>
    </row>
    <row r="64">
      <c r="A64" s="50" t="n"/>
      <c r="B64" s="49">
        <f>IF(A64="","",IFERROR(INDEX('أوامر التوريد'!$H$5:$H$304,MATCH(A64,'أوامر التوريد'!$G$5:$G$304,0)),""))</f>
        <v/>
      </c>
      <c r="C64" s="39">
        <f>IF(A64="","",IFERROR(INDEX('أوامر التوريد'!$C$5:$C$304,MATCH(A64,'أوامر التوريد'!$G$5:$G$304,0)),""))</f>
        <v/>
      </c>
      <c r="D64" s="39">
        <f>IF(A64="","",IFERROR(INDEX('أوامر التوريد'!$I$5:$I$304,MATCH(A64,'أوامر التوريد'!$G$5:$G$304,0)),""))</f>
        <v/>
      </c>
      <c r="E64" s="46">
        <f>IF(A64="","",SUMIFS('أوامر التوريد'!$J$5:$J$304,'أوامر التوريد'!$G$5:$G$304,A64))</f>
        <v/>
      </c>
      <c r="F64" s="46">
        <f>IF(A64="","",SUMIFS('استلام المواد'!$K$5:$K$304,'استلام المواد'!$F$5:$F$304,A64))</f>
        <v/>
      </c>
      <c r="G64" s="46">
        <f>IF(A64="","",SUMIFS('صرف المواد'!$G$5:$G$304,'صرف المواد'!$C$5:$C$304,A64))</f>
        <v/>
      </c>
      <c r="H64" s="46">
        <f>IF(A64="","",F64-G64)</f>
        <v/>
      </c>
      <c r="I64" s="41" t="n"/>
      <c r="J64" s="46">
        <f>IF(A64="","",IFERROR(SUMIFS('أوامر التوريد'!$L$5:$L$304,'أوامر التوريد'!$G$5:$G$304,A64)/E64,0))</f>
        <v/>
      </c>
      <c r="K64" s="46">
        <f>IF(A64="","",H64*J64)</f>
        <v/>
      </c>
      <c r="L64" s="49">
        <f>IF(A64="","",IF(H64&lt;0,"رصيد سالب!",IF(AND(I64&lt;&gt;"",H64&lt;=I64),"أعد الطلب","متاح")))</f>
        <v/>
      </c>
    </row>
    <row r="65">
      <c r="A65" s="50" t="n"/>
      <c r="B65" s="49">
        <f>IF(A65="","",IFERROR(INDEX('أوامر التوريد'!$H$5:$H$304,MATCH(A65,'أوامر التوريد'!$G$5:$G$304,0)),""))</f>
        <v/>
      </c>
      <c r="C65" s="39">
        <f>IF(A65="","",IFERROR(INDEX('أوامر التوريد'!$C$5:$C$304,MATCH(A65,'أوامر التوريد'!$G$5:$G$304,0)),""))</f>
        <v/>
      </c>
      <c r="D65" s="39">
        <f>IF(A65="","",IFERROR(INDEX('أوامر التوريد'!$I$5:$I$304,MATCH(A65,'أوامر التوريد'!$G$5:$G$304,0)),""))</f>
        <v/>
      </c>
      <c r="E65" s="46">
        <f>IF(A65="","",SUMIFS('أوامر التوريد'!$J$5:$J$304,'أوامر التوريد'!$G$5:$G$304,A65))</f>
        <v/>
      </c>
      <c r="F65" s="46">
        <f>IF(A65="","",SUMIFS('استلام المواد'!$K$5:$K$304,'استلام المواد'!$F$5:$F$304,A65))</f>
        <v/>
      </c>
      <c r="G65" s="46">
        <f>IF(A65="","",SUMIFS('صرف المواد'!$G$5:$G$304,'صرف المواد'!$C$5:$C$304,A65))</f>
        <v/>
      </c>
      <c r="H65" s="46">
        <f>IF(A65="","",F65-G65)</f>
        <v/>
      </c>
      <c r="I65" s="41" t="n"/>
      <c r="J65" s="46">
        <f>IF(A65="","",IFERROR(SUMIFS('أوامر التوريد'!$L$5:$L$304,'أوامر التوريد'!$G$5:$G$304,A65)/E65,0))</f>
        <v/>
      </c>
      <c r="K65" s="46">
        <f>IF(A65="","",H65*J65)</f>
        <v/>
      </c>
      <c r="L65" s="49">
        <f>IF(A65="","",IF(H65&lt;0,"رصيد سالب!",IF(AND(I65&lt;&gt;"",H65&lt;=I65),"أعد الطلب","متاح")))</f>
        <v/>
      </c>
    </row>
    <row r="66">
      <c r="A66" s="50" t="n"/>
      <c r="B66" s="49">
        <f>IF(A66="","",IFERROR(INDEX('أوامر التوريد'!$H$5:$H$304,MATCH(A66,'أوامر التوريد'!$G$5:$G$304,0)),""))</f>
        <v/>
      </c>
      <c r="C66" s="39">
        <f>IF(A66="","",IFERROR(INDEX('أوامر التوريد'!$C$5:$C$304,MATCH(A66,'أوامر التوريد'!$G$5:$G$304,0)),""))</f>
        <v/>
      </c>
      <c r="D66" s="39">
        <f>IF(A66="","",IFERROR(INDEX('أوامر التوريد'!$I$5:$I$304,MATCH(A66,'أوامر التوريد'!$G$5:$G$304,0)),""))</f>
        <v/>
      </c>
      <c r="E66" s="46">
        <f>IF(A66="","",SUMIFS('أوامر التوريد'!$J$5:$J$304,'أوامر التوريد'!$G$5:$G$304,A66))</f>
        <v/>
      </c>
      <c r="F66" s="46">
        <f>IF(A66="","",SUMIFS('استلام المواد'!$K$5:$K$304,'استلام المواد'!$F$5:$F$304,A66))</f>
        <v/>
      </c>
      <c r="G66" s="46">
        <f>IF(A66="","",SUMIFS('صرف المواد'!$G$5:$G$304,'صرف المواد'!$C$5:$C$304,A66))</f>
        <v/>
      </c>
      <c r="H66" s="46">
        <f>IF(A66="","",F66-G66)</f>
        <v/>
      </c>
      <c r="I66" s="41" t="n"/>
      <c r="J66" s="46">
        <f>IF(A66="","",IFERROR(SUMIFS('أوامر التوريد'!$L$5:$L$304,'أوامر التوريد'!$G$5:$G$304,A66)/E66,0))</f>
        <v/>
      </c>
      <c r="K66" s="46">
        <f>IF(A66="","",H66*J66)</f>
        <v/>
      </c>
      <c r="L66" s="49">
        <f>IF(A66="","",IF(H66&lt;0,"رصيد سالب!",IF(AND(I66&lt;&gt;"",H66&lt;=I66),"أعد الطلب","متاح")))</f>
        <v/>
      </c>
    </row>
    <row r="67">
      <c r="A67" s="50" t="n"/>
      <c r="B67" s="49">
        <f>IF(A67="","",IFERROR(INDEX('أوامر التوريد'!$H$5:$H$304,MATCH(A67,'أوامر التوريد'!$G$5:$G$304,0)),""))</f>
        <v/>
      </c>
      <c r="C67" s="39">
        <f>IF(A67="","",IFERROR(INDEX('أوامر التوريد'!$C$5:$C$304,MATCH(A67,'أوامر التوريد'!$G$5:$G$304,0)),""))</f>
        <v/>
      </c>
      <c r="D67" s="39">
        <f>IF(A67="","",IFERROR(INDEX('أوامر التوريد'!$I$5:$I$304,MATCH(A67,'أوامر التوريد'!$G$5:$G$304,0)),""))</f>
        <v/>
      </c>
      <c r="E67" s="46">
        <f>IF(A67="","",SUMIFS('أوامر التوريد'!$J$5:$J$304,'أوامر التوريد'!$G$5:$G$304,A67))</f>
        <v/>
      </c>
      <c r="F67" s="46">
        <f>IF(A67="","",SUMIFS('استلام المواد'!$K$5:$K$304,'استلام المواد'!$F$5:$F$304,A67))</f>
        <v/>
      </c>
      <c r="G67" s="46">
        <f>IF(A67="","",SUMIFS('صرف المواد'!$G$5:$G$304,'صرف المواد'!$C$5:$C$304,A67))</f>
        <v/>
      </c>
      <c r="H67" s="46">
        <f>IF(A67="","",F67-G67)</f>
        <v/>
      </c>
      <c r="I67" s="41" t="n"/>
      <c r="J67" s="46">
        <f>IF(A67="","",IFERROR(SUMIFS('أوامر التوريد'!$L$5:$L$304,'أوامر التوريد'!$G$5:$G$304,A67)/E67,0))</f>
        <v/>
      </c>
      <c r="K67" s="46">
        <f>IF(A67="","",H67*J67)</f>
        <v/>
      </c>
      <c r="L67" s="49">
        <f>IF(A67="","",IF(H67&lt;0,"رصيد سالب!",IF(AND(I67&lt;&gt;"",H67&lt;=I67),"أعد الطلب","متاح")))</f>
        <v/>
      </c>
    </row>
    <row r="68">
      <c r="A68" s="50" t="n"/>
      <c r="B68" s="49">
        <f>IF(A68="","",IFERROR(INDEX('أوامر التوريد'!$H$5:$H$304,MATCH(A68,'أوامر التوريد'!$G$5:$G$304,0)),""))</f>
        <v/>
      </c>
      <c r="C68" s="39">
        <f>IF(A68="","",IFERROR(INDEX('أوامر التوريد'!$C$5:$C$304,MATCH(A68,'أوامر التوريد'!$G$5:$G$304,0)),""))</f>
        <v/>
      </c>
      <c r="D68" s="39">
        <f>IF(A68="","",IFERROR(INDEX('أوامر التوريد'!$I$5:$I$304,MATCH(A68,'أوامر التوريد'!$G$5:$G$304,0)),""))</f>
        <v/>
      </c>
      <c r="E68" s="46">
        <f>IF(A68="","",SUMIFS('أوامر التوريد'!$J$5:$J$304,'أوامر التوريد'!$G$5:$G$304,A68))</f>
        <v/>
      </c>
      <c r="F68" s="46">
        <f>IF(A68="","",SUMIFS('استلام المواد'!$K$5:$K$304,'استلام المواد'!$F$5:$F$304,A68))</f>
        <v/>
      </c>
      <c r="G68" s="46">
        <f>IF(A68="","",SUMIFS('صرف المواد'!$G$5:$G$304,'صرف المواد'!$C$5:$C$304,A68))</f>
        <v/>
      </c>
      <c r="H68" s="46">
        <f>IF(A68="","",F68-G68)</f>
        <v/>
      </c>
      <c r="I68" s="41" t="n"/>
      <c r="J68" s="46">
        <f>IF(A68="","",IFERROR(SUMIFS('أوامر التوريد'!$L$5:$L$304,'أوامر التوريد'!$G$5:$G$304,A68)/E68,0))</f>
        <v/>
      </c>
      <c r="K68" s="46">
        <f>IF(A68="","",H68*J68)</f>
        <v/>
      </c>
      <c r="L68" s="49">
        <f>IF(A68="","",IF(H68&lt;0,"رصيد سالب!",IF(AND(I68&lt;&gt;"",H68&lt;=I68),"أعد الطلب","متاح")))</f>
        <v/>
      </c>
    </row>
    <row r="69">
      <c r="A69" s="50" t="n"/>
      <c r="B69" s="49">
        <f>IF(A69="","",IFERROR(INDEX('أوامر التوريد'!$H$5:$H$304,MATCH(A69,'أوامر التوريد'!$G$5:$G$304,0)),""))</f>
        <v/>
      </c>
      <c r="C69" s="39">
        <f>IF(A69="","",IFERROR(INDEX('أوامر التوريد'!$C$5:$C$304,MATCH(A69,'أوامر التوريد'!$G$5:$G$304,0)),""))</f>
        <v/>
      </c>
      <c r="D69" s="39">
        <f>IF(A69="","",IFERROR(INDEX('أوامر التوريد'!$I$5:$I$304,MATCH(A69,'أوامر التوريد'!$G$5:$G$304,0)),""))</f>
        <v/>
      </c>
      <c r="E69" s="46">
        <f>IF(A69="","",SUMIFS('أوامر التوريد'!$J$5:$J$304,'أوامر التوريد'!$G$5:$G$304,A69))</f>
        <v/>
      </c>
      <c r="F69" s="46">
        <f>IF(A69="","",SUMIFS('استلام المواد'!$K$5:$K$304,'استلام المواد'!$F$5:$F$304,A69))</f>
        <v/>
      </c>
      <c r="G69" s="46">
        <f>IF(A69="","",SUMIFS('صرف المواد'!$G$5:$G$304,'صرف المواد'!$C$5:$C$304,A69))</f>
        <v/>
      </c>
      <c r="H69" s="46">
        <f>IF(A69="","",F69-G69)</f>
        <v/>
      </c>
      <c r="I69" s="41" t="n"/>
      <c r="J69" s="46">
        <f>IF(A69="","",IFERROR(SUMIFS('أوامر التوريد'!$L$5:$L$304,'أوامر التوريد'!$G$5:$G$304,A69)/E69,0))</f>
        <v/>
      </c>
      <c r="K69" s="46">
        <f>IF(A69="","",H69*J69)</f>
        <v/>
      </c>
      <c r="L69" s="49">
        <f>IF(A69="","",IF(H69&lt;0,"رصيد سالب!",IF(AND(I69&lt;&gt;"",H69&lt;=I69),"أعد الطلب","متاح")))</f>
        <v/>
      </c>
    </row>
    <row r="70">
      <c r="A70" s="50" t="n"/>
      <c r="B70" s="49">
        <f>IF(A70="","",IFERROR(INDEX('أوامر التوريد'!$H$5:$H$304,MATCH(A70,'أوامر التوريد'!$G$5:$G$304,0)),""))</f>
        <v/>
      </c>
      <c r="C70" s="39">
        <f>IF(A70="","",IFERROR(INDEX('أوامر التوريد'!$C$5:$C$304,MATCH(A70,'أوامر التوريد'!$G$5:$G$304,0)),""))</f>
        <v/>
      </c>
      <c r="D70" s="39">
        <f>IF(A70="","",IFERROR(INDEX('أوامر التوريد'!$I$5:$I$304,MATCH(A70,'أوامر التوريد'!$G$5:$G$304,0)),""))</f>
        <v/>
      </c>
      <c r="E70" s="46">
        <f>IF(A70="","",SUMIFS('أوامر التوريد'!$J$5:$J$304,'أوامر التوريد'!$G$5:$G$304,A70))</f>
        <v/>
      </c>
      <c r="F70" s="46">
        <f>IF(A70="","",SUMIFS('استلام المواد'!$K$5:$K$304,'استلام المواد'!$F$5:$F$304,A70))</f>
        <v/>
      </c>
      <c r="G70" s="46">
        <f>IF(A70="","",SUMIFS('صرف المواد'!$G$5:$G$304,'صرف المواد'!$C$5:$C$304,A70))</f>
        <v/>
      </c>
      <c r="H70" s="46">
        <f>IF(A70="","",F70-G70)</f>
        <v/>
      </c>
      <c r="I70" s="41" t="n"/>
      <c r="J70" s="46">
        <f>IF(A70="","",IFERROR(SUMIFS('أوامر التوريد'!$L$5:$L$304,'أوامر التوريد'!$G$5:$G$304,A70)/E70,0))</f>
        <v/>
      </c>
      <c r="K70" s="46">
        <f>IF(A70="","",H70*J70)</f>
        <v/>
      </c>
      <c r="L70" s="49">
        <f>IF(A70="","",IF(H70&lt;0,"رصيد سالب!",IF(AND(I70&lt;&gt;"",H70&lt;=I70),"أعد الطلب","متاح")))</f>
        <v/>
      </c>
    </row>
    <row r="71">
      <c r="A71" s="50" t="n"/>
      <c r="B71" s="49">
        <f>IF(A71="","",IFERROR(INDEX('أوامر التوريد'!$H$5:$H$304,MATCH(A71,'أوامر التوريد'!$G$5:$G$304,0)),""))</f>
        <v/>
      </c>
      <c r="C71" s="39">
        <f>IF(A71="","",IFERROR(INDEX('أوامر التوريد'!$C$5:$C$304,MATCH(A71,'أوامر التوريد'!$G$5:$G$304,0)),""))</f>
        <v/>
      </c>
      <c r="D71" s="39">
        <f>IF(A71="","",IFERROR(INDEX('أوامر التوريد'!$I$5:$I$304,MATCH(A71,'أوامر التوريد'!$G$5:$G$304,0)),""))</f>
        <v/>
      </c>
      <c r="E71" s="46">
        <f>IF(A71="","",SUMIFS('أوامر التوريد'!$J$5:$J$304,'أوامر التوريد'!$G$5:$G$304,A71))</f>
        <v/>
      </c>
      <c r="F71" s="46">
        <f>IF(A71="","",SUMIFS('استلام المواد'!$K$5:$K$304,'استلام المواد'!$F$5:$F$304,A71))</f>
        <v/>
      </c>
      <c r="G71" s="46">
        <f>IF(A71="","",SUMIFS('صرف المواد'!$G$5:$G$304,'صرف المواد'!$C$5:$C$304,A71))</f>
        <v/>
      </c>
      <c r="H71" s="46">
        <f>IF(A71="","",F71-G71)</f>
        <v/>
      </c>
      <c r="I71" s="41" t="n"/>
      <c r="J71" s="46">
        <f>IF(A71="","",IFERROR(SUMIFS('أوامر التوريد'!$L$5:$L$304,'أوامر التوريد'!$G$5:$G$304,A71)/E71,0))</f>
        <v/>
      </c>
      <c r="K71" s="46">
        <f>IF(A71="","",H71*J71)</f>
        <v/>
      </c>
      <c r="L71" s="49">
        <f>IF(A71="","",IF(H71&lt;0,"رصيد سالب!",IF(AND(I71&lt;&gt;"",H71&lt;=I71),"أعد الطلب","متاح")))</f>
        <v/>
      </c>
    </row>
    <row r="72">
      <c r="A72" s="50" t="n"/>
      <c r="B72" s="49">
        <f>IF(A72="","",IFERROR(INDEX('أوامر التوريد'!$H$5:$H$304,MATCH(A72,'أوامر التوريد'!$G$5:$G$304,0)),""))</f>
        <v/>
      </c>
      <c r="C72" s="39">
        <f>IF(A72="","",IFERROR(INDEX('أوامر التوريد'!$C$5:$C$304,MATCH(A72,'أوامر التوريد'!$G$5:$G$304,0)),""))</f>
        <v/>
      </c>
      <c r="D72" s="39">
        <f>IF(A72="","",IFERROR(INDEX('أوامر التوريد'!$I$5:$I$304,MATCH(A72,'أوامر التوريد'!$G$5:$G$304,0)),""))</f>
        <v/>
      </c>
      <c r="E72" s="46">
        <f>IF(A72="","",SUMIFS('أوامر التوريد'!$J$5:$J$304,'أوامر التوريد'!$G$5:$G$304,A72))</f>
        <v/>
      </c>
      <c r="F72" s="46">
        <f>IF(A72="","",SUMIFS('استلام المواد'!$K$5:$K$304,'استلام المواد'!$F$5:$F$304,A72))</f>
        <v/>
      </c>
      <c r="G72" s="46">
        <f>IF(A72="","",SUMIFS('صرف المواد'!$G$5:$G$304,'صرف المواد'!$C$5:$C$304,A72))</f>
        <v/>
      </c>
      <c r="H72" s="46">
        <f>IF(A72="","",F72-G72)</f>
        <v/>
      </c>
      <c r="I72" s="41" t="n"/>
      <c r="J72" s="46">
        <f>IF(A72="","",IFERROR(SUMIFS('أوامر التوريد'!$L$5:$L$304,'أوامر التوريد'!$G$5:$G$304,A72)/E72,0))</f>
        <v/>
      </c>
      <c r="K72" s="46">
        <f>IF(A72="","",H72*J72)</f>
        <v/>
      </c>
      <c r="L72" s="49">
        <f>IF(A72="","",IF(H72&lt;0,"رصيد سالب!",IF(AND(I72&lt;&gt;"",H72&lt;=I72),"أعد الطلب","متاح")))</f>
        <v/>
      </c>
    </row>
    <row r="73">
      <c r="A73" s="50" t="n"/>
      <c r="B73" s="49">
        <f>IF(A73="","",IFERROR(INDEX('أوامر التوريد'!$H$5:$H$304,MATCH(A73,'أوامر التوريد'!$G$5:$G$304,0)),""))</f>
        <v/>
      </c>
      <c r="C73" s="39">
        <f>IF(A73="","",IFERROR(INDEX('أوامر التوريد'!$C$5:$C$304,MATCH(A73,'أوامر التوريد'!$G$5:$G$304,0)),""))</f>
        <v/>
      </c>
      <c r="D73" s="39">
        <f>IF(A73="","",IFERROR(INDEX('أوامر التوريد'!$I$5:$I$304,MATCH(A73,'أوامر التوريد'!$G$5:$G$304,0)),""))</f>
        <v/>
      </c>
      <c r="E73" s="46">
        <f>IF(A73="","",SUMIFS('أوامر التوريد'!$J$5:$J$304,'أوامر التوريد'!$G$5:$G$304,A73))</f>
        <v/>
      </c>
      <c r="F73" s="46">
        <f>IF(A73="","",SUMIFS('استلام المواد'!$K$5:$K$304,'استلام المواد'!$F$5:$F$304,A73))</f>
        <v/>
      </c>
      <c r="G73" s="46">
        <f>IF(A73="","",SUMIFS('صرف المواد'!$G$5:$G$304,'صرف المواد'!$C$5:$C$304,A73))</f>
        <v/>
      </c>
      <c r="H73" s="46">
        <f>IF(A73="","",F73-G73)</f>
        <v/>
      </c>
      <c r="I73" s="41" t="n"/>
      <c r="J73" s="46">
        <f>IF(A73="","",IFERROR(SUMIFS('أوامر التوريد'!$L$5:$L$304,'أوامر التوريد'!$G$5:$G$304,A73)/E73,0))</f>
        <v/>
      </c>
      <c r="K73" s="46">
        <f>IF(A73="","",H73*J73)</f>
        <v/>
      </c>
      <c r="L73" s="49">
        <f>IF(A73="","",IF(H73&lt;0,"رصيد سالب!",IF(AND(I73&lt;&gt;"",H73&lt;=I73),"أعد الطلب","متاح")))</f>
        <v/>
      </c>
    </row>
    <row r="74">
      <c r="A74" s="50" t="n"/>
      <c r="B74" s="49">
        <f>IF(A74="","",IFERROR(INDEX('أوامر التوريد'!$H$5:$H$304,MATCH(A74,'أوامر التوريد'!$G$5:$G$304,0)),""))</f>
        <v/>
      </c>
      <c r="C74" s="39">
        <f>IF(A74="","",IFERROR(INDEX('أوامر التوريد'!$C$5:$C$304,MATCH(A74,'أوامر التوريد'!$G$5:$G$304,0)),""))</f>
        <v/>
      </c>
      <c r="D74" s="39">
        <f>IF(A74="","",IFERROR(INDEX('أوامر التوريد'!$I$5:$I$304,MATCH(A74,'أوامر التوريد'!$G$5:$G$304,0)),""))</f>
        <v/>
      </c>
      <c r="E74" s="46">
        <f>IF(A74="","",SUMIFS('أوامر التوريد'!$J$5:$J$304,'أوامر التوريد'!$G$5:$G$304,A74))</f>
        <v/>
      </c>
      <c r="F74" s="46">
        <f>IF(A74="","",SUMIFS('استلام المواد'!$K$5:$K$304,'استلام المواد'!$F$5:$F$304,A74))</f>
        <v/>
      </c>
      <c r="G74" s="46">
        <f>IF(A74="","",SUMIFS('صرف المواد'!$G$5:$G$304,'صرف المواد'!$C$5:$C$304,A74))</f>
        <v/>
      </c>
      <c r="H74" s="46">
        <f>IF(A74="","",F74-G74)</f>
        <v/>
      </c>
      <c r="I74" s="41" t="n"/>
      <c r="J74" s="46">
        <f>IF(A74="","",IFERROR(SUMIFS('أوامر التوريد'!$L$5:$L$304,'أوامر التوريد'!$G$5:$G$304,A74)/E74,0))</f>
        <v/>
      </c>
      <c r="K74" s="46">
        <f>IF(A74="","",H74*J74)</f>
        <v/>
      </c>
      <c r="L74" s="49">
        <f>IF(A74="","",IF(H74&lt;0,"رصيد سالب!",IF(AND(I74&lt;&gt;"",H74&lt;=I74),"أعد الطلب","متاح")))</f>
        <v/>
      </c>
    </row>
    <row r="75">
      <c r="A75" s="50" t="n"/>
      <c r="B75" s="49">
        <f>IF(A75="","",IFERROR(INDEX('أوامر التوريد'!$H$5:$H$304,MATCH(A75,'أوامر التوريد'!$G$5:$G$304,0)),""))</f>
        <v/>
      </c>
      <c r="C75" s="39">
        <f>IF(A75="","",IFERROR(INDEX('أوامر التوريد'!$C$5:$C$304,MATCH(A75,'أوامر التوريد'!$G$5:$G$304,0)),""))</f>
        <v/>
      </c>
      <c r="D75" s="39">
        <f>IF(A75="","",IFERROR(INDEX('أوامر التوريد'!$I$5:$I$304,MATCH(A75,'أوامر التوريد'!$G$5:$G$304,0)),""))</f>
        <v/>
      </c>
      <c r="E75" s="46">
        <f>IF(A75="","",SUMIFS('أوامر التوريد'!$J$5:$J$304,'أوامر التوريد'!$G$5:$G$304,A75))</f>
        <v/>
      </c>
      <c r="F75" s="46">
        <f>IF(A75="","",SUMIFS('استلام المواد'!$K$5:$K$304,'استلام المواد'!$F$5:$F$304,A75))</f>
        <v/>
      </c>
      <c r="G75" s="46">
        <f>IF(A75="","",SUMIFS('صرف المواد'!$G$5:$G$304,'صرف المواد'!$C$5:$C$304,A75))</f>
        <v/>
      </c>
      <c r="H75" s="46">
        <f>IF(A75="","",F75-G75)</f>
        <v/>
      </c>
      <c r="I75" s="41" t="n"/>
      <c r="J75" s="46">
        <f>IF(A75="","",IFERROR(SUMIFS('أوامر التوريد'!$L$5:$L$304,'أوامر التوريد'!$G$5:$G$304,A75)/E75,0))</f>
        <v/>
      </c>
      <c r="K75" s="46">
        <f>IF(A75="","",H75*J75)</f>
        <v/>
      </c>
      <c r="L75" s="49">
        <f>IF(A75="","",IF(H75&lt;0,"رصيد سالب!",IF(AND(I75&lt;&gt;"",H75&lt;=I75),"أعد الطلب","متاح")))</f>
        <v/>
      </c>
    </row>
    <row r="76">
      <c r="A76" s="50" t="n"/>
      <c r="B76" s="49">
        <f>IF(A76="","",IFERROR(INDEX('أوامر التوريد'!$H$5:$H$304,MATCH(A76,'أوامر التوريد'!$G$5:$G$304,0)),""))</f>
        <v/>
      </c>
      <c r="C76" s="39">
        <f>IF(A76="","",IFERROR(INDEX('أوامر التوريد'!$C$5:$C$304,MATCH(A76,'أوامر التوريد'!$G$5:$G$304,0)),""))</f>
        <v/>
      </c>
      <c r="D76" s="39">
        <f>IF(A76="","",IFERROR(INDEX('أوامر التوريد'!$I$5:$I$304,MATCH(A76,'أوامر التوريد'!$G$5:$G$304,0)),""))</f>
        <v/>
      </c>
      <c r="E76" s="46">
        <f>IF(A76="","",SUMIFS('أوامر التوريد'!$J$5:$J$304,'أوامر التوريد'!$G$5:$G$304,A76))</f>
        <v/>
      </c>
      <c r="F76" s="46">
        <f>IF(A76="","",SUMIFS('استلام المواد'!$K$5:$K$304,'استلام المواد'!$F$5:$F$304,A76))</f>
        <v/>
      </c>
      <c r="G76" s="46">
        <f>IF(A76="","",SUMIFS('صرف المواد'!$G$5:$G$304,'صرف المواد'!$C$5:$C$304,A76))</f>
        <v/>
      </c>
      <c r="H76" s="46">
        <f>IF(A76="","",F76-G76)</f>
        <v/>
      </c>
      <c r="I76" s="41" t="n"/>
      <c r="J76" s="46">
        <f>IF(A76="","",IFERROR(SUMIFS('أوامر التوريد'!$L$5:$L$304,'أوامر التوريد'!$G$5:$G$304,A76)/E76,0))</f>
        <v/>
      </c>
      <c r="K76" s="46">
        <f>IF(A76="","",H76*J76)</f>
        <v/>
      </c>
      <c r="L76" s="49">
        <f>IF(A76="","",IF(H76&lt;0,"رصيد سالب!",IF(AND(I76&lt;&gt;"",H76&lt;=I76),"أعد الطلب","متاح")))</f>
        <v/>
      </c>
    </row>
    <row r="77">
      <c r="A77" s="50" t="n"/>
      <c r="B77" s="49">
        <f>IF(A77="","",IFERROR(INDEX('أوامر التوريد'!$H$5:$H$304,MATCH(A77,'أوامر التوريد'!$G$5:$G$304,0)),""))</f>
        <v/>
      </c>
      <c r="C77" s="39">
        <f>IF(A77="","",IFERROR(INDEX('أوامر التوريد'!$C$5:$C$304,MATCH(A77,'أوامر التوريد'!$G$5:$G$304,0)),""))</f>
        <v/>
      </c>
      <c r="D77" s="39">
        <f>IF(A77="","",IFERROR(INDEX('أوامر التوريد'!$I$5:$I$304,MATCH(A77,'أوامر التوريد'!$G$5:$G$304,0)),""))</f>
        <v/>
      </c>
      <c r="E77" s="46">
        <f>IF(A77="","",SUMIFS('أوامر التوريد'!$J$5:$J$304,'أوامر التوريد'!$G$5:$G$304,A77))</f>
        <v/>
      </c>
      <c r="F77" s="46">
        <f>IF(A77="","",SUMIFS('استلام المواد'!$K$5:$K$304,'استلام المواد'!$F$5:$F$304,A77))</f>
        <v/>
      </c>
      <c r="G77" s="46">
        <f>IF(A77="","",SUMIFS('صرف المواد'!$G$5:$G$304,'صرف المواد'!$C$5:$C$304,A77))</f>
        <v/>
      </c>
      <c r="H77" s="46">
        <f>IF(A77="","",F77-G77)</f>
        <v/>
      </c>
      <c r="I77" s="41" t="n"/>
      <c r="J77" s="46">
        <f>IF(A77="","",IFERROR(SUMIFS('أوامر التوريد'!$L$5:$L$304,'أوامر التوريد'!$G$5:$G$304,A77)/E77,0))</f>
        <v/>
      </c>
      <c r="K77" s="46">
        <f>IF(A77="","",H77*J77)</f>
        <v/>
      </c>
      <c r="L77" s="49">
        <f>IF(A77="","",IF(H77&lt;0,"رصيد سالب!",IF(AND(I77&lt;&gt;"",H77&lt;=I77),"أعد الطلب","متاح")))</f>
        <v/>
      </c>
    </row>
    <row r="78">
      <c r="A78" s="50" t="n"/>
      <c r="B78" s="49">
        <f>IF(A78="","",IFERROR(INDEX('أوامر التوريد'!$H$5:$H$304,MATCH(A78,'أوامر التوريد'!$G$5:$G$304,0)),""))</f>
        <v/>
      </c>
      <c r="C78" s="39">
        <f>IF(A78="","",IFERROR(INDEX('أوامر التوريد'!$C$5:$C$304,MATCH(A78,'أوامر التوريد'!$G$5:$G$304,0)),""))</f>
        <v/>
      </c>
      <c r="D78" s="39">
        <f>IF(A78="","",IFERROR(INDEX('أوامر التوريد'!$I$5:$I$304,MATCH(A78,'أوامر التوريد'!$G$5:$G$304,0)),""))</f>
        <v/>
      </c>
      <c r="E78" s="46">
        <f>IF(A78="","",SUMIFS('أوامر التوريد'!$J$5:$J$304,'أوامر التوريد'!$G$5:$G$304,A78))</f>
        <v/>
      </c>
      <c r="F78" s="46">
        <f>IF(A78="","",SUMIFS('استلام المواد'!$K$5:$K$304,'استلام المواد'!$F$5:$F$304,A78))</f>
        <v/>
      </c>
      <c r="G78" s="46">
        <f>IF(A78="","",SUMIFS('صرف المواد'!$G$5:$G$304,'صرف المواد'!$C$5:$C$304,A78))</f>
        <v/>
      </c>
      <c r="H78" s="46">
        <f>IF(A78="","",F78-G78)</f>
        <v/>
      </c>
      <c r="I78" s="41" t="n"/>
      <c r="J78" s="46">
        <f>IF(A78="","",IFERROR(SUMIFS('أوامر التوريد'!$L$5:$L$304,'أوامر التوريد'!$G$5:$G$304,A78)/E78,0))</f>
        <v/>
      </c>
      <c r="K78" s="46">
        <f>IF(A78="","",H78*J78)</f>
        <v/>
      </c>
      <c r="L78" s="49">
        <f>IF(A78="","",IF(H78&lt;0,"رصيد سالب!",IF(AND(I78&lt;&gt;"",H78&lt;=I78),"أعد الطلب","متاح")))</f>
        <v/>
      </c>
    </row>
    <row r="79">
      <c r="A79" s="50" t="n"/>
      <c r="B79" s="49">
        <f>IF(A79="","",IFERROR(INDEX('أوامر التوريد'!$H$5:$H$304,MATCH(A79,'أوامر التوريد'!$G$5:$G$304,0)),""))</f>
        <v/>
      </c>
      <c r="C79" s="39">
        <f>IF(A79="","",IFERROR(INDEX('أوامر التوريد'!$C$5:$C$304,MATCH(A79,'أوامر التوريد'!$G$5:$G$304,0)),""))</f>
        <v/>
      </c>
      <c r="D79" s="39">
        <f>IF(A79="","",IFERROR(INDEX('أوامر التوريد'!$I$5:$I$304,MATCH(A79,'أوامر التوريد'!$G$5:$G$304,0)),""))</f>
        <v/>
      </c>
      <c r="E79" s="46">
        <f>IF(A79="","",SUMIFS('أوامر التوريد'!$J$5:$J$304,'أوامر التوريد'!$G$5:$G$304,A79))</f>
        <v/>
      </c>
      <c r="F79" s="46">
        <f>IF(A79="","",SUMIFS('استلام المواد'!$K$5:$K$304,'استلام المواد'!$F$5:$F$304,A79))</f>
        <v/>
      </c>
      <c r="G79" s="46">
        <f>IF(A79="","",SUMIFS('صرف المواد'!$G$5:$G$304,'صرف المواد'!$C$5:$C$304,A79))</f>
        <v/>
      </c>
      <c r="H79" s="46">
        <f>IF(A79="","",F79-G79)</f>
        <v/>
      </c>
      <c r="I79" s="41" t="n"/>
      <c r="J79" s="46">
        <f>IF(A79="","",IFERROR(SUMIFS('أوامر التوريد'!$L$5:$L$304,'أوامر التوريد'!$G$5:$G$304,A79)/E79,0))</f>
        <v/>
      </c>
      <c r="K79" s="46">
        <f>IF(A79="","",H79*J79)</f>
        <v/>
      </c>
      <c r="L79" s="49">
        <f>IF(A79="","",IF(H79&lt;0,"رصيد سالب!",IF(AND(I79&lt;&gt;"",H79&lt;=I79),"أعد الطلب","متاح")))</f>
        <v/>
      </c>
    </row>
    <row r="80">
      <c r="A80" s="50" t="n"/>
      <c r="B80" s="49">
        <f>IF(A80="","",IFERROR(INDEX('أوامر التوريد'!$H$5:$H$304,MATCH(A80,'أوامر التوريد'!$G$5:$G$304,0)),""))</f>
        <v/>
      </c>
      <c r="C80" s="39">
        <f>IF(A80="","",IFERROR(INDEX('أوامر التوريد'!$C$5:$C$304,MATCH(A80,'أوامر التوريد'!$G$5:$G$304,0)),""))</f>
        <v/>
      </c>
      <c r="D80" s="39">
        <f>IF(A80="","",IFERROR(INDEX('أوامر التوريد'!$I$5:$I$304,MATCH(A80,'أوامر التوريد'!$G$5:$G$304,0)),""))</f>
        <v/>
      </c>
      <c r="E80" s="46">
        <f>IF(A80="","",SUMIFS('أوامر التوريد'!$J$5:$J$304,'أوامر التوريد'!$G$5:$G$304,A80))</f>
        <v/>
      </c>
      <c r="F80" s="46">
        <f>IF(A80="","",SUMIFS('استلام المواد'!$K$5:$K$304,'استلام المواد'!$F$5:$F$304,A80))</f>
        <v/>
      </c>
      <c r="G80" s="46">
        <f>IF(A80="","",SUMIFS('صرف المواد'!$G$5:$G$304,'صرف المواد'!$C$5:$C$304,A80))</f>
        <v/>
      </c>
      <c r="H80" s="46">
        <f>IF(A80="","",F80-G80)</f>
        <v/>
      </c>
      <c r="I80" s="41" t="n"/>
      <c r="J80" s="46">
        <f>IF(A80="","",IFERROR(SUMIFS('أوامر التوريد'!$L$5:$L$304,'أوامر التوريد'!$G$5:$G$304,A80)/E80,0))</f>
        <v/>
      </c>
      <c r="K80" s="46">
        <f>IF(A80="","",H80*J80)</f>
        <v/>
      </c>
      <c r="L80" s="49">
        <f>IF(A80="","",IF(H80&lt;0,"رصيد سالب!",IF(AND(I80&lt;&gt;"",H80&lt;=I80),"أعد الطلب","متاح")))</f>
        <v/>
      </c>
    </row>
    <row r="81">
      <c r="A81" s="50" t="n"/>
      <c r="B81" s="49">
        <f>IF(A81="","",IFERROR(INDEX('أوامر التوريد'!$H$5:$H$304,MATCH(A81,'أوامر التوريد'!$G$5:$G$304,0)),""))</f>
        <v/>
      </c>
      <c r="C81" s="39">
        <f>IF(A81="","",IFERROR(INDEX('أوامر التوريد'!$C$5:$C$304,MATCH(A81,'أوامر التوريد'!$G$5:$G$304,0)),""))</f>
        <v/>
      </c>
      <c r="D81" s="39">
        <f>IF(A81="","",IFERROR(INDEX('أوامر التوريد'!$I$5:$I$304,MATCH(A81,'أوامر التوريد'!$G$5:$G$304,0)),""))</f>
        <v/>
      </c>
      <c r="E81" s="46">
        <f>IF(A81="","",SUMIFS('أوامر التوريد'!$J$5:$J$304,'أوامر التوريد'!$G$5:$G$304,A81))</f>
        <v/>
      </c>
      <c r="F81" s="46">
        <f>IF(A81="","",SUMIFS('استلام المواد'!$K$5:$K$304,'استلام المواد'!$F$5:$F$304,A81))</f>
        <v/>
      </c>
      <c r="G81" s="46">
        <f>IF(A81="","",SUMIFS('صرف المواد'!$G$5:$G$304,'صرف المواد'!$C$5:$C$304,A81))</f>
        <v/>
      </c>
      <c r="H81" s="46">
        <f>IF(A81="","",F81-G81)</f>
        <v/>
      </c>
      <c r="I81" s="41" t="n"/>
      <c r="J81" s="46">
        <f>IF(A81="","",IFERROR(SUMIFS('أوامر التوريد'!$L$5:$L$304,'أوامر التوريد'!$G$5:$G$304,A81)/E81,0))</f>
        <v/>
      </c>
      <c r="K81" s="46">
        <f>IF(A81="","",H81*J81)</f>
        <v/>
      </c>
      <c r="L81" s="49">
        <f>IF(A81="","",IF(H81&lt;0,"رصيد سالب!",IF(AND(I81&lt;&gt;"",H81&lt;=I81),"أعد الطلب","متاح")))</f>
        <v/>
      </c>
    </row>
    <row r="82">
      <c r="A82" s="50" t="n"/>
      <c r="B82" s="49">
        <f>IF(A82="","",IFERROR(INDEX('أوامر التوريد'!$H$5:$H$304,MATCH(A82,'أوامر التوريد'!$G$5:$G$304,0)),""))</f>
        <v/>
      </c>
      <c r="C82" s="39">
        <f>IF(A82="","",IFERROR(INDEX('أوامر التوريد'!$C$5:$C$304,MATCH(A82,'أوامر التوريد'!$G$5:$G$304,0)),""))</f>
        <v/>
      </c>
      <c r="D82" s="39">
        <f>IF(A82="","",IFERROR(INDEX('أوامر التوريد'!$I$5:$I$304,MATCH(A82,'أوامر التوريد'!$G$5:$G$304,0)),""))</f>
        <v/>
      </c>
      <c r="E82" s="46">
        <f>IF(A82="","",SUMIFS('أوامر التوريد'!$J$5:$J$304,'أوامر التوريد'!$G$5:$G$304,A82))</f>
        <v/>
      </c>
      <c r="F82" s="46">
        <f>IF(A82="","",SUMIFS('استلام المواد'!$K$5:$K$304,'استلام المواد'!$F$5:$F$304,A82))</f>
        <v/>
      </c>
      <c r="G82" s="46">
        <f>IF(A82="","",SUMIFS('صرف المواد'!$G$5:$G$304,'صرف المواد'!$C$5:$C$304,A82))</f>
        <v/>
      </c>
      <c r="H82" s="46">
        <f>IF(A82="","",F82-G82)</f>
        <v/>
      </c>
      <c r="I82" s="41" t="n"/>
      <c r="J82" s="46">
        <f>IF(A82="","",IFERROR(SUMIFS('أوامر التوريد'!$L$5:$L$304,'أوامر التوريد'!$G$5:$G$304,A82)/E82,0))</f>
        <v/>
      </c>
      <c r="K82" s="46">
        <f>IF(A82="","",H82*J82)</f>
        <v/>
      </c>
      <c r="L82" s="49">
        <f>IF(A82="","",IF(H82&lt;0,"رصيد سالب!",IF(AND(I82&lt;&gt;"",H82&lt;=I82),"أعد الطلب","متاح")))</f>
        <v/>
      </c>
    </row>
    <row r="83">
      <c r="A83" s="50" t="n"/>
      <c r="B83" s="49">
        <f>IF(A83="","",IFERROR(INDEX('أوامر التوريد'!$H$5:$H$304,MATCH(A83,'أوامر التوريد'!$G$5:$G$304,0)),""))</f>
        <v/>
      </c>
      <c r="C83" s="39">
        <f>IF(A83="","",IFERROR(INDEX('أوامر التوريد'!$C$5:$C$304,MATCH(A83,'أوامر التوريد'!$G$5:$G$304,0)),""))</f>
        <v/>
      </c>
      <c r="D83" s="39">
        <f>IF(A83="","",IFERROR(INDEX('أوامر التوريد'!$I$5:$I$304,MATCH(A83,'أوامر التوريد'!$G$5:$G$304,0)),""))</f>
        <v/>
      </c>
      <c r="E83" s="46">
        <f>IF(A83="","",SUMIFS('أوامر التوريد'!$J$5:$J$304,'أوامر التوريد'!$G$5:$G$304,A83))</f>
        <v/>
      </c>
      <c r="F83" s="46">
        <f>IF(A83="","",SUMIFS('استلام المواد'!$K$5:$K$304,'استلام المواد'!$F$5:$F$304,A83))</f>
        <v/>
      </c>
      <c r="G83" s="46">
        <f>IF(A83="","",SUMIFS('صرف المواد'!$G$5:$G$304,'صرف المواد'!$C$5:$C$304,A83))</f>
        <v/>
      </c>
      <c r="H83" s="46">
        <f>IF(A83="","",F83-G83)</f>
        <v/>
      </c>
      <c r="I83" s="41" t="n"/>
      <c r="J83" s="46">
        <f>IF(A83="","",IFERROR(SUMIFS('أوامر التوريد'!$L$5:$L$304,'أوامر التوريد'!$G$5:$G$304,A83)/E83,0))</f>
        <v/>
      </c>
      <c r="K83" s="46">
        <f>IF(A83="","",H83*J83)</f>
        <v/>
      </c>
      <c r="L83" s="49">
        <f>IF(A83="","",IF(H83&lt;0,"رصيد سالب!",IF(AND(I83&lt;&gt;"",H83&lt;=I83),"أعد الطلب","متاح")))</f>
        <v/>
      </c>
    </row>
    <row r="84">
      <c r="A84" s="50" t="n"/>
      <c r="B84" s="49">
        <f>IF(A84="","",IFERROR(INDEX('أوامر التوريد'!$H$5:$H$304,MATCH(A84,'أوامر التوريد'!$G$5:$G$304,0)),""))</f>
        <v/>
      </c>
      <c r="C84" s="39">
        <f>IF(A84="","",IFERROR(INDEX('أوامر التوريد'!$C$5:$C$304,MATCH(A84,'أوامر التوريد'!$G$5:$G$304,0)),""))</f>
        <v/>
      </c>
      <c r="D84" s="39">
        <f>IF(A84="","",IFERROR(INDEX('أوامر التوريد'!$I$5:$I$304,MATCH(A84,'أوامر التوريد'!$G$5:$G$304,0)),""))</f>
        <v/>
      </c>
      <c r="E84" s="46">
        <f>IF(A84="","",SUMIFS('أوامر التوريد'!$J$5:$J$304,'أوامر التوريد'!$G$5:$G$304,A84))</f>
        <v/>
      </c>
      <c r="F84" s="46">
        <f>IF(A84="","",SUMIFS('استلام المواد'!$K$5:$K$304,'استلام المواد'!$F$5:$F$304,A84))</f>
        <v/>
      </c>
      <c r="G84" s="46">
        <f>IF(A84="","",SUMIFS('صرف المواد'!$G$5:$G$304,'صرف المواد'!$C$5:$C$304,A84))</f>
        <v/>
      </c>
      <c r="H84" s="46">
        <f>IF(A84="","",F84-G84)</f>
        <v/>
      </c>
      <c r="I84" s="41" t="n"/>
      <c r="J84" s="46">
        <f>IF(A84="","",IFERROR(SUMIFS('أوامر التوريد'!$L$5:$L$304,'أوامر التوريد'!$G$5:$G$304,A84)/E84,0))</f>
        <v/>
      </c>
      <c r="K84" s="46">
        <f>IF(A84="","",H84*J84)</f>
        <v/>
      </c>
      <c r="L84" s="49">
        <f>IF(A84="","",IF(H84&lt;0,"رصيد سالب!",IF(AND(I84&lt;&gt;"",H84&lt;=I84),"أعد الطلب","متاح")))</f>
        <v/>
      </c>
    </row>
    <row r="85">
      <c r="A85" s="50" t="n"/>
      <c r="B85" s="49">
        <f>IF(A85="","",IFERROR(INDEX('أوامر التوريد'!$H$5:$H$304,MATCH(A85,'أوامر التوريد'!$G$5:$G$304,0)),""))</f>
        <v/>
      </c>
      <c r="C85" s="39">
        <f>IF(A85="","",IFERROR(INDEX('أوامر التوريد'!$C$5:$C$304,MATCH(A85,'أوامر التوريد'!$G$5:$G$304,0)),""))</f>
        <v/>
      </c>
      <c r="D85" s="39">
        <f>IF(A85="","",IFERROR(INDEX('أوامر التوريد'!$I$5:$I$304,MATCH(A85,'أوامر التوريد'!$G$5:$G$304,0)),""))</f>
        <v/>
      </c>
      <c r="E85" s="46">
        <f>IF(A85="","",SUMIFS('أوامر التوريد'!$J$5:$J$304,'أوامر التوريد'!$G$5:$G$304,A85))</f>
        <v/>
      </c>
      <c r="F85" s="46">
        <f>IF(A85="","",SUMIFS('استلام المواد'!$K$5:$K$304,'استلام المواد'!$F$5:$F$304,A85))</f>
        <v/>
      </c>
      <c r="G85" s="46">
        <f>IF(A85="","",SUMIFS('صرف المواد'!$G$5:$G$304,'صرف المواد'!$C$5:$C$304,A85))</f>
        <v/>
      </c>
      <c r="H85" s="46">
        <f>IF(A85="","",F85-G85)</f>
        <v/>
      </c>
      <c r="I85" s="41" t="n"/>
      <c r="J85" s="46">
        <f>IF(A85="","",IFERROR(SUMIFS('أوامر التوريد'!$L$5:$L$304,'أوامر التوريد'!$G$5:$G$304,A85)/E85,0))</f>
        <v/>
      </c>
      <c r="K85" s="46">
        <f>IF(A85="","",H85*J85)</f>
        <v/>
      </c>
      <c r="L85" s="49">
        <f>IF(A85="","",IF(H85&lt;0,"رصيد سالب!",IF(AND(I85&lt;&gt;"",H85&lt;=I85),"أعد الطلب","متاح")))</f>
        <v/>
      </c>
    </row>
    <row r="86">
      <c r="A86" s="50" t="n"/>
      <c r="B86" s="49">
        <f>IF(A86="","",IFERROR(INDEX('أوامر التوريد'!$H$5:$H$304,MATCH(A86,'أوامر التوريد'!$G$5:$G$304,0)),""))</f>
        <v/>
      </c>
      <c r="C86" s="39">
        <f>IF(A86="","",IFERROR(INDEX('أوامر التوريد'!$C$5:$C$304,MATCH(A86,'أوامر التوريد'!$G$5:$G$304,0)),""))</f>
        <v/>
      </c>
      <c r="D86" s="39">
        <f>IF(A86="","",IFERROR(INDEX('أوامر التوريد'!$I$5:$I$304,MATCH(A86,'أوامر التوريد'!$G$5:$G$304,0)),""))</f>
        <v/>
      </c>
      <c r="E86" s="46">
        <f>IF(A86="","",SUMIFS('أوامر التوريد'!$J$5:$J$304,'أوامر التوريد'!$G$5:$G$304,A86))</f>
        <v/>
      </c>
      <c r="F86" s="46">
        <f>IF(A86="","",SUMIFS('استلام المواد'!$K$5:$K$304,'استلام المواد'!$F$5:$F$304,A86))</f>
        <v/>
      </c>
      <c r="G86" s="46">
        <f>IF(A86="","",SUMIFS('صرف المواد'!$G$5:$G$304,'صرف المواد'!$C$5:$C$304,A86))</f>
        <v/>
      </c>
      <c r="H86" s="46">
        <f>IF(A86="","",F86-G86)</f>
        <v/>
      </c>
      <c r="I86" s="41" t="n"/>
      <c r="J86" s="46">
        <f>IF(A86="","",IFERROR(SUMIFS('أوامر التوريد'!$L$5:$L$304,'أوامر التوريد'!$G$5:$G$304,A86)/E86,0))</f>
        <v/>
      </c>
      <c r="K86" s="46">
        <f>IF(A86="","",H86*J86)</f>
        <v/>
      </c>
      <c r="L86" s="49">
        <f>IF(A86="","",IF(H86&lt;0,"رصيد سالب!",IF(AND(I86&lt;&gt;"",H86&lt;=I86),"أعد الطلب","متاح")))</f>
        <v/>
      </c>
    </row>
    <row r="87">
      <c r="A87" s="50" t="n"/>
      <c r="B87" s="49">
        <f>IF(A87="","",IFERROR(INDEX('أوامر التوريد'!$H$5:$H$304,MATCH(A87,'أوامر التوريد'!$G$5:$G$304,0)),""))</f>
        <v/>
      </c>
      <c r="C87" s="39">
        <f>IF(A87="","",IFERROR(INDEX('أوامر التوريد'!$C$5:$C$304,MATCH(A87,'أوامر التوريد'!$G$5:$G$304,0)),""))</f>
        <v/>
      </c>
      <c r="D87" s="39">
        <f>IF(A87="","",IFERROR(INDEX('أوامر التوريد'!$I$5:$I$304,MATCH(A87,'أوامر التوريد'!$G$5:$G$304,0)),""))</f>
        <v/>
      </c>
      <c r="E87" s="46">
        <f>IF(A87="","",SUMIFS('أوامر التوريد'!$J$5:$J$304,'أوامر التوريد'!$G$5:$G$304,A87))</f>
        <v/>
      </c>
      <c r="F87" s="46">
        <f>IF(A87="","",SUMIFS('استلام المواد'!$K$5:$K$304,'استلام المواد'!$F$5:$F$304,A87))</f>
        <v/>
      </c>
      <c r="G87" s="46">
        <f>IF(A87="","",SUMIFS('صرف المواد'!$G$5:$G$304,'صرف المواد'!$C$5:$C$304,A87))</f>
        <v/>
      </c>
      <c r="H87" s="46">
        <f>IF(A87="","",F87-G87)</f>
        <v/>
      </c>
      <c r="I87" s="41" t="n"/>
      <c r="J87" s="46">
        <f>IF(A87="","",IFERROR(SUMIFS('أوامر التوريد'!$L$5:$L$304,'أوامر التوريد'!$G$5:$G$304,A87)/E87,0))</f>
        <v/>
      </c>
      <c r="K87" s="46">
        <f>IF(A87="","",H87*J87)</f>
        <v/>
      </c>
      <c r="L87" s="49">
        <f>IF(A87="","",IF(H87&lt;0,"رصيد سالب!",IF(AND(I87&lt;&gt;"",H87&lt;=I87),"أعد الطلب","متاح")))</f>
        <v/>
      </c>
    </row>
    <row r="88">
      <c r="A88" s="50" t="n"/>
      <c r="B88" s="49">
        <f>IF(A88="","",IFERROR(INDEX('أوامر التوريد'!$H$5:$H$304,MATCH(A88,'أوامر التوريد'!$G$5:$G$304,0)),""))</f>
        <v/>
      </c>
      <c r="C88" s="39">
        <f>IF(A88="","",IFERROR(INDEX('أوامر التوريد'!$C$5:$C$304,MATCH(A88,'أوامر التوريد'!$G$5:$G$304,0)),""))</f>
        <v/>
      </c>
      <c r="D88" s="39">
        <f>IF(A88="","",IFERROR(INDEX('أوامر التوريد'!$I$5:$I$304,MATCH(A88,'أوامر التوريد'!$G$5:$G$304,0)),""))</f>
        <v/>
      </c>
      <c r="E88" s="46">
        <f>IF(A88="","",SUMIFS('أوامر التوريد'!$J$5:$J$304,'أوامر التوريد'!$G$5:$G$304,A88))</f>
        <v/>
      </c>
      <c r="F88" s="46">
        <f>IF(A88="","",SUMIFS('استلام المواد'!$K$5:$K$304,'استلام المواد'!$F$5:$F$304,A88))</f>
        <v/>
      </c>
      <c r="G88" s="46">
        <f>IF(A88="","",SUMIFS('صرف المواد'!$G$5:$G$304,'صرف المواد'!$C$5:$C$304,A88))</f>
        <v/>
      </c>
      <c r="H88" s="46">
        <f>IF(A88="","",F88-G88)</f>
        <v/>
      </c>
      <c r="I88" s="41" t="n"/>
      <c r="J88" s="46">
        <f>IF(A88="","",IFERROR(SUMIFS('أوامر التوريد'!$L$5:$L$304,'أوامر التوريد'!$G$5:$G$304,A88)/E88,0))</f>
        <v/>
      </c>
      <c r="K88" s="46">
        <f>IF(A88="","",H88*J88)</f>
        <v/>
      </c>
      <c r="L88" s="49">
        <f>IF(A88="","",IF(H88&lt;0,"رصيد سالب!",IF(AND(I88&lt;&gt;"",H88&lt;=I88),"أعد الطلب","متاح")))</f>
        <v/>
      </c>
    </row>
    <row r="89">
      <c r="A89" s="50" t="n"/>
      <c r="B89" s="49">
        <f>IF(A89="","",IFERROR(INDEX('أوامر التوريد'!$H$5:$H$304,MATCH(A89,'أوامر التوريد'!$G$5:$G$304,0)),""))</f>
        <v/>
      </c>
      <c r="C89" s="39">
        <f>IF(A89="","",IFERROR(INDEX('أوامر التوريد'!$C$5:$C$304,MATCH(A89,'أوامر التوريد'!$G$5:$G$304,0)),""))</f>
        <v/>
      </c>
      <c r="D89" s="39">
        <f>IF(A89="","",IFERROR(INDEX('أوامر التوريد'!$I$5:$I$304,MATCH(A89,'أوامر التوريد'!$G$5:$G$304,0)),""))</f>
        <v/>
      </c>
      <c r="E89" s="46">
        <f>IF(A89="","",SUMIFS('أوامر التوريد'!$J$5:$J$304,'أوامر التوريد'!$G$5:$G$304,A89))</f>
        <v/>
      </c>
      <c r="F89" s="46">
        <f>IF(A89="","",SUMIFS('استلام المواد'!$K$5:$K$304,'استلام المواد'!$F$5:$F$304,A89))</f>
        <v/>
      </c>
      <c r="G89" s="46">
        <f>IF(A89="","",SUMIFS('صرف المواد'!$G$5:$G$304,'صرف المواد'!$C$5:$C$304,A89))</f>
        <v/>
      </c>
      <c r="H89" s="46">
        <f>IF(A89="","",F89-G89)</f>
        <v/>
      </c>
      <c r="I89" s="41" t="n"/>
      <c r="J89" s="46">
        <f>IF(A89="","",IFERROR(SUMIFS('أوامر التوريد'!$L$5:$L$304,'أوامر التوريد'!$G$5:$G$304,A89)/E89,0))</f>
        <v/>
      </c>
      <c r="K89" s="46">
        <f>IF(A89="","",H89*J89)</f>
        <v/>
      </c>
      <c r="L89" s="49">
        <f>IF(A89="","",IF(H89&lt;0,"رصيد سالب!",IF(AND(I89&lt;&gt;"",H89&lt;=I89),"أعد الطلب","متاح")))</f>
        <v/>
      </c>
    </row>
    <row r="90">
      <c r="A90" s="50" t="n"/>
      <c r="B90" s="49">
        <f>IF(A90="","",IFERROR(INDEX('أوامر التوريد'!$H$5:$H$304,MATCH(A90,'أوامر التوريد'!$G$5:$G$304,0)),""))</f>
        <v/>
      </c>
      <c r="C90" s="39">
        <f>IF(A90="","",IFERROR(INDEX('أوامر التوريد'!$C$5:$C$304,MATCH(A90,'أوامر التوريد'!$G$5:$G$304,0)),""))</f>
        <v/>
      </c>
      <c r="D90" s="39">
        <f>IF(A90="","",IFERROR(INDEX('أوامر التوريد'!$I$5:$I$304,MATCH(A90,'أوامر التوريد'!$G$5:$G$304,0)),""))</f>
        <v/>
      </c>
      <c r="E90" s="46">
        <f>IF(A90="","",SUMIFS('أوامر التوريد'!$J$5:$J$304,'أوامر التوريد'!$G$5:$G$304,A90))</f>
        <v/>
      </c>
      <c r="F90" s="46">
        <f>IF(A90="","",SUMIFS('استلام المواد'!$K$5:$K$304,'استلام المواد'!$F$5:$F$304,A90))</f>
        <v/>
      </c>
      <c r="G90" s="46">
        <f>IF(A90="","",SUMIFS('صرف المواد'!$G$5:$G$304,'صرف المواد'!$C$5:$C$304,A90))</f>
        <v/>
      </c>
      <c r="H90" s="46">
        <f>IF(A90="","",F90-G90)</f>
        <v/>
      </c>
      <c r="I90" s="41" t="n"/>
      <c r="J90" s="46">
        <f>IF(A90="","",IFERROR(SUMIFS('أوامر التوريد'!$L$5:$L$304,'أوامر التوريد'!$G$5:$G$304,A90)/E90,0))</f>
        <v/>
      </c>
      <c r="K90" s="46">
        <f>IF(A90="","",H90*J90)</f>
        <v/>
      </c>
      <c r="L90" s="49">
        <f>IF(A90="","",IF(H90&lt;0,"رصيد سالب!",IF(AND(I90&lt;&gt;"",H90&lt;=I90),"أعد الطلب","متاح")))</f>
        <v/>
      </c>
    </row>
    <row r="91">
      <c r="A91" s="50" t="n"/>
      <c r="B91" s="49">
        <f>IF(A91="","",IFERROR(INDEX('أوامر التوريد'!$H$5:$H$304,MATCH(A91,'أوامر التوريد'!$G$5:$G$304,0)),""))</f>
        <v/>
      </c>
      <c r="C91" s="39">
        <f>IF(A91="","",IFERROR(INDEX('أوامر التوريد'!$C$5:$C$304,MATCH(A91,'أوامر التوريد'!$G$5:$G$304,0)),""))</f>
        <v/>
      </c>
      <c r="D91" s="39">
        <f>IF(A91="","",IFERROR(INDEX('أوامر التوريد'!$I$5:$I$304,MATCH(A91,'أوامر التوريد'!$G$5:$G$304,0)),""))</f>
        <v/>
      </c>
      <c r="E91" s="46">
        <f>IF(A91="","",SUMIFS('أوامر التوريد'!$J$5:$J$304,'أوامر التوريد'!$G$5:$G$304,A91))</f>
        <v/>
      </c>
      <c r="F91" s="46">
        <f>IF(A91="","",SUMIFS('استلام المواد'!$K$5:$K$304,'استلام المواد'!$F$5:$F$304,A91))</f>
        <v/>
      </c>
      <c r="G91" s="46">
        <f>IF(A91="","",SUMIFS('صرف المواد'!$G$5:$G$304,'صرف المواد'!$C$5:$C$304,A91))</f>
        <v/>
      </c>
      <c r="H91" s="46">
        <f>IF(A91="","",F91-G91)</f>
        <v/>
      </c>
      <c r="I91" s="41" t="n"/>
      <c r="J91" s="46">
        <f>IF(A91="","",IFERROR(SUMIFS('أوامر التوريد'!$L$5:$L$304,'أوامر التوريد'!$G$5:$G$304,A91)/E91,0))</f>
        <v/>
      </c>
      <c r="K91" s="46">
        <f>IF(A91="","",H91*J91)</f>
        <v/>
      </c>
      <c r="L91" s="49">
        <f>IF(A91="","",IF(H91&lt;0,"رصيد سالب!",IF(AND(I91&lt;&gt;"",H91&lt;=I91),"أعد الطلب","متاح")))</f>
        <v/>
      </c>
    </row>
    <row r="92">
      <c r="A92" s="50" t="n"/>
      <c r="B92" s="49">
        <f>IF(A92="","",IFERROR(INDEX('أوامر التوريد'!$H$5:$H$304,MATCH(A92,'أوامر التوريد'!$G$5:$G$304,0)),""))</f>
        <v/>
      </c>
      <c r="C92" s="39">
        <f>IF(A92="","",IFERROR(INDEX('أوامر التوريد'!$C$5:$C$304,MATCH(A92,'أوامر التوريد'!$G$5:$G$304,0)),""))</f>
        <v/>
      </c>
      <c r="D92" s="39">
        <f>IF(A92="","",IFERROR(INDEX('أوامر التوريد'!$I$5:$I$304,MATCH(A92,'أوامر التوريد'!$G$5:$G$304,0)),""))</f>
        <v/>
      </c>
      <c r="E92" s="46">
        <f>IF(A92="","",SUMIFS('أوامر التوريد'!$J$5:$J$304,'أوامر التوريد'!$G$5:$G$304,A92))</f>
        <v/>
      </c>
      <c r="F92" s="46">
        <f>IF(A92="","",SUMIFS('استلام المواد'!$K$5:$K$304,'استلام المواد'!$F$5:$F$304,A92))</f>
        <v/>
      </c>
      <c r="G92" s="46">
        <f>IF(A92="","",SUMIFS('صرف المواد'!$G$5:$G$304,'صرف المواد'!$C$5:$C$304,A92))</f>
        <v/>
      </c>
      <c r="H92" s="46">
        <f>IF(A92="","",F92-G92)</f>
        <v/>
      </c>
      <c r="I92" s="41" t="n"/>
      <c r="J92" s="46">
        <f>IF(A92="","",IFERROR(SUMIFS('أوامر التوريد'!$L$5:$L$304,'أوامر التوريد'!$G$5:$G$304,A92)/E92,0))</f>
        <v/>
      </c>
      <c r="K92" s="46">
        <f>IF(A92="","",H92*J92)</f>
        <v/>
      </c>
      <c r="L92" s="49">
        <f>IF(A92="","",IF(H92&lt;0,"رصيد سالب!",IF(AND(I92&lt;&gt;"",H92&lt;=I92),"أعد الطلب","متاح")))</f>
        <v/>
      </c>
    </row>
    <row r="93">
      <c r="A93" s="50" t="n"/>
      <c r="B93" s="49">
        <f>IF(A93="","",IFERROR(INDEX('أوامر التوريد'!$H$5:$H$304,MATCH(A93,'أوامر التوريد'!$G$5:$G$304,0)),""))</f>
        <v/>
      </c>
      <c r="C93" s="39">
        <f>IF(A93="","",IFERROR(INDEX('أوامر التوريد'!$C$5:$C$304,MATCH(A93,'أوامر التوريد'!$G$5:$G$304,0)),""))</f>
        <v/>
      </c>
      <c r="D93" s="39">
        <f>IF(A93="","",IFERROR(INDEX('أوامر التوريد'!$I$5:$I$304,MATCH(A93,'أوامر التوريد'!$G$5:$G$304,0)),""))</f>
        <v/>
      </c>
      <c r="E93" s="46">
        <f>IF(A93="","",SUMIFS('أوامر التوريد'!$J$5:$J$304,'أوامر التوريد'!$G$5:$G$304,A93))</f>
        <v/>
      </c>
      <c r="F93" s="46">
        <f>IF(A93="","",SUMIFS('استلام المواد'!$K$5:$K$304,'استلام المواد'!$F$5:$F$304,A93))</f>
        <v/>
      </c>
      <c r="G93" s="46">
        <f>IF(A93="","",SUMIFS('صرف المواد'!$G$5:$G$304,'صرف المواد'!$C$5:$C$304,A93))</f>
        <v/>
      </c>
      <c r="H93" s="46">
        <f>IF(A93="","",F93-G93)</f>
        <v/>
      </c>
      <c r="I93" s="41" t="n"/>
      <c r="J93" s="46">
        <f>IF(A93="","",IFERROR(SUMIFS('أوامر التوريد'!$L$5:$L$304,'أوامر التوريد'!$G$5:$G$304,A93)/E93,0))</f>
        <v/>
      </c>
      <c r="K93" s="46">
        <f>IF(A93="","",H93*J93)</f>
        <v/>
      </c>
      <c r="L93" s="49">
        <f>IF(A93="","",IF(H93&lt;0,"رصيد سالب!",IF(AND(I93&lt;&gt;"",H93&lt;=I93),"أعد الطلب","متاح")))</f>
        <v/>
      </c>
    </row>
    <row r="94">
      <c r="A94" s="50" t="n"/>
      <c r="B94" s="49">
        <f>IF(A94="","",IFERROR(INDEX('أوامر التوريد'!$H$5:$H$304,MATCH(A94,'أوامر التوريد'!$G$5:$G$304,0)),""))</f>
        <v/>
      </c>
      <c r="C94" s="39">
        <f>IF(A94="","",IFERROR(INDEX('أوامر التوريد'!$C$5:$C$304,MATCH(A94,'أوامر التوريد'!$G$5:$G$304,0)),""))</f>
        <v/>
      </c>
      <c r="D94" s="39">
        <f>IF(A94="","",IFERROR(INDEX('أوامر التوريد'!$I$5:$I$304,MATCH(A94,'أوامر التوريد'!$G$5:$G$304,0)),""))</f>
        <v/>
      </c>
      <c r="E94" s="46">
        <f>IF(A94="","",SUMIFS('أوامر التوريد'!$J$5:$J$304,'أوامر التوريد'!$G$5:$G$304,A94))</f>
        <v/>
      </c>
      <c r="F94" s="46">
        <f>IF(A94="","",SUMIFS('استلام المواد'!$K$5:$K$304,'استلام المواد'!$F$5:$F$304,A94))</f>
        <v/>
      </c>
      <c r="G94" s="46">
        <f>IF(A94="","",SUMIFS('صرف المواد'!$G$5:$G$304,'صرف المواد'!$C$5:$C$304,A94))</f>
        <v/>
      </c>
      <c r="H94" s="46">
        <f>IF(A94="","",F94-G94)</f>
        <v/>
      </c>
      <c r="I94" s="41" t="n"/>
      <c r="J94" s="46">
        <f>IF(A94="","",IFERROR(SUMIFS('أوامر التوريد'!$L$5:$L$304,'أوامر التوريد'!$G$5:$G$304,A94)/E94,0))</f>
        <v/>
      </c>
      <c r="K94" s="46">
        <f>IF(A94="","",H94*J94)</f>
        <v/>
      </c>
      <c r="L94" s="49">
        <f>IF(A94="","",IF(H94&lt;0,"رصيد سالب!",IF(AND(I94&lt;&gt;"",H94&lt;=I94),"أعد الطلب","متاح")))</f>
        <v/>
      </c>
    </row>
    <row r="95">
      <c r="A95" s="50" t="n"/>
      <c r="B95" s="49">
        <f>IF(A95="","",IFERROR(INDEX('أوامر التوريد'!$H$5:$H$304,MATCH(A95,'أوامر التوريد'!$G$5:$G$304,0)),""))</f>
        <v/>
      </c>
      <c r="C95" s="39">
        <f>IF(A95="","",IFERROR(INDEX('أوامر التوريد'!$C$5:$C$304,MATCH(A95,'أوامر التوريد'!$G$5:$G$304,0)),""))</f>
        <v/>
      </c>
      <c r="D95" s="39">
        <f>IF(A95="","",IFERROR(INDEX('أوامر التوريد'!$I$5:$I$304,MATCH(A95,'أوامر التوريد'!$G$5:$G$304,0)),""))</f>
        <v/>
      </c>
      <c r="E95" s="46">
        <f>IF(A95="","",SUMIFS('أوامر التوريد'!$J$5:$J$304,'أوامر التوريد'!$G$5:$G$304,A95))</f>
        <v/>
      </c>
      <c r="F95" s="46">
        <f>IF(A95="","",SUMIFS('استلام المواد'!$K$5:$K$304,'استلام المواد'!$F$5:$F$304,A95))</f>
        <v/>
      </c>
      <c r="G95" s="46">
        <f>IF(A95="","",SUMIFS('صرف المواد'!$G$5:$G$304,'صرف المواد'!$C$5:$C$304,A95))</f>
        <v/>
      </c>
      <c r="H95" s="46">
        <f>IF(A95="","",F95-G95)</f>
        <v/>
      </c>
      <c r="I95" s="41" t="n"/>
      <c r="J95" s="46">
        <f>IF(A95="","",IFERROR(SUMIFS('أوامر التوريد'!$L$5:$L$304,'أوامر التوريد'!$G$5:$G$304,A95)/E95,0))</f>
        <v/>
      </c>
      <c r="K95" s="46">
        <f>IF(A95="","",H95*J95)</f>
        <v/>
      </c>
      <c r="L95" s="49">
        <f>IF(A95="","",IF(H95&lt;0,"رصيد سالب!",IF(AND(I95&lt;&gt;"",H95&lt;=I95),"أعد الطلب","متاح")))</f>
        <v/>
      </c>
    </row>
    <row r="96">
      <c r="A96" s="50" t="n"/>
      <c r="B96" s="49">
        <f>IF(A96="","",IFERROR(INDEX('أوامر التوريد'!$H$5:$H$304,MATCH(A96,'أوامر التوريد'!$G$5:$G$304,0)),""))</f>
        <v/>
      </c>
      <c r="C96" s="39">
        <f>IF(A96="","",IFERROR(INDEX('أوامر التوريد'!$C$5:$C$304,MATCH(A96,'أوامر التوريد'!$G$5:$G$304,0)),""))</f>
        <v/>
      </c>
      <c r="D96" s="39">
        <f>IF(A96="","",IFERROR(INDEX('أوامر التوريد'!$I$5:$I$304,MATCH(A96,'أوامر التوريد'!$G$5:$G$304,0)),""))</f>
        <v/>
      </c>
      <c r="E96" s="46">
        <f>IF(A96="","",SUMIFS('أوامر التوريد'!$J$5:$J$304,'أوامر التوريد'!$G$5:$G$304,A96))</f>
        <v/>
      </c>
      <c r="F96" s="46">
        <f>IF(A96="","",SUMIFS('استلام المواد'!$K$5:$K$304,'استلام المواد'!$F$5:$F$304,A96))</f>
        <v/>
      </c>
      <c r="G96" s="46">
        <f>IF(A96="","",SUMIFS('صرف المواد'!$G$5:$G$304,'صرف المواد'!$C$5:$C$304,A96))</f>
        <v/>
      </c>
      <c r="H96" s="46">
        <f>IF(A96="","",F96-G96)</f>
        <v/>
      </c>
      <c r="I96" s="41" t="n"/>
      <c r="J96" s="46">
        <f>IF(A96="","",IFERROR(SUMIFS('أوامر التوريد'!$L$5:$L$304,'أوامر التوريد'!$G$5:$G$304,A96)/E96,0))</f>
        <v/>
      </c>
      <c r="K96" s="46">
        <f>IF(A96="","",H96*J96)</f>
        <v/>
      </c>
      <c r="L96" s="49">
        <f>IF(A96="","",IF(H96&lt;0,"رصيد سالب!",IF(AND(I96&lt;&gt;"",H96&lt;=I96),"أعد الطلب","متاح")))</f>
        <v/>
      </c>
    </row>
    <row r="97">
      <c r="A97" s="50" t="n"/>
      <c r="B97" s="49">
        <f>IF(A97="","",IFERROR(INDEX('أوامر التوريد'!$H$5:$H$304,MATCH(A97,'أوامر التوريد'!$G$5:$G$304,0)),""))</f>
        <v/>
      </c>
      <c r="C97" s="39">
        <f>IF(A97="","",IFERROR(INDEX('أوامر التوريد'!$C$5:$C$304,MATCH(A97,'أوامر التوريد'!$G$5:$G$304,0)),""))</f>
        <v/>
      </c>
      <c r="D97" s="39">
        <f>IF(A97="","",IFERROR(INDEX('أوامر التوريد'!$I$5:$I$304,MATCH(A97,'أوامر التوريد'!$G$5:$G$304,0)),""))</f>
        <v/>
      </c>
      <c r="E97" s="46">
        <f>IF(A97="","",SUMIFS('أوامر التوريد'!$J$5:$J$304,'أوامر التوريد'!$G$5:$G$304,A97))</f>
        <v/>
      </c>
      <c r="F97" s="46">
        <f>IF(A97="","",SUMIFS('استلام المواد'!$K$5:$K$304,'استلام المواد'!$F$5:$F$304,A97))</f>
        <v/>
      </c>
      <c r="G97" s="46">
        <f>IF(A97="","",SUMIFS('صرف المواد'!$G$5:$G$304,'صرف المواد'!$C$5:$C$304,A97))</f>
        <v/>
      </c>
      <c r="H97" s="46">
        <f>IF(A97="","",F97-G97)</f>
        <v/>
      </c>
      <c r="I97" s="41" t="n"/>
      <c r="J97" s="46">
        <f>IF(A97="","",IFERROR(SUMIFS('أوامر التوريد'!$L$5:$L$304,'أوامر التوريد'!$G$5:$G$304,A97)/E97,0))</f>
        <v/>
      </c>
      <c r="K97" s="46">
        <f>IF(A97="","",H97*J97)</f>
        <v/>
      </c>
      <c r="L97" s="49">
        <f>IF(A97="","",IF(H97&lt;0,"رصيد سالب!",IF(AND(I97&lt;&gt;"",H97&lt;=I97),"أعد الطلب","متاح")))</f>
        <v/>
      </c>
    </row>
    <row r="98">
      <c r="A98" s="50" t="n"/>
      <c r="B98" s="49">
        <f>IF(A98="","",IFERROR(INDEX('أوامر التوريد'!$H$5:$H$304,MATCH(A98,'أوامر التوريد'!$G$5:$G$304,0)),""))</f>
        <v/>
      </c>
      <c r="C98" s="39">
        <f>IF(A98="","",IFERROR(INDEX('أوامر التوريد'!$C$5:$C$304,MATCH(A98,'أوامر التوريد'!$G$5:$G$304,0)),""))</f>
        <v/>
      </c>
      <c r="D98" s="39">
        <f>IF(A98="","",IFERROR(INDEX('أوامر التوريد'!$I$5:$I$304,MATCH(A98,'أوامر التوريد'!$G$5:$G$304,0)),""))</f>
        <v/>
      </c>
      <c r="E98" s="46">
        <f>IF(A98="","",SUMIFS('أوامر التوريد'!$J$5:$J$304,'أوامر التوريد'!$G$5:$G$304,A98))</f>
        <v/>
      </c>
      <c r="F98" s="46">
        <f>IF(A98="","",SUMIFS('استلام المواد'!$K$5:$K$304,'استلام المواد'!$F$5:$F$304,A98))</f>
        <v/>
      </c>
      <c r="G98" s="46">
        <f>IF(A98="","",SUMIFS('صرف المواد'!$G$5:$G$304,'صرف المواد'!$C$5:$C$304,A98))</f>
        <v/>
      </c>
      <c r="H98" s="46">
        <f>IF(A98="","",F98-G98)</f>
        <v/>
      </c>
      <c r="I98" s="41" t="n"/>
      <c r="J98" s="46">
        <f>IF(A98="","",IFERROR(SUMIFS('أوامر التوريد'!$L$5:$L$304,'أوامر التوريد'!$G$5:$G$304,A98)/E98,0))</f>
        <v/>
      </c>
      <c r="K98" s="46">
        <f>IF(A98="","",H98*J98)</f>
        <v/>
      </c>
      <c r="L98" s="49">
        <f>IF(A98="","",IF(H98&lt;0,"رصيد سالب!",IF(AND(I98&lt;&gt;"",H98&lt;=I98),"أعد الطلب","متاح")))</f>
        <v/>
      </c>
    </row>
    <row r="99">
      <c r="A99" s="50" t="n"/>
      <c r="B99" s="49">
        <f>IF(A99="","",IFERROR(INDEX('أوامر التوريد'!$H$5:$H$304,MATCH(A99,'أوامر التوريد'!$G$5:$G$304,0)),""))</f>
        <v/>
      </c>
      <c r="C99" s="39">
        <f>IF(A99="","",IFERROR(INDEX('أوامر التوريد'!$C$5:$C$304,MATCH(A99,'أوامر التوريد'!$G$5:$G$304,0)),""))</f>
        <v/>
      </c>
      <c r="D99" s="39">
        <f>IF(A99="","",IFERROR(INDEX('أوامر التوريد'!$I$5:$I$304,MATCH(A99,'أوامر التوريد'!$G$5:$G$304,0)),""))</f>
        <v/>
      </c>
      <c r="E99" s="46">
        <f>IF(A99="","",SUMIFS('أوامر التوريد'!$J$5:$J$304,'أوامر التوريد'!$G$5:$G$304,A99))</f>
        <v/>
      </c>
      <c r="F99" s="46">
        <f>IF(A99="","",SUMIFS('استلام المواد'!$K$5:$K$304,'استلام المواد'!$F$5:$F$304,A99))</f>
        <v/>
      </c>
      <c r="G99" s="46">
        <f>IF(A99="","",SUMIFS('صرف المواد'!$G$5:$G$304,'صرف المواد'!$C$5:$C$304,A99))</f>
        <v/>
      </c>
      <c r="H99" s="46">
        <f>IF(A99="","",F99-G99)</f>
        <v/>
      </c>
      <c r="I99" s="41" t="n"/>
      <c r="J99" s="46">
        <f>IF(A99="","",IFERROR(SUMIFS('أوامر التوريد'!$L$5:$L$304,'أوامر التوريد'!$G$5:$G$304,A99)/E99,0))</f>
        <v/>
      </c>
      <c r="K99" s="46">
        <f>IF(A99="","",H99*J99)</f>
        <v/>
      </c>
      <c r="L99" s="49">
        <f>IF(A99="","",IF(H99&lt;0,"رصيد سالب!",IF(AND(I99&lt;&gt;"",H99&lt;=I99),"أعد الطلب","متاح")))</f>
        <v/>
      </c>
    </row>
    <row r="100">
      <c r="A100" s="50" t="n"/>
      <c r="B100" s="49">
        <f>IF(A100="","",IFERROR(INDEX('أوامر التوريد'!$H$5:$H$304,MATCH(A100,'أوامر التوريد'!$G$5:$G$304,0)),""))</f>
        <v/>
      </c>
      <c r="C100" s="39">
        <f>IF(A100="","",IFERROR(INDEX('أوامر التوريد'!$C$5:$C$304,MATCH(A100,'أوامر التوريد'!$G$5:$G$304,0)),""))</f>
        <v/>
      </c>
      <c r="D100" s="39">
        <f>IF(A100="","",IFERROR(INDEX('أوامر التوريد'!$I$5:$I$304,MATCH(A100,'أوامر التوريد'!$G$5:$G$304,0)),""))</f>
        <v/>
      </c>
      <c r="E100" s="46">
        <f>IF(A100="","",SUMIFS('أوامر التوريد'!$J$5:$J$304,'أوامر التوريد'!$G$5:$G$304,A100))</f>
        <v/>
      </c>
      <c r="F100" s="46">
        <f>IF(A100="","",SUMIFS('استلام المواد'!$K$5:$K$304,'استلام المواد'!$F$5:$F$304,A100))</f>
        <v/>
      </c>
      <c r="G100" s="46">
        <f>IF(A100="","",SUMIFS('صرف المواد'!$G$5:$G$304,'صرف المواد'!$C$5:$C$304,A100))</f>
        <v/>
      </c>
      <c r="H100" s="46">
        <f>IF(A100="","",F100-G100)</f>
        <v/>
      </c>
      <c r="I100" s="41" t="n"/>
      <c r="J100" s="46">
        <f>IF(A100="","",IFERROR(SUMIFS('أوامر التوريد'!$L$5:$L$304,'أوامر التوريد'!$G$5:$G$304,A100)/E100,0))</f>
        <v/>
      </c>
      <c r="K100" s="46">
        <f>IF(A100="","",H100*J100)</f>
        <v/>
      </c>
      <c r="L100" s="49">
        <f>IF(A100="","",IF(H100&lt;0,"رصيد سالب!",IF(AND(I100&lt;&gt;"",H100&lt;=I100),"أعد الطلب","متاح")))</f>
        <v/>
      </c>
    </row>
    <row r="101">
      <c r="A101" s="50" t="n"/>
      <c r="B101" s="49">
        <f>IF(A101="","",IFERROR(INDEX('أوامر التوريد'!$H$5:$H$304,MATCH(A101,'أوامر التوريد'!$G$5:$G$304,0)),""))</f>
        <v/>
      </c>
      <c r="C101" s="39">
        <f>IF(A101="","",IFERROR(INDEX('أوامر التوريد'!$C$5:$C$304,MATCH(A101,'أوامر التوريد'!$G$5:$G$304,0)),""))</f>
        <v/>
      </c>
      <c r="D101" s="39">
        <f>IF(A101="","",IFERROR(INDEX('أوامر التوريد'!$I$5:$I$304,MATCH(A101,'أوامر التوريد'!$G$5:$G$304,0)),""))</f>
        <v/>
      </c>
      <c r="E101" s="46">
        <f>IF(A101="","",SUMIFS('أوامر التوريد'!$J$5:$J$304,'أوامر التوريد'!$G$5:$G$304,A101))</f>
        <v/>
      </c>
      <c r="F101" s="46">
        <f>IF(A101="","",SUMIFS('استلام المواد'!$K$5:$K$304,'استلام المواد'!$F$5:$F$304,A101))</f>
        <v/>
      </c>
      <c r="G101" s="46">
        <f>IF(A101="","",SUMIFS('صرف المواد'!$G$5:$G$304,'صرف المواد'!$C$5:$C$304,A101))</f>
        <v/>
      </c>
      <c r="H101" s="46">
        <f>IF(A101="","",F101-G101)</f>
        <v/>
      </c>
      <c r="I101" s="41" t="n"/>
      <c r="J101" s="46">
        <f>IF(A101="","",IFERROR(SUMIFS('أوامر التوريد'!$L$5:$L$304,'أوامر التوريد'!$G$5:$G$304,A101)/E101,0))</f>
        <v/>
      </c>
      <c r="K101" s="46">
        <f>IF(A101="","",H101*J101)</f>
        <v/>
      </c>
      <c r="L101" s="49">
        <f>IF(A101="","",IF(H101&lt;0,"رصيد سالب!",IF(AND(I101&lt;&gt;"",H101&lt;=I101),"أعد الطلب","متاح")))</f>
        <v/>
      </c>
    </row>
    <row r="102">
      <c r="A102" s="50" t="n"/>
      <c r="B102" s="49">
        <f>IF(A102="","",IFERROR(INDEX('أوامر التوريد'!$H$5:$H$304,MATCH(A102,'أوامر التوريد'!$G$5:$G$304,0)),""))</f>
        <v/>
      </c>
      <c r="C102" s="39">
        <f>IF(A102="","",IFERROR(INDEX('أوامر التوريد'!$C$5:$C$304,MATCH(A102,'أوامر التوريد'!$G$5:$G$304,0)),""))</f>
        <v/>
      </c>
      <c r="D102" s="39">
        <f>IF(A102="","",IFERROR(INDEX('أوامر التوريد'!$I$5:$I$304,MATCH(A102,'أوامر التوريد'!$G$5:$G$304,0)),""))</f>
        <v/>
      </c>
      <c r="E102" s="46">
        <f>IF(A102="","",SUMIFS('أوامر التوريد'!$J$5:$J$304,'أوامر التوريد'!$G$5:$G$304,A102))</f>
        <v/>
      </c>
      <c r="F102" s="46">
        <f>IF(A102="","",SUMIFS('استلام المواد'!$K$5:$K$304,'استلام المواد'!$F$5:$F$304,A102))</f>
        <v/>
      </c>
      <c r="G102" s="46">
        <f>IF(A102="","",SUMIFS('صرف المواد'!$G$5:$G$304,'صرف المواد'!$C$5:$C$304,A102))</f>
        <v/>
      </c>
      <c r="H102" s="46">
        <f>IF(A102="","",F102-G102)</f>
        <v/>
      </c>
      <c r="I102" s="41" t="n"/>
      <c r="J102" s="46">
        <f>IF(A102="","",IFERROR(SUMIFS('أوامر التوريد'!$L$5:$L$304,'أوامر التوريد'!$G$5:$G$304,A102)/E102,0))</f>
        <v/>
      </c>
      <c r="K102" s="46">
        <f>IF(A102="","",H102*J102)</f>
        <v/>
      </c>
      <c r="L102" s="49">
        <f>IF(A102="","",IF(H102&lt;0,"رصيد سالب!",IF(AND(I102&lt;&gt;"",H102&lt;=I102),"أعد الطلب","متاح")))</f>
        <v/>
      </c>
    </row>
    <row r="103">
      <c r="A103" s="50" t="n"/>
      <c r="B103" s="49">
        <f>IF(A103="","",IFERROR(INDEX('أوامر التوريد'!$H$5:$H$304,MATCH(A103,'أوامر التوريد'!$G$5:$G$304,0)),""))</f>
        <v/>
      </c>
      <c r="C103" s="39">
        <f>IF(A103="","",IFERROR(INDEX('أوامر التوريد'!$C$5:$C$304,MATCH(A103,'أوامر التوريد'!$G$5:$G$304,0)),""))</f>
        <v/>
      </c>
      <c r="D103" s="39">
        <f>IF(A103="","",IFERROR(INDEX('أوامر التوريد'!$I$5:$I$304,MATCH(A103,'أوامر التوريد'!$G$5:$G$304,0)),""))</f>
        <v/>
      </c>
      <c r="E103" s="46">
        <f>IF(A103="","",SUMIFS('أوامر التوريد'!$J$5:$J$304,'أوامر التوريد'!$G$5:$G$304,A103))</f>
        <v/>
      </c>
      <c r="F103" s="46">
        <f>IF(A103="","",SUMIFS('استلام المواد'!$K$5:$K$304,'استلام المواد'!$F$5:$F$304,A103))</f>
        <v/>
      </c>
      <c r="G103" s="46">
        <f>IF(A103="","",SUMIFS('صرف المواد'!$G$5:$G$304,'صرف المواد'!$C$5:$C$304,A103))</f>
        <v/>
      </c>
      <c r="H103" s="46">
        <f>IF(A103="","",F103-G103)</f>
        <v/>
      </c>
      <c r="I103" s="41" t="n"/>
      <c r="J103" s="46">
        <f>IF(A103="","",IFERROR(SUMIFS('أوامر التوريد'!$L$5:$L$304,'أوامر التوريد'!$G$5:$G$304,A103)/E103,0))</f>
        <v/>
      </c>
      <c r="K103" s="46">
        <f>IF(A103="","",H103*J103)</f>
        <v/>
      </c>
      <c r="L103" s="49">
        <f>IF(A103="","",IF(H103&lt;0,"رصيد سالب!",IF(AND(I103&lt;&gt;"",H103&lt;=I103),"أعد الطلب","متاح")))</f>
        <v/>
      </c>
    </row>
    <row r="104">
      <c r="A104" s="50" t="n"/>
      <c r="B104" s="49">
        <f>IF(A104="","",IFERROR(INDEX('أوامر التوريد'!$H$5:$H$304,MATCH(A104,'أوامر التوريد'!$G$5:$G$304,0)),""))</f>
        <v/>
      </c>
      <c r="C104" s="39">
        <f>IF(A104="","",IFERROR(INDEX('أوامر التوريد'!$C$5:$C$304,MATCH(A104,'أوامر التوريد'!$G$5:$G$304,0)),""))</f>
        <v/>
      </c>
      <c r="D104" s="39">
        <f>IF(A104="","",IFERROR(INDEX('أوامر التوريد'!$I$5:$I$304,MATCH(A104,'أوامر التوريد'!$G$5:$G$304,0)),""))</f>
        <v/>
      </c>
      <c r="E104" s="46">
        <f>IF(A104="","",SUMIFS('أوامر التوريد'!$J$5:$J$304,'أوامر التوريد'!$G$5:$G$304,A104))</f>
        <v/>
      </c>
      <c r="F104" s="46">
        <f>IF(A104="","",SUMIFS('استلام المواد'!$K$5:$K$304,'استلام المواد'!$F$5:$F$304,A104))</f>
        <v/>
      </c>
      <c r="G104" s="46">
        <f>IF(A104="","",SUMIFS('صرف المواد'!$G$5:$G$304,'صرف المواد'!$C$5:$C$304,A104))</f>
        <v/>
      </c>
      <c r="H104" s="46">
        <f>IF(A104="","",F104-G104)</f>
        <v/>
      </c>
      <c r="I104" s="41" t="n"/>
      <c r="J104" s="46">
        <f>IF(A104="","",IFERROR(SUMIFS('أوامر التوريد'!$L$5:$L$304,'أوامر التوريد'!$G$5:$G$304,A104)/E104,0))</f>
        <v/>
      </c>
      <c r="K104" s="46">
        <f>IF(A104="","",H104*J104)</f>
        <v/>
      </c>
      <c r="L104" s="49">
        <f>IF(A104="","",IF(H104&lt;0,"رصيد سالب!",IF(AND(I104&lt;&gt;"",H104&lt;=I104),"أعد الطلب","متاح")))</f>
        <v/>
      </c>
    </row>
    <row r="105">
      <c r="A105" s="50" t="n"/>
      <c r="B105" s="49">
        <f>IF(A105="","",IFERROR(INDEX('أوامر التوريد'!$H$5:$H$304,MATCH(A105,'أوامر التوريد'!$G$5:$G$304,0)),""))</f>
        <v/>
      </c>
      <c r="C105" s="39">
        <f>IF(A105="","",IFERROR(INDEX('أوامر التوريد'!$C$5:$C$304,MATCH(A105,'أوامر التوريد'!$G$5:$G$304,0)),""))</f>
        <v/>
      </c>
      <c r="D105" s="39">
        <f>IF(A105="","",IFERROR(INDEX('أوامر التوريد'!$I$5:$I$304,MATCH(A105,'أوامر التوريد'!$G$5:$G$304,0)),""))</f>
        <v/>
      </c>
      <c r="E105" s="46">
        <f>IF(A105="","",SUMIFS('أوامر التوريد'!$J$5:$J$304,'أوامر التوريد'!$G$5:$G$304,A105))</f>
        <v/>
      </c>
      <c r="F105" s="46">
        <f>IF(A105="","",SUMIFS('استلام المواد'!$K$5:$K$304,'استلام المواد'!$F$5:$F$304,A105))</f>
        <v/>
      </c>
      <c r="G105" s="46">
        <f>IF(A105="","",SUMIFS('صرف المواد'!$G$5:$G$304,'صرف المواد'!$C$5:$C$304,A105))</f>
        <v/>
      </c>
      <c r="H105" s="46">
        <f>IF(A105="","",F105-G105)</f>
        <v/>
      </c>
      <c r="I105" s="41" t="n"/>
      <c r="J105" s="46">
        <f>IF(A105="","",IFERROR(SUMIFS('أوامر التوريد'!$L$5:$L$304,'أوامر التوريد'!$G$5:$G$304,A105)/E105,0))</f>
        <v/>
      </c>
      <c r="K105" s="46">
        <f>IF(A105="","",H105*J105)</f>
        <v/>
      </c>
      <c r="L105" s="49">
        <f>IF(A105="","",IF(H105&lt;0,"رصيد سالب!",IF(AND(I105&lt;&gt;"",H105&lt;=I105),"أعد الطلب","متاح")))</f>
        <v/>
      </c>
    </row>
    <row r="106">
      <c r="A106" s="50" t="n"/>
      <c r="B106" s="49">
        <f>IF(A106="","",IFERROR(INDEX('أوامر التوريد'!$H$5:$H$304,MATCH(A106,'أوامر التوريد'!$G$5:$G$304,0)),""))</f>
        <v/>
      </c>
      <c r="C106" s="39">
        <f>IF(A106="","",IFERROR(INDEX('أوامر التوريد'!$C$5:$C$304,MATCH(A106,'أوامر التوريد'!$G$5:$G$304,0)),""))</f>
        <v/>
      </c>
      <c r="D106" s="39">
        <f>IF(A106="","",IFERROR(INDEX('أوامر التوريد'!$I$5:$I$304,MATCH(A106,'أوامر التوريد'!$G$5:$G$304,0)),""))</f>
        <v/>
      </c>
      <c r="E106" s="46">
        <f>IF(A106="","",SUMIFS('أوامر التوريد'!$J$5:$J$304,'أوامر التوريد'!$G$5:$G$304,A106))</f>
        <v/>
      </c>
      <c r="F106" s="46">
        <f>IF(A106="","",SUMIFS('استلام المواد'!$K$5:$K$304,'استلام المواد'!$F$5:$F$304,A106))</f>
        <v/>
      </c>
      <c r="G106" s="46">
        <f>IF(A106="","",SUMIFS('صرف المواد'!$G$5:$G$304,'صرف المواد'!$C$5:$C$304,A106))</f>
        <v/>
      </c>
      <c r="H106" s="46">
        <f>IF(A106="","",F106-G106)</f>
        <v/>
      </c>
      <c r="I106" s="41" t="n"/>
      <c r="J106" s="46">
        <f>IF(A106="","",IFERROR(SUMIFS('أوامر التوريد'!$L$5:$L$304,'أوامر التوريد'!$G$5:$G$304,A106)/E106,0))</f>
        <v/>
      </c>
      <c r="K106" s="46">
        <f>IF(A106="","",H106*J106)</f>
        <v/>
      </c>
      <c r="L106" s="49">
        <f>IF(A106="","",IF(H106&lt;0,"رصيد سالب!",IF(AND(I106&lt;&gt;"",H106&lt;=I106),"أعد الطلب","متاح")))</f>
        <v/>
      </c>
    </row>
    <row r="107">
      <c r="A107" s="50" t="n"/>
      <c r="B107" s="49">
        <f>IF(A107="","",IFERROR(INDEX('أوامر التوريد'!$H$5:$H$304,MATCH(A107,'أوامر التوريد'!$G$5:$G$304,0)),""))</f>
        <v/>
      </c>
      <c r="C107" s="39">
        <f>IF(A107="","",IFERROR(INDEX('أوامر التوريد'!$C$5:$C$304,MATCH(A107,'أوامر التوريد'!$G$5:$G$304,0)),""))</f>
        <v/>
      </c>
      <c r="D107" s="39">
        <f>IF(A107="","",IFERROR(INDEX('أوامر التوريد'!$I$5:$I$304,MATCH(A107,'أوامر التوريد'!$G$5:$G$304,0)),""))</f>
        <v/>
      </c>
      <c r="E107" s="46">
        <f>IF(A107="","",SUMIFS('أوامر التوريد'!$J$5:$J$304,'أوامر التوريد'!$G$5:$G$304,A107))</f>
        <v/>
      </c>
      <c r="F107" s="46">
        <f>IF(A107="","",SUMIFS('استلام المواد'!$K$5:$K$304,'استلام المواد'!$F$5:$F$304,A107))</f>
        <v/>
      </c>
      <c r="G107" s="46">
        <f>IF(A107="","",SUMIFS('صرف المواد'!$G$5:$G$304,'صرف المواد'!$C$5:$C$304,A107))</f>
        <v/>
      </c>
      <c r="H107" s="46">
        <f>IF(A107="","",F107-G107)</f>
        <v/>
      </c>
      <c r="I107" s="41" t="n"/>
      <c r="J107" s="46">
        <f>IF(A107="","",IFERROR(SUMIFS('أوامر التوريد'!$L$5:$L$304,'أوامر التوريد'!$G$5:$G$304,A107)/E107,0))</f>
        <v/>
      </c>
      <c r="K107" s="46">
        <f>IF(A107="","",H107*J107)</f>
        <v/>
      </c>
      <c r="L107" s="49">
        <f>IF(A107="","",IF(H107&lt;0,"رصيد سالب!",IF(AND(I107&lt;&gt;"",H107&lt;=I107),"أعد الطلب","متاح")))</f>
        <v/>
      </c>
    </row>
    <row r="108">
      <c r="A108" s="50" t="n"/>
      <c r="B108" s="49">
        <f>IF(A108="","",IFERROR(INDEX('أوامر التوريد'!$H$5:$H$304,MATCH(A108,'أوامر التوريد'!$G$5:$G$304,0)),""))</f>
        <v/>
      </c>
      <c r="C108" s="39">
        <f>IF(A108="","",IFERROR(INDEX('أوامر التوريد'!$C$5:$C$304,MATCH(A108,'أوامر التوريد'!$G$5:$G$304,0)),""))</f>
        <v/>
      </c>
      <c r="D108" s="39">
        <f>IF(A108="","",IFERROR(INDEX('أوامر التوريد'!$I$5:$I$304,MATCH(A108,'أوامر التوريد'!$G$5:$G$304,0)),""))</f>
        <v/>
      </c>
      <c r="E108" s="46">
        <f>IF(A108="","",SUMIFS('أوامر التوريد'!$J$5:$J$304,'أوامر التوريد'!$G$5:$G$304,A108))</f>
        <v/>
      </c>
      <c r="F108" s="46">
        <f>IF(A108="","",SUMIFS('استلام المواد'!$K$5:$K$304,'استلام المواد'!$F$5:$F$304,A108))</f>
        <v/>
      </c>
      <c r="G108" s="46">
        <f>IF(A108="","",SUMIFS('صرف المواد'!$G$5:$G$304,'صرف المواد'!$C$5:$C$304,A108))</f>
        <v/>
      </c>
      <c r="H108" s="46">
        <f>IF(A108="","",F108-G108)</f>
        <v/>
      </c>
      <c r="I108" s="41" t="n"/>
      <c r="J108" s="46">
        <f>IF(A108="","",IFERROR(SUMIFS('أوامر التوريد'!$L$5:$L$304,'أوامر التوريد'!$G$5:$G$304,A108)/E108,0))</f>
        <v/>
      </c>
      <c r="K108" s="46">
        <f>IF(A108="","",H108*J108)</f>
        <v/>
      </c>
      <c r="L108" s="49">
        <f>IF(A108="","",IF(H108&lt;0,"رصيد سالب!",IF(AND(I108&lt;&gt;"",H108&lt;=I108),"أعد الطلب","متاح")))</f>
        <v/>
      </c>
    </row>
    <row r="109">
      <c r="A109" s="50" t="n"/>
      <c r="B109" s="49">
        <f>IF(A109="","",IFERROR(INDEX('أوامر التوريد'!$H$5:$H$304,MATCH(A109,'أوامر التوريد'!$G$5:$G$304,0)),""))</f>
        <v/>
      </c>
      <c r="C109" s="39">
        <f>IF(A109="","",IFERROR(INDEX('أوامر التوريد'!$C$5:$C$304,MATCH(A109,'أوامر التوريد'!$G$5:$G$304,0)),""))</f>
        <v/>
      </c>
      <c r="D109" s="39">
        <f>IF(A109="","",IFERROR(INDEX('أوامر التوريد'!$I$5:$I$304,MATCH(A109,'أوامر التوريد'!$G$5:$G$304,0)),""))</f>
        <v/>
      </c>
      <c r="E109" s="46">
        <f>IF(A109="","",SUMIFS('أوامر التوريد'!$J$5:$J$304,'أوامر التوريد'!$G$5:$G$304,A109))</f>
        <v/>
      </c>
      <c r="F109" s="46">
        <f>IF(A109="","",SUMIFS('استلام المواد'!$K$5:$K$304,'استلام المواد'!$F$5:$F$304,A109))</f>
        <v/>
      </c>
      <c r="G109" s="46">
        <f>IF(A109="","",SUMIFS('صرف المواد'!$G$5:$G$304,'صرف المواد'!$C$5:$C$304,A109))</f>
        <v/>
      </c>
      <c r="H109" s="46">
        <f>IF(A109="","",F109-G109)</f>
        <v/>
      </c>
      <c r="I109" s="41" t="n"/>
      <c r="J109" s="46">
        <f>IF(A109="","",IFERROR(SUMIFS('أوامر التوريد'!$L$5:$L$304,'أوامر التوريد'!$G$5:$G$304,A109)/E109,0))</f>
        <v/>
      </c>
      <c r="K109" s="46">
        <f>IF(A109="","",H109*J109)</f>
        <v/>
      </c>
      <c r="L109" s="49">
        <f>IF(A109="","",IF(H109&lt;0,"رصيد سالب!",IF(AND(I109&lt;&gt;"",H109&lt;=I109),"أعد الطلب","متاح")))</f>
        <v/>
      </c>
    </row>
    <row r="110">
      <c r="A110" s="50" t="n"/>
      <c r="B110" s="49">
        <f>IF(A110="","",IFERROR(INDEX('أوامر التوريد'!$H$5:$H$304,MATCH(A110,'أوامر التوريد'!$G$5:$G$304,0)),""))</f>
        <v/>
      </c>
      <c r="C110" s="39">
        <f>IF(A110="","",IFERROR(INDEX('أوامر التوريد'!$C$5:$C$304,MATCH(A110,'أوامر التوريد'!$G$5:$G$304,0)),""))</f>
        <v/>
      </c>
      <c r="D110" s="39">
        <f>IF(A110="","",IFERROR(INDEX('أوامر التوريد'!$I$5:$I$304,MATCH(A110,'أوامر التوريد'!$G$5:$G$304,0)),""))</f>
        <v/>
      </c>
      <c r="E110" s="46">
        <f>IF(A110="","",SUMIFS('أوامر التوريد'!$J$5:$J$304,'أوامر التوريد'!$G$5:$G$304,A110))</f>
        <v/>
      </c>
      <c r="F110" s="46">
        <f>IF(A110="","",SUMIFS('استلام المواد'!$K$5:$K$304,'استلام المواد'!$F$5:$F$304,A110))</f>
        <v/>
      </c>
      <c r="G110" s="46">
        <f>IF(A110="","",SUMIFS('صرف المواد'!$G$5:$G$304,'صرف المواد'!$C$5:$C$304,A110))</f>
        <v/>
      </c>
      <c r="H110" s="46">
        <f>IF(A110="","",F110-G110)</f>
        <v/>
      </c>
      <c r="I110" s="41" t="n"/>
      <c r="J110" s="46">
        <f>IF(A110="","",IFERROR(SUMIFS('أوامر التوريد'!$L$5:$L$304,'أوامر التوريد'!$G$5:$G$304,A110)/E110,0))</f>
        <v/>
      </c>
      <c r="K110" s="46">
        <f>IF(A110="","",H110*J110)</f>
        <v/>
      </c>
      <c r="L110" s="49">
        <f>IF(A110="","",IF(H110&lt;0,"رصيد سالب!",IF(AND(I110&lt;&gt;"",H110&lt;=I110),"أعد الطلب","متاح")))</f>
        <v/>
      </c>
    </row>
    <row r="111">
      <c r="A111" s="50" t="n"/>
      <c r="B111" s="49">
        <f>IF(A111="","",IFERROR(INDEX('أوامر التوريد'!$H$5:$H$304,MATCH(A111,'أوامر التوريد'!$G$5:$G$304,0)),""))</f>
        <v/>
      </c>
      <c r="C111" s="39">
        <f>IF(A111="","",IFERROR(INDEX('أوامر التوريد'!$C$5:$C$304,MATCH(A111,'أوامر التوريد'!$G$5:$G$304,0)),""))</f>
        <v/>
      </c>
      <c r="D111" s="39">
        <f>IF(A111="","",IFERROR(INDEX('أوامر التوريد'!$I$5:$I$304,MATCH(A111,'أوامر التوريد'!$G$5:$G$304,0)),""))</f>
        <v/>
      </c>
      <c r="E111" s="46">
        <f>IF(A111="","",SUMIFS('أوامر التوريد'!$J$5:$J$304,'أوامر التوريد'!$G$5:$G$304,A111))</f>
        <v/>
      </c>
      <c r="F111" s="46">
        <f>IF(A111="","",SUMIFS('استلام المواد'!$K$5:$K$304,'استلام المواد'!$F$5:$F$304,A111))</f>
        <v/>
      </c>
      <c r="G111" s="46">
        <f>IF(A111="","",SUMIFS('صرف المواد'!$G$5:$G$304,'صرف المواد'!$C$5:$C$304,A111))</f>
        <v/>
      </c>
      <c r="H111" s="46">
        <f>IF(A111="","",F111-G111)</f>
        <v/>
      </c>
      <c r="I111" s="41" t="n"/>
      <c r="J111" s="46">
        <f>IF(A111="","",IFERROR(SUMIFS('أوامر التوريد'!$L$5:$L$304,'أوامر التوريد'!$G$5:$G$304,A111)/E111,0))</f>
        <v/>
      </c>
      <c r="K111" s="46">
        <f>IF(A111="","",H111*J111)</f>
        <v/>
      </c>
      <c r="L111" s="49">
        <f>IF(A111="","",IF(H111&lt;0,"رصيد سالب!",IF(AND(I111&lt;&gt;"",H111&lt;=I111),"أعد الطلب","متاح")))</f>
        <v/>
      </c>
    </row>
    <row r="112">
      <c r="A112" s="50" t="n"/>
      <c r="B112" s="49">
        <f>IF(A112="","",IFERROR(INDEX('أوامر التوريد'!$H$5:$H$304,MATCH(A112,'أوامر التوريد'!$G$5:$G$304,0)),""))</f>
        <v/>
      </c>
      <c r="C112" s="39">
        <f>IF(A112="","",IFERROR(INDEX('أوامر التوريد'!$C$5:$C$304,MATCH(A112,'أوامر التوريد'!$G$5:$G$304,0)),""))</f>
        <v/>
      </c>
      <c r="D112" s="39">
        <f>IF(A112="","",IFERROR(INDEX('أوامر التوريد'!$I$5:$I$304,MATCH(A112,'أوامر التوريد'!$G$5:$G$304,0)),""))</f>
        <v/>
      </c>
      <c r="E112" s="46">
        <f>IF(A112="","",SUMIFS('أوامر التوريد'!$J$5:$J$304,'أوامر التوريد'!$G$5:$G$304,A112))</f>
        <v/>
      </c>
      <c r="F112" s="46">
        <f>IF(A112="","",SUMIFS('استلام المواد'!$K$5:$K$304,'استلام المواد'!$F$5:$F$304,A112))</f>
        <v/>
      </c>
      <c r="G112" s="46">
        <f>IF(A112="","",SUMIFS('صرف المواد'!$G$5:$G$304,'صرف المواد'!$C$5:$C$304,A112))</f>
        <v/>
      </c>
      <c r="H112" s="46">
        <f>IF(A112="","",F112-G112)</f>
        <v/>
      </c>
      <c r="I112" s="41" t="n"/>
      <c r="J112" s="46">
        <f>IF(A112="","",IFERROR(SUMIFS('أوامر التوريد'!$L$5:$L$304,'أوامر التوريد'!$G$5:$G$304,A112)/E112,0))</f>
        <v/>
      </c>
      <c r="K112" s="46">
        <f>IF(A112="","",H112*J112)</f>
        <v/>
      </c>
      <c r="L112" s="49">
        <f>IF(A112="","",IF(H112&lt;0,"رصيد سالب!",IF(AND(I112&lt;&gt;"",H112&lt;=I112),"أعد الطلب","متاح")))</f>
        <v/>
      </c>
    </row>
    <row r="113">
      <c r="A113" s="50" t="n"/>
      <c r="B113" s="49">
        <f>IF(A113="","",IFERROR(INDEX('أوامر التوريد'!$H$5:$H$304,MATCH(A113,'أوامر التوريد'!$G$5:$G$304,0)),""))</f>
        <v/>
      </c>
      <c r="C113" s="39">
        <f>IF(A113="","",IFERROR(INDEX('أوامر التوريد'!$C$5:$C$304,MATCH(A113,'أوامر التوريد'!$G$5:$G$304,0)),""))</f>
        <v/>
      </c>
      <c r="D113" s="39">
        <f>IF(A113="","",IFERROR(INDEX('أوامر التوريد'!$I$5:$I$304,MATCH(A113,'أوامر التوريد'!$G$5:$G$304,0)),""))</f>
        <v/>
      </c>
      <c r="E113" s="46">
        <f>IF(A113="","",SUMIFS('أوامر التوريد'!$J$5:$J$304,'أوامر التوريد'!$G$5:$G$304,A113))</f>
        <v/>
      </c>
      <c r="F113" s="46">
        <f>IF(A113="","",SUMIFS('استلام المواد'!$K$5:$K$304,'استلام المواد'!$F$5:$F$304,A113))</f>
        <v/>
      </c>
      <c r="G113" s="46">
        <f>IF(A113="","",SUMIFS('صرف المواد'!$G$5:$G$304,'صرف المواد'!$C$5:$C$304,A113))</f>
        <v/>
      </c>
      <c r="H113" s="46">
        <f>IF(A113="","",F113-G113)</f>
        <v/>
      </c>
      <c r="I113" s="41" t="n"/>
      <c r="J113" s="46">
        <f>IF(A113="","",IFERROR(SUMIFS('أوامر التوريد'!$L$5:$L$304,'أوامر التوريد'!$G$5:$G$304,A113)/E113,0))</f>
        <v/>
      </c>
      <c r="K113" s="46">
        <f>IF(A113="","",H113*J113)</f>
        <v/>
      </c>
      <c r="L113" s="49">
        <f>IF(A113="","",IF(H113&lt;0,"رصيد سالب!",IF(AND(I113&lt;&gt;"",H113&lt;=I113),"أعد الطلب","متاح")))</f>
        <v/>
      </c>
    </row>
    <row r="114">
      <c r="A114" s="50" t="n"/>
      <c r="B114" s="49">
        <f>IF(A114="","",IFERROR(INDEX('أوامر التوريد'!$H$5:$H$304,MATCH(A114,'أوامر التوريد'!$G$5:$G$304,0)),""))</f>
        <v/>
      </c>
      <c r="C114" s="39">
        <f>IF(A114="","",IFERROR(INDEX('أوامر التوريد'!$C$5:$C$304,MATCH(A114,'أوامر التوريد'!$G$5:$G$304,0)),""))</f>
        <v/>
      </c>
      <c r="D114" s="39">
        <f>IF(A114="","",IFERROR(INDEX('أوامر التوريد'!$I$5:$I$304,MATCH(A114,'أوامر التوريد'!$G$5:$G$304,0)),""))</f>
        <v/>
      </c>
      <c r="E114" s="46">
        <f>IF(A114="","",SUMIFS('أوامر التوريد'!$J$5:$J$304,'أوامر التوريد'!$G$5:$G$304,A114))</f>
        <v/>
      </c>
      <c r="F114" s="46">
        <f>IF(A114="","",SUMIFS('استلام المواد'!$K$5:$K$304,'استلام المواد'!$F$5:$F$304,A114))</f>
        <v/>
      </c>
      <c r="G114" s="46">
        <f>IF(A114="","",SUMIFS('صرف المواد'!$G$5:$G$304,'صرف المواد'!$C$5:$C$304,A114))</f>
        <v/>
      </c>
      <c r="H114" s="46">
        <f>IF(A114="","",F114-G114)</f>
        <v/>
      </c>
      <c r="I114" s="41" t="n"/>
      <c r="J114" s="46">
        <f>IF(A114="","",IFERROR(SUMIFS('أوامر التوريد'!$L$5:$L$304,'أوامر التوريد'!$G$5:$G$304,A114)/E114,0))</f>
        <v/>
      </c>
      <c r="K114" s="46">
        <f>IF(A114="","",H114*J114)</f>
        <v/>
      </c>
      <c r="L114" s="49">
        <f>IF(A114="","",IF(H114&lt;0,"رصيد سالب!",IF(AND(I114&lt;&gt;"",H114&lt;=I114),"أعد الطلب","متاح")))</f>
        <v/>
      </c>
    </row>
    <row r="115">
      <c r="A115" s="50" t="n"/>
      <c r="B115" s="49">
        <f>IF(A115="","",IFERROR(INDEX('أوامر التوريد'!$H$5:$H$304,MATCH(A115,'أوامر التوريد'!$G$5:$G$304,0)),""))</f>
        <v/>
      </c>
      <c r="C115" s="39">
        <f>IF(A115="","",IFERROR(INDEX('أوامر التوريد'!$C$5:$C$304,MATCH(A115,'أوامر التوريد'!$G$5:$G$304,0)),""))</f>
        <v/>
      </c>
      <c r="D115" s="39">
        <f>IF(A115="","",IFERROR(INDEX('أوامر التوريد'!$I$5:$I$304,MATCH(A115,'أوامر التوريد'!$G$5:$G$304,0)),""))</f>
        <v/>
      </c>
      <c r="E115" s="46">
        <f>IF(A115="","",SUMIFS('أوامر التوريد'!$J$5:$J$304,'أوامر التوريد'!$G$5:$G$304,A115))</f>
        <v/>
      </c>
      <c r="F115" s="46">
        <f>IF(A115="","",SUMIFS('استلام المواد'!$K$5:$K$304,'استلام المواد'!$F$5:$F$304,A115))</f>
        <v/>
      </c>
      <c r="G115" s="46">
        <f>IF(A115="","",SUMIFS('صرف المواد'!$G$5:$G$304,'صرف المواد'!$C$5:$C$304,A115))</f>
        <v/>
      </c>
      <c r="H115" s="46">
        <f>IF(A115="","",F115-G115)</f>
        <v/>
      </c>
      <c r="I115" s="41" t="n"/>
      <c r="J115" s="46">
        <f>IF(A115="","",IFERROR(SUMIFS('أوامر التوريد'!$L$5:$L$304,'أوامر التوريد'!$G$5:$G$304,A115)/E115,0))</f>
        <v/>
      </c>
      <c r="K115" s="46">
        <f>IF(A115="","",H115*J115)</f>
        <v/>
      </c>
      <c r="L115" s="49">
        <f>IF(A115="","",IF(H115&lt;0,"رصيد سالب!",IF(AND(I115&lt;&gt;"",H115&lt;=I115),"أعد الطلب","متاح")))</f>
        <v/>
      </c>
    </row>
    <row r="116">
      <c r="A116" s="50" t="n"/>
      <c r="B116" s="49">
        <f>IF(A116="","",IFERROR(INDEX('أوامر التوريد'!$H$5:$H$304,MATCH(A116,'أوامر التوريد'!$G$5:$G$304,0)),""))</f>
        <v/>
      </c>
      <c r="C116" s="39">
        <f>IF(A116="","",IFERROR(INDEX('أوامر التوريد'!$C$5:$C$304,MATCH(A116,'أوامر التوريد'!$G$5:$G$304,0)),""))</f>
        <v/>
      </c>
      <c r="D116" s="39">
        <f>IF(A116="","",IFERROR(INDEX('أوامر التوريد'!$I$5:$I$304,MATCH(A116,'أوامر التوريد'!$G$5:$G$304,0)),""))</f>
        <v/>
      </c>
      <c r="E116" s="46">
        <f>IF(A116="","",SUMIFS('أوامر التوريد'!$J$5:$J$304,'أوامر التوريد'!$G$5:$G$304,A116))</f>
        <v/>
      </c>
      <c r="F116" s="46">
        <f>IF(A116="","",SUMIFS('استلام المواد'!$K$5:$K$304,'استلام المواد'!$F$5:$F$304,A116))</f>
        <v/>
      </c>
      <c r="G116" s="46">
        <f>IF(A116="","",SUMIFS('صرف المواد'!$G$5:$G$304,'صرف المواد'!$C$5:$C$304,A116))</f>
        <v/>
      </c>
      <c r="H116" s="46">
        <f>IF(A116="","",F116-G116)</f>
        <v/>
      </c>
      <c r="I116" s="41" t="n"/>
      <c r="J116" s="46">
        <f>IF(A116="","",IFERROR(SUMIFS('أوامر التوريد'!$L$5:$L$304,'أوامر التوريد'!$G$5:$G$304,A116)/E116,0))</f>
        <v/>
      </c>
      <c r="K116" s="46">
        <f>IF(A116="","",H116*J116)</f>
        <v/>
      </c>
      <c r="L116" s="49">
        <f>IF(A116="","",IF(H116&lt;0,"رصيد سالب!",IF(AND(I116&lt;&gt;"",H116&lt;=I116),"أعد الطلب","متاح")))</f>
        <v/>
      </c>
    </row>
    <row r="117">
      <c r="A117" s="50" t="n"/>
      <c r="B117" s="49">
        <f>IF(A117="","",IFERROR(INDEX('أوامر التوريد'!$H$5:$H$304,MATCH(A117,'أوامر التوريد'!$G$5:$G$304,0)),""))</f>
        <v/>
      </c>
      <c r="C117" s="39">
        <f>IF(A117="","",IFERROR(INDEX('أوامر التوريد'!$C$5:$C$304,MATCH(A117,'أوامر التوريد'!$G$5:$G$304,0)),""))</f>
        <v/>
      </c>
      <c r="D117" s="39">
        <f>IF(A117="","",IFERROR(INDEX('أوامر التوريد'!$I$5:$I$304,MATCH(A117,'أوامر التوريد'!$G$5:$G$304,0)),""))</f>
        <v/>
      </c>
      <c r="E117" s="46">
        <f>IF(A117="","",SUMIFS('أوامر التوريد'!$J$5:$J$304,'أوامر التوريد'!$G$5:$G$304,A117))</f>
        <v/>
      </c>
      <c r="F117" s="46">
        <f>IF(A117="","",SUMIFS('استلام المواد'!$K$5:$K$304,'استلام المواد'!$F$5:$F$304,A117))</f>
        <v/>
      </c>
      <c r="G117" s="46">
        <f>IF(A117="","",SUMIFS('صرف المواد'!$G$5:$G$304,'صرف المواد'!$C$5:$C$304,A117))</f>
        <v/>
      </c>
      <c r="H117" s="46">
        <f>IF(A117="","",F117-G117)</f>
        <v/>
      </c>
      <c r="I117" s="41" t="n"/>
      <c r="J117" s="46">
        <f>IF(A117="","",IFERROR(SUMIFS('أوامر التوريد'!$L$5:$L$304,'أوامر التوريد'!$G$5:$G$304,A117)/E117,0))</f>
        <v/>
      </c>
      <c r="K117" s="46">
        <f>IF(A117="","",H117*J117)</f>
        <v/>
      </c>
      <c r="L117" s="49">
        <f>IF(A117="","",IF(H117&lt;0,"رصيد سالب!",IF(AND(I117&lt;&gt;"",H117&lt;=I117),"أعد الطلب","متاح")))</f>
        <v/>
      </c>
    </row>
    <row r="118">
      <c r="A118" s="50" t="n"/>
      <c r="B118" s="49">
        <f>IF(A118="","",IFERROR(INDEX('أوامر التوريد'!$H$5:$H$304,MATCH(A118,'أوامر التوريد'!$G$5:$G$304,0)),""))</f>
        <v/>
      </c>
      <c r="C118" s="39">
        <f>IF(A118="","",IFERROR(INDEX('أوامر التوريد'!$C$5:$C$304,MATCH(A118,'أوامر التوريد'!$G$5:$G$304,0)),""))</f>
        <v/>
      </c>
      <c r="D118" s="39">
        <f>IF(A118="","",IFERROR(INDEX('أوامر التوريد'!$I$5:$I$304,MATCH(A118,'أوامر التوريد'!$G$5:$G$304,0)),""))</f>
        <v/>
      </c>
      <c r="E118" s="46">
        <f>IF(A118="","",SUMIFS('أوامر التوريد'!$J$5:$J$304,'أوامر التوريد'!$G$5:$G$304,A118))</f>
        <v/>
      </c>
      <c r="F118" s="46">
        <f>IF(A118="","",SUMIFS('استلام المواد'!$K$5:$K$304,'استلام المواد'!$F$5:$F$304,A118))</f>
        <v/>
      </c>
      <c r="G118" s="46">
        <f>IF(A118="","",SUMIFS('صرف المواد'!$G$5:$G$304,'صرف المواد'!$C$5:$C$304,A118))</f>
        <v/>
      </c>
      <c r="H118" s="46">
        <f>IF(A118="","",F118-G118)</f>
        <v/>
      </c>
      <c r="I118" s="41" t="n"/>
      <c r="J118" s="46">
        <f>IF(A118="","",IFERROR(SUMIFS('أوامر التوريد'!$L$5:$L$304,'أوامر التوريد'!$G$5:$G$304,A118)/E118,0))</f>
        <v/>
      </c>
      <c r="K118" s="46">
        <f>IF(A118="","",H118*J118)</f>
        <v/>
      </c>
      <c r="L118" s="49">
        <f>IF(A118="","",IF(H118&lt;0,"رصيد سالب!",IF(AND(I118&lt;&gt;"",H118&lt;=I118),"أعد الطلب","متاح")))</f>
        <v/>
      </c>
    </row>
    <row r="119">
      <c r="A119" s="50" t="n"/>
      <c r="B119" s="49">
        <f>IF(A119="","",IFERROR(INDEX('أوامر التوريد'!$H$5:$H$304,MATCH(A119,'أوامر التوريد'!$G$5:$G$304,0)),""))</f>
        <v/>
      </c>
      <c r="C119" s="39">
        <f>IF(A119="","",IFERROR(INDEX('أوامر التوريد'!$C$5:$C$304,MATCH(A119,'أوامر التوريد'!$G$5:$G$304,0)),""))</f>
        <v/>
      </c>
      <c r="D119" s="39">
        <f>IF(A119="","",IFERROR(INDEX('أوامر التوريد'!$I$5:$I$304,MATCH(A119,'أوامر التوريد'!$G$5:$G$304,0)),""))</f>
        <v/>
      </c>
      <c r="E119" s="46">
        <f>IF(A119="","",SUMIFS('أوامر التوريد'!$J$5:$J$304,'أوامر التوريد'!$G$5:$G$304,A119))</f>
        <v/>
      </c>
      <c r="F119" s="46">
        <f>IF(A119="","",SUMIFS('استلام المواد'!$K$5:$K$304,'استلام المواد'!$F$5:$F$304,A119))</f>
        <v/>
      </c>
      <c r="G119" s="46">
        <f>IF(A119="","",SUMIFS('صرف المواد'!$G$5:$G$304,'صرف المواد'!$C$5:$C$304,A119))</f>
        <v/>
      </c>
      <c r="H119" s="46">
        <f>IF(A119="","",F119-G119)</f>
        <v/>
      </c>
      <c r="I119" s="41" t="n"/>
      <c r="J119" s="46">
        <f>IF(A119="","",IFERROR(SUMIFS('أوامر التوريد'!$L$5:$L$304,'أوامر التوريد'!$G$5:$G$304,A119)/E119,0))</f>
        <v/>
      </c>
      <c r="K119" s="46">
        <f>IF(A119="","",H119*J119)</f>
        <v/>
      </c>
      <c r="L119" s="49">
        <f>IF(A119="","",IF(H119&lt;0,"رصيد سالب!",IF(AND(I119&lt;&gt;"",H119&lt;=I119),"أعد الطلب","متاح")))</f>
        <v/>
      </c>
    </row>
    <row r="120">
      <c r="A120" s="50" t="n"/>
      <c r="B120" s="49">
        <f>IF(A120="","",IFERROR(INDEX('أوامر التوريد'!$H$5:$H$304,MATCH(A120,'أوامر التوريد'!$G$5:$G$304,0)),""))</f>
        <v/>
      </c>
      <c r="C120" s="39">
        <f>IF(A120="","",IFERROR(INDEX('أوامر التوريد'!$C$5:$C$304,MATCH(A120,'أوامر التوريد'!$G$5:$G$304,0)),""))</f>
        <v/>
      </c>
      <c r="D120" s="39">
        <f>IF(A120="","",IFERROR(INDEX('أوامر التوريد'!$I$5:$I$304,MATCH(A120,'أوامر التوريد'!$G$5:$G$304,0)),""))</f>
        <v/>
      </c>
      <c r="E120" s="46">
        <f>IF(A120="","",SUMIFS('أوامر التوريد'!$J$5:$J$304,'أوامر التوريد'!$G$5:$G$304,A120))</f>
        <v/>
      </c>
      <c r="F120" s="46">
        <f>IF(A120="","",SUMIFS('استلام المواد'!$K$5:$K$304,'استلام المواد'!$F$5:$F$304,A120))</f>
        <v/>
      </c>
      <c r="G120" s="46">
        <f>IF(A120="","",SUMIFS('صرف المواد'!$G$5:$G$304,'صرف المواد'!$C$5:$C$304,A120))</f>
        <v/>
      </c>
      <c r="H120" s="46">
        <f>IF(A120="","",F120-G120)</f>
        <v/>
      </c>
      <c r="I120" s="41" t="n"/>
      <c r="J120" s="46">
        <f>IF(A120="","",IFERROR(SUMIFS('أوامر التوريد'!$L$5:$L$304,'أوامر التوريد'!$G$5:$G$304,A120)/E120,0))</f>
        <v/>
      </c>
      <c r="K120" s="46">
        <f>IF(A120="","",H120*J120)</f>
        <v/>
      </c>
      <c r="L120" s="49">
        <f>IF(A120="","",IF(H120&lt;0,"رصيد سالب!",IF(AND(I120&lt;&gt;"",H120&lt;=I120),"أعد الطلب","متاح")))</f>
        <v/>
      </c>
    </row>
    <row r="121">
      <c r="A121" s="50" t="n"/>
      <c r="B121" s="49">
        <f>IF(A121="","",IFERROR(INDEX('أوامر التوريد'!$H$5:$H$304,MATCH(A121,'أوامر التوريد'!$G$5:$G$304,0)),""))</f>
        <v/>
      </c>
      <c r="C121" s="39">
        <f>IF(A121="","",IFERROR(INDEX('أوامر التوريد'!$C$5:$C$304,MATCH(A121,'أوامر التوريد'!$G$5:$G$304,0)),""))</f>
        <v/>
      </c>
      <c r="D121" s="39">
        <f>IF(A121="","",IFERROR(INDEX('أوامر التوريد'!$I$5:$I$304,MATCH(A121,'أوامر التوريد'!$G$5:$G$304,0)),""))</f>
        <v/>
      </c>
      <c r="E121" s="46">
        <f>IF(A121="","",SUMIFS('أوامر التوريد'!$J$5:$J$304,'أوامر التوريد'!$G$5:$G$304,A121))</f>
        <v/>
      </c>
      <c r="F121" s="46">
        <f>IF(A121="","",SUMIFS('استلام المواد'!$K$5:$K$304,'استلام المواد'!$F$5:$F$304,A121))</f>
        <v/>
      </c>
      <c r="G121" s="46">
        <f>IF(A121="","",SUMIFS('صرف المواد'!$G$5:$G$304,'صرف المواد'!$C$5:$C$304,A121))</f>
        <v/>
      </c>
      <c r="H121" s="46">
        <f>IF(A121="","",F121-G121)</f>
        <v/>
      </c>
      <c r="I121" s="41" t="n"/>
      <c r="J121" s="46">
        <f>IF(A121="","",IFERROR(SUMIFS('أوامر التوريد'!$L$5:$L$304,'أوامر التوريد'!$G$5:$G$304,A121)/E121,0))</f>
        <v/>
      </c>
      <c r="K121" s="46">
        <f>IF(A121="","",H121*J121)</f>
        <v/>
      </c>
      <c r="L121" s="49">
        <f>IF(A121="","",IF(H121&lt;0,"رصيد سالب!",IF(AND(I121&lt;&gt;"",H121&lt;=I121),"أعد الطلب","متاح")))</f>
        <v/>
      </c>
    </row>
    <row r="122">
      <c r="A122" s="50" t="n"/>
      <c r="B122" s="49">
        <f>IF(A122="","",IFERROR(INDEX('أوامر التوريد'!$H$5:$H$304,MATCH(A122,'أوامر التوريد'!$G$5:$G$304,0)),""))</f>
        <v/>
      </c>
      <c r="C122" s="39">
        <f>IF(A122="","",IFERROR(INDEX('أوامر التوريد'!$C$5:$C$304,MATCH(A122,'أوامر التوريد'!$G$5:$G$304,0)),""))</f>
        <v/>
      </c>
      <c r="D122" s="39">
        <f>IF(A122="","",IFERROR(INDEX('أوامر التوريد'!$I$5:$I$304,MATCH(A122,'أوامر التوريد'!$G$5:$G$304,0)),""))</f>
        <v/>
      </c>
      <c r="E122" s="46">
        <f>IF(A122="","",SUMIFS('أوامر التوريد'!$J$5:$J$304,'أوامر التوريد'!$G$5:$G$304,A122))</f>
        <v/>
      </c>
      <c r="F122" s="46">
        <f>IF(A122="","",SUMIFS('استلام المواد'!$K$5:$K$304,'استلام المواد'!$F$5:$F$304,A122))</f>
        <v/>
      </c>
      <c r="G122" s="46">
        <f>IF(A122="","",SUMIFS('صرف المواد'!$G$5:$G$304,'صرف المواد'!$C$5:$C$304,A122))</f>
        <v/>
      </c>
      <c r="H122" s="46">
        <f>IF(A122="","",F122-G122)</f>
        <v/>
      </c>
      <c r="I122" s="41" t="n"/>
      <c r="J122" s="46">
        <f>IF(A122="","",IFERROR(SUMIFS('أوامر التوريد'!$L$5:$L$304,'أوامر التوريد'!$G$5:$G$304,A122)/E122,0))</f>
        <v/>
      </c>
      <c r="K122" s="46">
        <f>IF(A122="","",H122*J122)</f>
        <v/>
      </c>
      <c r="L122" s="49">
        <f>IF(A122="","",IF(H122&lt;0,"رصيد سالب!",IF(AND(I122&lt;&gt;"",H122&lt;=I122),"أعد الطلب","متاح")))</f>
        <v/>
      </c>
    </row>
    <row r="123">
      <c r="A123" s="50" t="n"/>
      <c r="B123" s="49">
        <f>IF(A123="","",IFERROR(INDEX('أوامر التوريد'!$H$5:$H$304,MATCH(A123,'أوامر التوريد'!$G$5:$G$304,0)),""))</f>
        <v/>
      </c>
      <c r="C123" s="39">
        <f>IF(A123="","",IFERROR(INDEX('أوامر التوريد'!$C$5:$C$304,MATCH(A123,'أوامر التوريد'!$G$5:$G$304,0)),""))</f>
        <v/>
      </c>
      <c r="D123" s="39">
        <f>IF(A123="","",IFERROR(INDEX('أوامر التوريد'!$I$5:$I$304,MATCH(A123,'أوامر التوريد'!$G$5:$G$304,0)),""))</f>
        <v/>
      </c>
      <c r="E123" s="46">
        <f>IF(A123="","",SUMIFS('أوامر التوريد'!$J$5:$J$304,'أوامر التوريد'!$G$5:$G$304,A123))</f>
        <v/>
      </c>
      <c r="F123" s="46">
        <f>IF(A123="","",SUMIFS('استلام المواد'!$K$5:$K$304,'استلام المواد'!$F$5:$F$304,A123))</f>
        <v/>
      </c>
      <c r="G123" s="46">
        <f>IF(A123="","",SUMIFS('صرف المواد'!$G$5:$G$304,'صرف المواد'!$C$5:$C$304,A123))</f>
        <v/>
      </c>
      <c r="H123" s="46">
        <f>IF(A123="","",F123-G123)</f>
        <v/>
      </c>
      <c r="I123" s="41" t="n"/>
      <c r="J123" s="46">
        <f>IF(A123="","",IFERROR(SUMIFS('أوامر التوريد'!$L$5:$L$304,'أوامر التوريد'!$G$5:$G$304,A123)/E123,0))</f>
        <v/>
      </c>
      <c r="K123" s="46">
        <f>IF(A123="","",H123*J123)</f>
        <v/>
      </c>
      <c r="L123" s="49">
        <f>IF(A123="","",IF(H123&lt;0,"رصيد سالب!",IF(AND(I123&lt;&gt;"",H123&lt;=I123),"أعد الطلب","متاح")))</f>
        <v/>
      </c>
    </row>
    <row r="124">
      <c r="A124" s="50" t="n"/>
      <c r="B124" s="49">
        <f>IF(A124="","",IFERROR(INDEX('أوامر التوريد'!$H$5:$H$304,MATCH(A124,'أوامر التوريد'!$G$5:$G$304,0)),""))</f>
        <v/>
      </c>
      <c r="C124" s="39">
        <f>IF(A124="","",IFERROR(INDEX('أوامر التوريد'!$C$5:$C$304,MATCH(A124,'أوامر التوريد'!$G$5:$G$304,0)),""))</f>
        <v/>
      </c>
      <c r="D124" s="39">
        <f>IF(A124="","",IFERROR(INDEX('أوامر التوريد'!$I$5:$I$304,MATCH(A124,'أوامر التوريد'!$G$5:$G$304,0)),""))</f>
        <v/>
      </c>
      <c r="E124" s="46">
        <f>IF(A124="","",SUMIFS('أوامر التوريد'!$J$5:$J$304,'أوامر التوريد'!$G$5:$G$304,A124))</f>
        <v/>
      </c>
      <c r="F124" s="46">
        <f>IF(A124="","",SUMIFS('استلام المواد'!$K$5:$K$304,'استلام المواد'!$F$5:$F$304,A124))</f>
        <v/>
      </c>
      <c r="G124" s="46">
        <f>IF(A124="","",SUMIFS('صرف المواد'!$G$5:$G$304,'صرف المواد'!$C$5:$C$304,A124))</f>
        <v/>
      </c>
      <c r="H124" s="46">
        <f>IF(A124="","",F124-G124)</f>
        <v/>
      </c>
      <c r="I124" s="41" t="n"/>
      <c r="J124" s="46">
        <f>IF(A124="","",IFERROR(SUMIFS('أوامر التوريد'!$L$5:$L$304,'أوامر التوريد'!$G$5:$G$304,A124)/E124,0))</f>
        <v/>
      </c>
      <c r="K124" s="46">
        <f>IF(A124="","",H124*J124)</f>
        <v/>
      </c>
      <c r="L124" s="49">
        <f>IF(A124="","",IF(H124&lt;0,"رصيد سالب!",IF(AND(I124&lt;&gt;"",H124&lt;=I124),"أعد الطلب","متاح")))</f>
        <v/>
      </c>
    </row>
    <row r="125">
      <c r="A125" s="50" t="n"/>
      <c r="B125" s="49">
        <f>IF(A125="","",IFERROR(INDEX('أوامر التوريد'!$H$5:$H$304,MATCH(A125,'أوامر التوريد'!$G$5:$G$304,0)),""))</f>
        <v/>
      </c>
      <c r="C125" s="39">
        <f>IF(A125="","",IFERROR(INDEX('أوامر التوريد'!$C$5:$C$304,MATCH(A125,'أوامر التوريد'!$G$5:$G$304,0)),""))</f>
        <v/>
      </c>
      <c r="D125" s="39">
        <f>IF(A125="","",IFERROR(INDEX('أوامر التوريد'!$I$5:$I$304,MATCH(A125,'أوامر التوريد'!$G$5:$G$304,0)),""))</f>
        <v/>
      </c>
      <c r="E125" s="46">
        <f>IF(A125="","",SUMIFS('أوامر التوريد'!$J$5:$J$304,'أوامر التوريد'!$G$5:$G$304,A125))</f>
        <v/>
      </c>
      <c r="F125" s="46">
        <f>IF(A125="","",SUMIFS('استلام المواد'!$K$5:$K$304,'استلام المواد'!$F$5:$F$304,A125))</f>
        <v/>
      </c>
      <c r="G125" s="46">
        <f>IF(A125="","",SUMIFS('صرف المواد'!$G$5:$G$304,'صرف المواد'!$C$5:$C$304,A125))</f>
        <v/>
      </c>
      <c r="H125" s="46">
        <f>IF(A125="","",F125-G125)</f>
        <v/>
      </c>
      <c r="I125" s="41" t="n"/>
      <c r="J125" s="46">
        <f>IF(A125="","",IFERROR(SUMIFS('أوامر التوريد'!$L$5:$L$304,'أوامر التوريد'!$G$5:$G$304,A125)/E125,0))</f>
        <v/>
      </c>
      <c r="K125" s="46">
        <f>IF(A125="","",H125*J125)</f>
        <v/>
      </c>
      <c r="L125" s="49">
        <f>IF(A125="","",IF(H125&lt;0,"رصيد سالب!",IF(AND(I125&lt;&gt;"",H125&lt;=I125),"أعد الطلب","متاح")))</f>
        <v/>
      </c>
    </row>
    <row r="126">
      <c r="A126" s="50" t="n"/>
      <c r="B126" s="49">
        <f>IF(A126="","",IFERROR(INDEX('أوامر التوريد'!$H$5:$H$304,MATCH(A126,'أوامر التوريد'!$G$5:$G$304,0)),""))</f>
        <v/>
      </c>
      <c r="C126" s="39">
        <f>IF(A126="","",IFERROR(INDEX('أوامر التوريد'!$C$5:$C$304,MATCH(A126,'أوامر التوريد'!$G$5:$G$304,0)),""))</f>
        <v/>
      </c>
      <c r="D126" s="39">
        <f>IF(A126="","",IFERROR(INDEX('أوامر التوريد'!$I$5:$I$304,MATCH(A126,'أوامر التوريد'!$G$5:$G$304,0)),""))</f>
        <v/>
      </c>
      <c r="E126" s="46">
        <f>IF(A126="","",SUMIFS('أوامر التوريد'!$J$5:$J$304,'أوامر التوريد'!$G$5:$G$304,A126))</f>
        <v/>
      </c>
      <c r="F126" s="46">
        <f>IF(A126="","",SUMIFS('استلام المواد'!$K$5:$K$304,'استلام المواد'!$F$5:$F$304,A126))</f>
        <v/>
      </c>
      <c r="G126" s="46">
        <f>IF(A126="","",SUMIFS('صرف المواد'!$G$5:$G$304,'صرف المواد'!$C$5:$C$304,A126))</f>
        <v/>
      </c>
      <c r="H126" s="46">
        <f>IF(A126="","",F126-G126)</f>
        <v/>
      </c>
      <c r="I126" s="41" t="n"/>
      <c r="J126" s="46">
        <f>IF(A126="","",IFERROR(SUMIFS('أوامر التوريد'!$L$5:$L$304,'أوامر التوريد'!$G$5:$G$304,A126)/E126,0))</f>
        <v/>
      </c>
      <c r="K126" s="46">
        <f>IF(A126="","",H126*J126)</f>
        <v/>
      </c>
      <c r="L126" s="49">
        <f>IF(A126="","",IF(H126&lt;0,"رصيد سالب!",IF(AND(I126&lt;&gt;"",H126&lt;=I126),"أعد الطلب","متاح")))</f>
        <v/>
      </c>
    </row>
    <row r="127">
      <c r="A127" s="50" t="n"/>
      <c r="B127" s="49">
        <f>IF(A127="","",IFERROR(INDEX('أوامر التوريد'!$H$5:$H$304,MATCH(A127,'أوامر التوريد'!$G$5:$G$304,0)),""))</f>
        <v/>
      </c>
      <c r="C127" s="39">
        <f>IF(A127="","",IFERROR(INDEX('أوامر التوريد'!$C$5:$C$304,MATCH(A127,'أوامر التوريد'!$G$5:$G$304,0)),""))</f>
        <v/>
      </c>
      <c r="D127" s="39">
        <f>IF(A127="","",IFERROR(INDEX('أوامر التوريد'!$I$5:$I$304,MATCH(A127,'أوامر التوريد'!$G$5:$G$304,0)),""))</f>
        <v/>
      </c>
      <c r="E127" s="46">
        <f>IF(A127="","",SUMIFS('أوامر التوريد'!$J$5:$J$304,'أوامر التوريد'!$G$5:$G$304,A127))</f>
        <v/>
      </c>
      <c r="F127" s="46">
        <f>IF(A127="","",SUMIFS('استلام المواد'!$K$5:$K$304,'استلام المواد'!$F$5:$F$304,A127))</f>
        <v/>
      </c>
      <c r="G127" s="46">
        <f>IF(A127="","",SUMIFS('صرف المواد'!$G$5:$G$304,'صرف المواد'!$C$5:$C$304,A127))</f>
        <v/>
      </c>
      <c r="H127" s="46">
        <f>IF(A127="","",F127-G127)</f>
        <v/>
      </c>
      <c r="I127" s="41" t="n"/>
      <c r="J127" s="46">
        <f>IF(A127="","",IFERROR(SUMIFS('أوامر التوريد'!$L$5:$L$304,'أوامر التوريد'!$G$5:$G$304,A127)/E127,0))</f>
        <v/>
      </c>
      <c r="K127" s="46">
        <f>IF(A127="","",H127*J127)</f>
        <v/>
      </c>
      <c r="L127" s="49">
        <f>IF(A127="","",IF(H127&lt;0,"رصيد سالب!",IF(AND(I127&lt;&gt;"",H127&lt;=I127),"أعد الطلب","متاح")))</f>
        <v/>
      </c>
    </row>
    <row r="128">
      <c r="A128" s="50" t="n"/>
      <c r="B128" s="49">
        <f>IF(A128="","",IFERROR(INDEX('أوامر التوريد'!$H$5:$H$304,MATCH(A128,'أوامر التوريد'!$G$5:$G$304,0)),""))</f>
        <v/>
      </c>
      <c r="C128" s="39">
        <f>IF(A128="","",IFERROR(INDEX('أوامر التوريد'!$C$5:$C$304,MATCH(A128,'أوامر التوريد'!$G$5:$G$304,0)),""))</f>
        <v/>
      </c>
      <c r="D128" s="39">
        <f>IF(A128="","",IFERROR(INDEX('أوامر التوريد'!$I$5:$I$304,MATCH(A128,'أوامر التوريد'!$G$5:$G$304,0)),""))</f>
        <v/>
      </c>
      <c r="E128" s="46">
        <f>IF(A128="","",SUMIFS('أوامر التوريد'!$J$5:$J$304,'أوامر التوريد'!$G$5:$G$304,A128))</f>
        <v/>
      </c>
      <c r="F128" s="46">
        <f>IF(A128="","",SUMIFS('استلام المواد'!$K$5:$K$304,'استلام المواد'!$F$5:$F$304,A128))</f>
        <v/>
      </c>
      <c r="G128" s="46">
        <f>IF(A128="","",SUMIFS('صرف المواد'!$G$5:$G$304,'صرف المواد'!$C$5:$C$304,A128))</f>
        <v/>
      </c>
      <c r="H128" s="46">
        <f>IF(A128="","",F128-G128)</f>
        <v/>
      </c>
      <c r="I128" s="41" t="n"/>
      <c r="J128" s="46">
        <f>IF(A128="","",IFERROR(SUMIFS('أوامر التوريد'!$L$5:$L$304,'أوامر التوريد'!$G$5:$G$304,A128)/E128,0))</f>
        <v/>
      </c>
      <c r="K128" s="46">
        <f>IF(A128="","",H128*J128)</f>
        <v/>
      </c>
      <c r="L128" s="49">
        <f>IF(A128="","",IF(H128&lt;0,"رصيد سالب!",IF(AND(I128&lt;&gt;"",H128&lt;=I128),"أعد الطلب","متاح")))</f>
        <v/>
      </c>
    </row>
    <row r="129">
      <c r="A129" s="50" t="n"/>
      <c r="B129" s="49">
        <f>IF(A129="","",IFERROR(INDEX('أوامر التوريد'!$H$5:$H$304,MATCH(A129,'أوامر التوريد'!$G$5:$G$304,0)),""))</f>
        <v/>
      </c>
      <c r="C129" s="39">
        <f>IF(A129="","",IFERROR(INDEX('أوامر التوريد'!$C$5:$C$304,MATCH(A129,'أوامر التوريد'!$G$5:$G$304,0)),""))</f>
        <v/>
      </c>
      <c r="D129" s="39">
        <f>IF(A129="","",IFERROR(INDEX('أوامر التوريد'!$I$5:$I$304,MATCH(A129,'أوامر التوريد'!$G$5:$G$304,0)),""))</f>
        <v/>
      </c>
      <c r="E129" s="46">
        <f>IF(A129="","",SUMIFS('أوامر التوريد'!$J$5:$J$304,'أوامر التوريد'!$G$5:$G$304,A129))</f>
        <v/>
      </c>
      <c r="F129" s="46">
        <f>IF(A129="","",SUMIFS('استلام المواد'!$K$5:$K$304,'استلام المواد'!$F$5:$F$304,A129))</f>
        <v/>
      </c>
      <c r="G129" s="46">
        <f>IF(A129="","",SUMIFS('صرف المواد'!$G$5:$G$304,'صرف المواد'!$C$5:$C$304,A129))</f>
        <v/>
      </c>
      <c r="H129" s="46">
        <f>IF(A129="","",F129-G129)</f>
        <v/>
      </c>
      <c r="I129" s="41" t="n"/>
      <c r="J129" s="46">
        <f>IF(A129="","",IFERROR(SUMIFS('أوامر التوريد'!$L$5:$L$304,'أوامر التوريد'!$G$5:$G$304,A129)/E129,0))</f>
        <v/>
      </c>
      <c r="K129" s="46">
        <f>IF(A129="","",H129*J129)</f>
        <v/>
      </c>
      <c r="L129" s="49">
        <f>IF(A129="","",IF(H129&lt;0,"رصيد سالب!",IF(AND(I129&lt;&gt;"",H129&lt;=I129),"أعد الطلب","متاح")))</f>
        <v/>
      </c>
    </row>
    <row r="130">
      <c r="A130" s="50" t="n"/>
      <c r="B130" s="49">
        <f>IF(A130="","",IFERROR(INDEX('أوامر التوريد'!$H$5:$H$304,MATCH(A130,'أوامر التوريد'!$G$5:$G$304,0)),""))</f>
        <v/>
      </c>
      <c r="C130" s="39">
        <f>IF(A130="","",IFERROR(INDEX('أوامر التوريد'!$C$5:$C$304,MATCH(A130,'أوامر التوريد'!$G$5:$G$304,0)),""))</f>
        <v/>
      </c>
      <c r="D130" s="39">
        <f>IF(A130="","",IFERROR(INDEX('أوامر التوريد'!$I$5:$I$304,MATCH(A130,'أوامر التوريد'!$G$5:$G$304,0)),""))</f>
        <v/>
      </c>
      <c r="E130" s="46">
        <f>IF(A130="","",SUMIFS('أوامر التوريد'!$J$5:$J$304,'أوامر التوريد'!$G$5:$G$304,A130))</f>
        <v/>
      </c>
      <c r="F130" s="46">
        <f>IF(A130="","",SUMIFS('استلام المواد'!$K$5:$K$304,'استلام المواد'!$F$5:$F$304,A130))</f>
        <v/>
      </c>
      <c r="G130" s="46">
        <f>IF(A130="","",SUMIFS('صرف المواد'!$G$5:$G$304,'صرف المواد'!$C$5:$C$304,A130))</f>
        <v/>
      </c>
      <c r="H130" s="46">
        <f>IF(A130="","",F130-G130)</f>
        <v/>
      </c>
      <c r="I130" s="41" t="n"/>
      <c r="J130" s="46">
        <f>IF(A130="","",IFERROR(SUMIFS('أوامر التوريد'!$L$5:$L$304,'أوامر التوريد'!$G$5:$G$304,A130)/E130,0))</f>
        <v/>
      </c>
      <c r="K130" s="46">
        <f>IF(A130="","",H130*J130)</f>
        <v/>
      </c>
      <c r="L130" s="49">
        <f>IF(A130="","",IF(H130&lt;0,"رصيد سالب!",IF(AND(I130&lt;&gt;"",H130&lt;=I130),"أعد الطلب","متاح")))</f>
        <v/>
      </c>
    </row>
    <row r="131">
      <c r="A131" s="50" t="n"/>
      <c r="B131" s="49">
        <f>IF(A131="","",IFERROR(INDEX('أوامر التوريد'!$H$5:$H$304,MATCH(A131,'أوامر التوريد'!$G$5:$G$304,0)),""))</f>
        <v/>
      </c>
      <c r="C131" s="39">
        <f>IF(A131="","",IFERROR(INDEX('أوامر التوريد'!$C$5:$C$304,MATCH(A131,'أوامر التوريد'!$G$5:$G$304,0)),""))</f>
        <v/>
      </c>
      <c r="D131" s="39">
        <f>IF(A131="","",IFERROR(INDEX('أوامر التوريد'!$I$5:$I$304,MATCH(A131,'أوامر التوريد'!$G$5:$G$304,0)),""))</f>
        <v/>
      </c>
      <c r="E131" s="46">
        <f>IF(A131="","",SUMIFS('أوامر التوريد'!$J$5:$J$304,'أوامر التوريد'!$G$5:$G$304,A131))</f>
        <v/>
      </c>
      <c r="F131" s="46">
        <f>IF(A131="","",SUMIFS('استلام المواد'!$K$5:$K$304,'استلام المواد'!$F$5:$F$304,A131))</f>
        <v/>
      </c>
      <c r="G131" s="46">
        <f>IF(A131="","",SUMIFS('صرف المواد'!$G$5:$G$304,'صرف المواد'!$C$5:$C$304,A131))</f>
        <v/>
      </c>
      <c r="H131" s="46">
        <f>IF(A131="","",F131-G131)</f>
        <v/>
      </c>
      <c r="I131" s="41" t="n"/>
      <c r="J131" s="46">
        <f>IF(A131="","",IFERROR(SUMIFS('أوامر التوريد'!$L$5:$L$304,'أوامر التوريد'!$G$5:$G$304,A131)/E131,0))</f>
        <v/>
      </c>
      <c r="K131" s="46">
        <f>IF(A131="","",H131*J131)</f>
        <v/>
      </c>
      <c r="L131" s="49">
        <f>IF(A131="","",IF(H131&lt;0,"رصيد سالب!",IF(AND(I131&lt;&gt;"",H131&lt;=I131),"أعد الطلب","متاح")))</f>
        <v/>
      </c>
    </row>
    <row r="132">
      <c r="A132" s="50" t="n"/>
      <c r="B132" s="49">
        <f>IF(A132="","",IFERROR(INDEX('أوامر التوريد'!$H$5:$H$304,MATCH(A132,'أوامر التوريد'!$G$5:$G$304,0)),""))</f>
        <v/>
      </c>
      <c r="C132" s="39">
        <f>IF(A132="","",IFERROR(INDEX('أوامر التوريد'!$C$5:$C$304,MATCH(A132,'أوامر التوريد'!$G$5:$G$304,0)),""))</f>
        <v/>
      </c>
      <c r="D132" s="39">
        <f>IF(A132="","",IFERROR(INDEX('أوامر التوريد'!$I$5:$I$304,MATCH(A132,'أوامر التوريد'!$G$5:$G$304,0)),""))</f>
        <v/>
      </c>
      <c r="E132" s="46">
        <f>IF(A132="","",SUMIFS('أوامر التوريد'!$J$5:$J$304,'أوامر التوريد'!$G$5:$G$304,A132))</f>
        <v/>
      </c>
      <c r="F132" s="46">
        <f>IF(A132="","",SUMIFS('استلام المواد'!$K$5:$K$304,'استلام المواد'!$F$5:$F$304,A132))</f>
        <v/>
      </c>
      <c r="G132" s="46">
        <f>IF(A132="","",SUMIFS('صرف المواد'!$G$5:$G$304,'صرف المواد'!$C$5:$C$304,A132))</f>
        <v/>
      </c>
      <c r="H132" s="46">
        <f>IF(A132="","",F132-G132)</f>
        <v/>
      </c>
      <c r="I132" s="41" t="n"/>
      <c r="J132" s="46">
        <f>IF(A132="","",IFERROR(SUMIFS('أوامر التوريد'!$L$5:$L$304,'أوامر التوريد'!$G$5:$G$304,A132)/E132,0))</f>
        <v/>
      </c>
      <c r="K132" s="46">
        <f>IF(A132="","",H132*J132)</f>
        <v/>
      </c>
      <c r="L132" s="49">
        <f>IF(A132="","",IF(H132&lt;0,"رصيد سالب!",IF(AND(I132&lt;&gt;"",H132&lt;=I132),"أعد الطلب","متاح")))</f>
        <v/>
      </c>
    </row>
    <row r="133">
      <c r="A133" s="50" t="n"/>
      <c r="B133" s="49">
        <f>IF(A133="","",IFERROR(INDEX('أوامر التوريد'!$H$5:$H$304,MATCH(A133,'أوامر التوريد'!$G$5:$G$304,0)),""))</f>
        <v/>
      </c>
      <c r="C133" s="39">
        <f>IF(A133="","",IFERROR(INDEX('أوامر التوريد'!$C$5:$C$304,MATCH(A133,'أوامر التوريد'!$G$5:$G$304,0)),""))</f>
        <v/>
      </c>
      <c r="D133" s="39">
        <f>IF(A133="","",IFERROR(INDEX('أوامر التوريد'!$I$5:$I$304,MATCH(A133,'أوامر التوريد'!$G$5:$G$304,0)),""))</f>
        <v/>
      </c>
      <c r="E133" s="46">
        <f>IF(A133="","",SUMIFS('أوامر التوريد'!$J$5:$J$304,'أوامر التوريد'!$G$5:$G$304,A133))</f>
        <v/>
      </c>
      <c r="F133" s="46">
        <f>IF(A133="","",SUMIFS('استلام المواد'!$K$5:$K$304,'استلام المواد'!$F$5:$F$304,A133))</f>
        <v/>
      </c>
      <c r="G133" s="46">
        <f>IF(A133="","",SUMIFS('صرف المواد'!$G$5:$G$304,'صرف المواد'!$C$5:$C$304,A133))</f>
        <v/>
      </c>
      <c r="H133" s="46">
        <f>IF(A133="","",F133-G133)</f>
        <v/>
      </c>
      <c r="I133" s="41" t="n"/>
      <c r="J133" s="46">
        <f>IF(A133="","",IFERROR(SUMIFS('أوامر التوريد'!$L$5:$L$304,'أوامر التوريد'!$G$5:$G$304,A133)/E133,0))</f>
        <v/>
      </c>
      <c r="K133" s="46">
        <f>IF(A133="","",H133*J133)</f>
        <v/>
      </c>
      <c r="L133" s="49">
        <f>IF(A133="","",IF(H133&lt;0,"رصيد سالب!",IF(AND(I133&lt;&gt;"",H133&lt;=I133),"أعد الطلب","متاح")))</f>
        <v/>
      </c>
    </row>
    <row r="134">
      <c r="A134" s="50" t="n"/>
      <c r="B134" s="49">
        <f>IF(A134="","",IFERROR(INDEX('أوامر التوريد'!$H$5:$H$304,MATCH(A134,'أوامر التوريد'!$G$5:$G$304,0)),""))</f>
        <v/>
      </c>
      <c r="C134" s="39">
        <f>IF(A134="","",IFERROR(INDEX('أوامر التوريد'!$C$5:$C$304,MATCH(A134,'أوامر التوريد'!$G$5:$G$304,0)),""))</f>
        <v/>
      </c>
      <c r="D134" s="39">
        <f>IF(A134="","",IFERROR(INDEX('أوامر التوريد'!$I$5:$I$304,MATCH(A134,'أوامر التوريد'!$G$5:$G$304,0)),""))</f>
        <v/>
      </c>
      <c r="E134" s="46">
        <f>IF(A134="","",SUMIFS('أوامر التوريد'!$J$5:$J$304,'أوامر التوريد'!$G$5:$G$304,A134))</f>
        <v/>
      </c>
      <c r="F134" s="46">
        <f>IF(A134="","",SUMIFS('استلام المواد'!$K$5:$K$304,'استلام المواد'!$F$5:$F$304,A134))</f>
        <v/>
      </c>
      <c r="G134" s="46">
        <f>IF(A134="","",SUMIFS('صرف المواد'!$G$5:$G$304,'صرف المواد'!$C$5:$C$304,A134))</f>
        <v/>
      </c>
      <c r="H134" s="46">
        <f>IF(A134="","",F134-G134)</f>
        <v/>
      </c>
      <c r="I134" s="41" t="n"/>
      <c r="J134" s="46">
        <f>IF(A134="","",IFERROR(SUMIFS('أوامر التوريد'!$L$5:$L$304,'أوامر التوريد'!$G$5:$G$304,A134)/E134,0))</f>
        <v/>
      </c>
      <c r="K134" s="46">
        <f>IF(A134="","",H134*J134)</f>
        <v/>
      </c>
      <c r="L134" s="49">
        <f>IF(A134="","",IF(H134&lt;0,"رصيد سالب!",IF(AND(I134&lt;&gt;"",H134&lt;=I134),"أعد الطلب","متاح")))</f>
        <v/>
      </c>
    </row>
    <row r="135">
      <c r="A135" s="50" t="n"/>
      <c r="B135" s="49">
        <f>IF(A135="","",IFERROR(INDEX('أوامر التوريد'!$H$5:$H$304,MATCH(A135,'أوامر التوريد'!$G$5:$G$304,0)),""))</f>
        <v/>
      </c>
      <c r="C135" s="39">
        <f>IF(A135="","",IFERROR(INDEX('أوامر التوريد'!$C$5:$C$304,MATCH(A135,'أوامر التوريد'!$G$5:$G$304,0)),""))</f>
        <v/>
      </c>
      <c r="D135" s="39">
        <f>IF(A135="","",IFERROR(INDEX('أوامر التوريد'!$I$5:$I$304,MATCH(A135,'أوامر التوريد'!$G$5:$G$304,0)),""))</f>
        <v/>
      </c>
      <c r="E135" s="46">
        <f>IF(A135="","",SUMIFS('أوامر التوريد'!$J$5:$J$304,'أوامر التوريد'!$G$5:$G$304,A135))</f>
        <v/>
      </c>
      <c r="F135" s="46">
        <f>IF(A135="","",SUMIFS('استلام المواد'!$K$5:$K$304,'استلام المواد'!$F$5:$F$304,A135))</f>
        <v/>
      </c>
      <c r="G135" s="46">
        <f>IF(A135="","",SUMIFS('صرف المواد'!$G$5:$G$304,'صرف المواد'!$C$5:$C$304,A135))</f>
        <v/>
      </c>
      <c r="H135" s="46">
        <f>IF(A135="","",F135-G135)</f>
        <v/>
      </c>
      <c r="I135" s="41" t="n"/>
      <c r="J135" s="46">
        <f>IF(A135="","",IFERROR(SUMIFS('أوامر التوريد'!$L$5:$L$304,'أوامر التوريد'!$G$5:$G$304,A135)/E135,0))</f>
        <v/>
      </c>
      <c r="K135" s="46">
        <f>IF(A135="","",H135*J135)</f>
        <v/>
      </c>
      <c r="L135" s="49">
        <f>IF(A135="","",IF(H135&lt;0,"رصيد سالب!",IF(AND(I135&lt;&gt;"",H135&lt;=I135),"أعد الطلب","متاح")))</f>
        <v/>
      </c>
    </row>
    <row r="136">
      <c r="A136" s="50" t="n"/>
      <c r="B136" s="49">
        <f>IF(A136="","",IFERROR(INDEX('أوامر التوريد'!$H$5:$H$304,MATCH(A136,'أوامر التوريد'!$G$5:$G$304,0)),""))</f>
        <v/>
      </c>
      <c r="C136" s="39">
        <f>IF(A136="","",IFERROR(INDEX('أوامر التوريد'!$C$5:$C$304,MATCH(A136,'أوامر التوريد'!$G$5:$G$304,0)),""))</f>
        <v/>
      </c>
      <c r="D136" s="39">
        <f>IF(A136="","",IFERROR(INDEX('أوامر التوريد'!$I$5:$I$304,MATCH(A136,'أوامر التوريد'!$G$5:$G$304,0)),""))</f>
        <v/>
      </c>
      <c r="E136" s="46">
        <f>IF(A136="","",SUMIFS('أوامر التوريد'!$J$5:$J$304,'أوامر التوريد'!$G$5:$G$304,A136))</f>
        <v/>
      </c>
      <c r="F136" s="46">
        <f>IF(A136="","",SUMIFS('استلام المواد'!$K$5:$K$304,'استلام المواد'!$F$5:$F$304,A136))</f>
        <v/>
      </c>
      <c r="G136" s="46">
        <f>IF(A136="","",SUMIFS('صرف المواد'!$G$5:$G$304,'صرف المواد'!$C$5:$C$304,A136))</f>
        <v/>
      </c>
      <c r="H136" s="46">
        <f>IF(A136="","",F136-G136)</f>
        <v/>
      </c>
      <c r="I136" s="41" t="n"/>
      <c r="J136" s="46">
        <f>IF(A136="","",IFERROR(SUMIFS('أوامر التوريد'!$L$5:$L$304,'أوامر التوريد'!$G$5:$G$304,A136)/E136,0))</f>
        <v/>
      </c>
      <c r="K136" s="46">
        <f>IF(A136="","",H136*J136)</f>
        <v/>
      </c>
      <c r="L136" s="49">
        <f>IF(A136="","",IF(H136&lt;0,"رصيد سالب!",IF(AND(I136&lt;&gt;"",H136&lt;=I136),"أعد الطلب","متاح")))</f>
        <v/>
      </c>
    </row>
    <row r="137">
      <c r="A137" s="50" t="n"/>
      <c r="B137" s="49">
        <f>IF(A137="","",IFERROR(INDEX('أوامر التوريد'!$H$5:$H$304,MATCH(A137,'أوامر التوريد'!$G$5:$G$304,0)),""))</f>
        <v/>
      </c>
      <c r="C137" s="39">
        <f>IF(A137="","",IFERROR(INDEX('أوامر التوريد'!$C$5:$C$304,MATCH(A137,'أوامر التوريد'!$G$5:$G$304,0)),""))</f>
        <v/>
      </c>
      <c r="D137" s="39">
        <f>IF(A137="","",IFERROR(INDEX('أوامر التوريد'!$I$5:$I$304,MATCH(A137,'أوامر التوريد'!$G$5:$G$304,0)),""))</f>
        <v/>
      </c>
      <c r="E137" s="46">
        <f>IF(A137="","",SUMIFS('أوامر التوريد'!$J$5:$J$304,'أوامر التوريد'!$G$5:$G$304,A137))</f>
        <v/>
      </c>
      <c r="F137" s="46">
        <f>IF(A137="","",SUMIFS('استلام المواد'!$K$5:$K$304,'استلام المواد'!$F$5:$F$304,A137))</f>
        <v/>
      </c>
      <c r="G137" s="46">
        <f>IF(A137="","",SUMIFS('صرف المواد'!$G$5:$G$304,'صرف المواد'!$C$5:$C$304,A137))</f>
        <v/>
      </c>
      <c r="H137" s="46">
        <f>IF(A137="","",F137-G137)</f>
        <v/>
      </c>
      <c r="I137" s="41" t="n"/>
      <c r="J137" s="46">
        <f>IF(A137="","",IFERROR(SUMIFS('أوامر التوريد'!$L$5:$L$304,'أوامر التوريد'!$G$5:$G$304,A137)/E137,0))</f>
        <v/>
      </c>
      <c r="K137" s="46">
        <f>IF(A137="","",H137*J137)</f>
        <v/>
      </c>
      <c r="L137" s="49">
        <f>IF(A137="","",IF(H137&lt;0,"رصيد سالب!",IF(AND(I137&lt;&gt;"",H137&lt;=I137),"أعد الطلب","متاح")))</f>
        <v/>
      </c>
    </row>
    <row r="138">
      <c r="A138" s="50" t="n"/>
      <c r="B138" s="49">
        <f>IF(A138="","",IFERROR(INDEX('أوامر التوريد'!$H$5:$H$304,MATCH(A138,'أوامر التوريد'!$G$5:$G$304,0)),""))</f>
        <v/>
      </c>
      <c r="C138" s="39">
        <f>IF(A138="","",IFERROR(INDEX('أوامر التوريد'!$C$5:$C$304,MATCH(A138,'أوامر التوريد'!$G$5:$G$304,0)),""))</f>
        <v/>
      </c>
      <c r="D138" s="39">
        <f>IF(A138="","",IFERROR(INDEX('أوامر التوريد'!$I$5:$I$304,MATCH(A138,'أوامر التوريد'!$G$5:$G$304,0)),""))</f>
        <v/>
      </c>
      <c r="E138" s="46">
        <f>IF(A138="","",SUMIFS('أوامر التوريد'!$J$5:$J$304,'أوامر التوريد'!$G$5:$G$304,A138))</f>
        <v/>
      </c>
      <c r="F138" s="46">
        <f>IF(A138="","",SUMIFS('استلام المواد'!$K$5:$K$304,'استلام المواد'!$F$5:$F$304,A138))</f>
        <v/>
      </c>
      <c r="G138" s="46">
        <f>IF(A138="","",SUMIFS('صرف المواد'!$G$5:$G$304,'صرف المواد'!$C$5:$C$304,A138))</f>
        <v/>
      </c>
      <c r="H138" s="46">
        <f>IF(A138="","",F138-G138)</f>
        <v/>
      </c>
      <c r="I138" s="41" t="n"/>
      <c r="J138" s="46">
        <f>IF(A138="","",IFERROR(SUMIFS('أوامر التوريد'!$L$5:$L$304,'أوامر التوريد'!$G$5:$G$304,A138)/E138,0))</f>
        <v/>
      </c>
      <c r="K138" s="46">
        <f>IF(A138="","",H138*J138)</f>
        <v/>
      </c>
      <c r="L138" s="49">
        <f>IF(A138="","",IF(H138&lt;0,"رصيد سالب!",IF(AND(I138&lt;&gt;"",H138&lt;=I138),"أعد الطلب","متاح")))</f>
        <v/>
      </c>
    </row>
    <row r="139">
      <c r="A139" s="50" t="n"/>
      <c r="B139" s="49">
        <f>IF(A139="","",IFERROR(INDEX('أوامر التوريد'!$H$5:$H$304,MATCH(A139,'أوامر التوريد'!$G$5:$G$304,0)),""))</f>
        <v/>
      </c>
      <c r="C139" s="39">
        <f>IF(A139="","",IFERROR(INDEX('أوامر التوريد'!$C$5:$C$304,MATCH(A139,'أوامر التوريد'!$G$5:$G$304,0)),""))</f>
        <v/>
      </c>
      <c r="D139" s="39">
        <f>IF(A139="","",IFERROR(INDEX('أوامر التوريد'!$I$5:$I$304,MATCH(A139,'أوامر التوريد'!$G$5:$G$304,0)),""))</f>
        <v/>
      </c>
      <c r="E139" s="46">
        <f>IF(A139="","",SUMIFS('أوامر التوريد'!$J$5:$J$304,'أوامر التوريد'!$G$5:$G$304,A139))</f>
        <v/>
      </c>
      <c r="F139" s="46">
        <f>IF(A139="","",SUMIFS('استلام المواد'!$K$5:$K$304,'استلام المواد'!$F$5:$F$304,A139))</f>
        <v/>
      </c>
      <c r="G139" s="46">
        <f>IF(A139="","",SUMIFS('صرف المواد'!$G$5:$G$304,'صرف المواد'!$C$5:$C$304,A139))</f>
        <v/>
      </c>
      <c r="H139" s="46">
        <f>IF(A139="","",F139-G139)</f>
        <v/>
      </c>
      <c r="I139" s="41" t="n"/>
      <c r="J139" s="46">
        <f>IF(A139="","",IFERROR(SUMIFS('أوامر التوريد'!$L$5:$L$304,'أوامر التوريد'!$G$5:$G$304,A139)/E139,0))</f>
        <v/>
      </c>
      <c r="K139" s="46">
        <f>IF(A139="","",H139*J139)</f>
        <v/>
      </c>
      <c r="L139" s="49">
        <f>IF(A139="","",IF(H139&lt;0,"رصيد سالب!",IF(AND(I139&lt;&gt;"",H139&lt;=I139),"أعد الطلب","متاح")))</f>
        <v/>
      </c>
    </row>
    <row r="140">
      <c r="A140" s="50" t="n"/>
      <c r="B140" s="49">
        <f>IF(A140="","",IFERROR(INDEX('أوامر التوريد'!$H$5:$H$304,MATCH(A140,'أوامر التوريد'!$G$5:$G$304,0)),""))</f>
        <v/>
      </c>
      <c r="C140" s="39">
        <f>IF(A140="","",IFERROR(INDEX('أوامر التوريد'!$C$5:$C$304,MATCH(A140,'أوامر التوريد'!$G$5:$G$304,0)),""))</f>
        <v/>
      </c>
      <c r="D140" s="39">
        <f>IF(A140="","",IFERROR(INDEX('أوامر التوريد'!$I$5:$I$304,MATCH(A140,'أوامر التوريد'!$G$5:$G$304,0)),""))</f>
        <v/>
      </c>
      <c r="E140" s="46">
        <f>IF(A140="","",SUMIFS('أوامر التوريد'!$J$5:$J$304,'أوامر التوريد'!$G$5:$G$304,A140))</f>
        <v/>
      </c>
      <c r="F140" s="46">
        <f>IF(A140="","",SUMIFS('استلام المواد'!$K$5:$K$304,'استلام المواد'!$F$5:$F$304,A140))</f>
        <v/>
      </c>
      <c r="G140" s="46">
        <f>IF(A140="","",SUMIFS('صرف المواد'!$G$5:$G$304,'صرف المواد'!$C$5:$C$304,A140))</f>
        <v/>
      </c>
      <c r="H140" s="46">
        <f>IF(A140="","",F140-G140)</f>
        <v/>
      </c>
      <c r="I140" s="41" t="n"/>
      <c r="J140" s="46">
        <f>IF(A140="","",IFERROR(SUMIFS('أوامر التوريد'!$L$5:$L$304,'أوامر التوريد'!$G$5:$G$304,A140)/E140,0))</f>
        <v/>
      </c>
      <c r="K140" s="46">
        <f>IF(A140="","",H140*J140)</f>
        <v/>
      </c>
      <c r="L140" s="49">
        <f>IF(A140="","",IF(H140&lt;0,"رصيد سالب!",IF(AND(I140&lt;&gt;"",H140&lt;=I140),"أعد الطلب","متاح")))</f>
        <v/>
      </c>
    </row>
    <row r="141">
      <c r="A141" s="50" t="n"/>
      <c r="B141" s="49">
        <f>IF(A141="","",IFERROR(INDEX('أوامر التوريد'!$H$5:$H$304,MATCH(A141,'أوامر التوريد'!$G$5:$G$304,0)),""))</f>
        <v/>
      </c>
      <c r="C141" s="39">
        <f>IF(A141="","",IFERROR(INDEX('أوامر التوريد'!$C$5:$C$304,MATCH(A141,'أوامر التوريد'!$G$5:$G$304,0)),""))</f>
        <v/>
      </c>
      <c r="D141" s="39">
        <f>IF(A141="","",IFERROR(INDEX('أوامر التوريد'!$I$5:$I$304,MATCH(A141,'أوامر التوريد'!$G$5:$G$304,0)),""))</f>
        <v/>
      </c>
      <c r="E141" s="46">
        <f>IF(A141="","",SUMIFS('أوامر التوريد'!$J$5:$J$304,'أوامر التوريد'!$G$5:$G$304,A141))</f>
        <v/>
      </c>
      <c r="F141" s="46">
        <f>IF(A141="","",SUMIFS('استلام المواد'!$K$5:$K$304,'استلام المواد'!$F$5:$F$304,A141))</f>
        <v/>
      </c>
      <c r="G141" s="46">
        <f>IF(A141="","",SUMIFS('صرف المواد'!$G$5:$G$304,'صرف المواد'!$C$5:$C$304,A141))</f>
        <v/>
      </c>
      <c r="H141" s="46">
        <f>IF(A141="","",F141-G141)</f>
        <v/>
      </c>
      <c r="I141" s="41" t="n"/>
      <c r="J141" s="46">
        <f>IF(A141="","",IFERROR(SUMIFS('أوامر التوريد'!$L$5:$L$304,'أوامر التوريد'!$G$5:$G$304,A141)/E141,0))</f>
        <v/>
      </c>
      <c r="K141" s="46">
        <f>IF(A141="","",H141*J141)</f>
        <v/>
      </c>
      <c r="L141" s="49">
        <f>IF(A141="","",IF(H141&lt;0,"رصيد سالب!",IF(AND(I141&lt;&gt;"",H141&lt;=I141),"أعد الطلب","متاح")))</f>
        <v/>
      </c>
    </row>
    <row r="142">
      <c r="A142" s="50" t="n"/>
      <c r="B142" s="49">
        <f>IF(A142="","",IFERROR(INDEX('أوامر التوريد'!$H$5:$H$304,MATCH(A142,'أوامر التوريد'!$G$5:$G$304,0)),""))</f>
        <v/>
      </c>
      <c r="C142" s="39">
        <f>IF(A142="","",IFERROR(INDEX('أوامر التوريد'!$C$5:$C$304,MATCH(A142,'أوامر التوريد'!$G$5:$G$304,0)),""))</f>
        <v/>
      </c>
      <c r="D142" s="39">
        <f>IF(A142="","",IFERROR(INDEX('أوامر التوريد'!$I$5:$I$304,MATCH(A142,'أوامر التوريد'!$G$5:$G$304,0)),""))</f>
        <v/>
      </c>
      <c r="E142" s="46">
        <f>IF(A142="","",SUMIFS('أوامر التوريد'!$J$5:$J$304,'أوامر التوريد'!$G$5:$G$304,A142))</f>
        <v/>
      </c>
      <c r="F142" s="46">
        <f>IF(A142="","",SUMIFS('استلام المواد'!$K$5:$K$304,'استلام المواد'!$F$5:$F$304,A142))</f>
        <v/>
      </c>
      <c r="G142" s="46">
        <f>IF(A142="","",SUMIFS('صرف المواد'!$G$5:$G$304,'صرف المواد'!$C$5:$C$304,A142))</f>
        <v/>
      </c>
      <c r="H142" s="46">
        <f>IF(A142="","",F142-G142)</f>
        <v/>
      </c>
      <c r="I142" s="41" t="n"/>
      <c r="J142" s="46">
        <f>IF(A142="","",IFERROR(SUMIFS('أوامر التوريد'!$L$5:$L$304,'أوامر التوريد'!$G$5:$G$304,A142)/E142,0))</f>
        <v/>
      </c>
      <c r="K142" s="46">
        <f>IF(A142="","",H142*J142)</f>
        <v/>
      </c>
      <c r="L142" s="49">
        <f>IF(A142="","",IF(H142&lt;0,"رصيد سالب!",IF(AND(I142&lt;&gt;"",H142&lt;=I142),"أعد الطلب","متاح")))</f>
        <v/>
      </c>
    </row>
    <row r="143">
      <c r="A143" s="50" t="n"/>
      <c r="B143" s="49">
        <f>IF(A143="","",IFERROR(INDEX('أوامر التوريد'!$H$5:$H$304,MATCH(A143,'أوامر التوريد'!$G$5:$G$304,0)),""))</f>
        <v/>
      </c>
      <c r="C143" s="39">
        <f>IF(A143="","",IFERROR(INDEX('أوامر التوريد'!$C$5:$C$304,MATCH(A143,'أوامر التوريد'!$G$5:$G$304,0)),""))</f>
        <v/>
      </c>
      <c r="D143" s="39">
        <f>IF(A143="","",IFERROR(INDEX('أوامر التوريد'!$I$5:$I$304,MATCH(A143,'أوامر التوريد'!$G$5:$G$304,0)),""))</f>
        <v/>
      </c>
      <c r="E143" s="46">
        <f>IF(A143="","",SUMIFS('أوامر التوريد'!$J$5:$J$304,'أوامر التوريد'!$G$5:$G$304,A143))</f>
        <v/>
      </c>
      <c r="F143" s="46">
        <f>IF(A143="","",SUMIFS('استلام المواد'!$K$5:$K$304,'استلام المواد'!$F$5:$F$304,A143))</f>
        <v/>
      </c>
      <c r="G143" s="46">
        <f>IF(A143="","",SUMIFS('صرف المواد'!$G$5:$G$304,'صرف المواد'!$C$5:$C$304,A143))</f>
        <v/>
      </c>
      <c r="H143" s="46">
        <f>IF(A143="","",F143-G143)</f>
        <v/>
      </c>
      <c r="I143" s="41" t="n"/>
      <c r="J143" s="46">
        <f>IF(A143="","",IFERROR(SUMIFS('أوامر التوريد'!$L$5:$L$304,'أوامر التوريد'!$G$5:$G$304,A143)/E143,0))</f>
        <v/>
      </c>
      <c r="K143" s="46">
        <f>IF(A143="","",H143*J143)</f>
        <v/>
      </c>
      <c r="L143" s="49">
        <f>IF(A143="","",IF(H143&lt;0,"رصيد سالب!",IF(AND(I143&lt;&gt;"",H143&lt;=I143),"أعد الطلب","متاح")))</f>
        <v/>
      </c>
    </row>
    <row r="144">
      <c r="A144" s="50" t="n"/>
      <c r="B144" s="49">
        <f>IF(A144="","",IFERROR(INDEX('أوامر التوريد'!$H$5:$H$304,MATCH(A144,'أوامر التوريد'!$G$5:$G$304,0)),""))</f>
        <v/>
      </c>
      <c r="C144" s="39">
        <f>IF(A144="","",IFERROR(INDEX('أوامر التوريد'!$C$5:$C$304,MATCH(A144,'أوامر التوريد'!$G$5:$G$304,0)),""))</f>
        <v/>
      </c>
      <c r="D144" s="39">
        <f>IF(A144="","",IFERROR(INDEX('أوامر التوريد'!$I$5:$I$304,MATCH(A144,'أوامر التوريد'!$G$5:$G$304,0)),""))</f>
        <v/>
      </c>
      <c r="E144" s="46">
        <f>IF(A144="","",SUMIFS('أوامر التوريد'!$J$5:$J$304,'أوامر التوريد'!$G$5:$G$304,A144))</f>
        <v/>
      </c>
      <c r="F144" s="46">
        <f>IF(A144="","",SUMIFS('استلام المواد'!$K$5:$K$304,'استلام المواد'!$F$5:$F$304,A144))</f>
        <v/>
      </c>
      <c r="G144" s="46">
        <f>IF(A144="","",SUMIFS('صرف المواد'!$G$5:$G$304,'صرف المواد'!$C$5:$C$304,A144))</f>
        <v/>
      </c>
      <c r="H144" s="46">
        <f>IF(A144="","",F144-G144)</f>
        <v/>
      </c>
      <c r="I144" s="41" t="n"/>
      <c r="J144" s="46">
        <f>IF(A144="","",IFERROR(SUMIFS('أوامر التوريد'!$L$5:$L$304,'أوامر التوريد'!$G$5:$G$304,A144)/E144,0))</f>
        <v/>
      </c>
      <c r="K144" s="46">
        <f>IF(A144="","",H144*J144)</f>
        <v/>
      </c>
      <c r="L144" s="49">
        <f>IF(A144="","",IF(H144&lt;0,"رصيد سالب!",IF(AND(I144&lt;&gt;"",H144&lt;=I144),"أعد الطلب","متاح")))</f>
        <v/>
      </c>
    </row>
    <row r="145">
      <c r="A145" s="50" t="n"/>
      <c r="B145" s="49">
        <f>IF(A145="","",IFERROR(INDEX('أوامر التوريد'!$H$5:$H$304,MATCH(A145,'أوامر التوريد'!$G$5:$G$304,0)),""))</f>
        <v/>
      </c>
      <c r="C145" s="39">
        <f>IF(A145="","",IFERROR(INDEX('أوامر التوريد'!$C$5:$C$304,MATCH(A145,'أوامر التوريد'!$G$5:$G$304,0)),""))</f>
        <v/>
      </c>
      <c r="D145" s="39">
        <f>IF(A145="","",IFERROR(INDEX('أوامر التوريد'!$I$5:$I$304,MATCH(A145,'أوامر التوريد'!$G$5:$G$304,0)),""))</f>
        <v/>
      </c>
      <c r="E145" s="46">
        <f>IF(A145="","",SUMIFS('أوامر التوريد'!$J$5:$J$304,'أوامر التوريد'!$G$5:$G$304,A145))</f>
        <v/>
      </c>
      <c r="F145" s="46">
        <f>IF(A145="","",SUMIFS('استلام المواد'!$K$5:$K$304,'استلام المواد'!$F$5:$F$304,A145))</f>
        <v/>
      </c>
      <c r="G145" s="46">
        <f>IF(A145="","",SUMIFS('صرف المواد'!$G$5:$G$304,'صرف المواد'!$C$5:$C$304,A145))</f>
        <v/>
      </c>
      <c r="H145" s="46">
        <f>IF(A145="","",F145-G145)</f>
        <v/>
      </c>
      <c r="I145" s="41" t="n"/>
      <c r="J145" s="46">
        <f>IF(A145="","",IFERROR(SUMIFS('أوامر التوريد'!$L$5:$L$304,'أوامر التوريد'!$G$5:$G$304,A145)/E145,0))</f>
        <v/>
      </c>
      <c r="K145" s="46">
        <f>IF(A145="","",H145*J145)</f>
        <v/>
      </c>
      <c r="L145" s="49">
        <f>IF(A145="","",IF(H145&lt;0,"رصيد سالب!",IF(AND(I145&lt;&gt;"",H145&lt;=I145),"أعد الطلب","متاح")))</f>
        <v/>
      </c>
    </row>
    <row r="146">
      <c r="A146" s="50" t="n"/>
      <c r="B146" s="49">
        <f>IF(A146="","",IFERROR(INDEX('أوامر التوريد'!$H$5:$H$304,MATCH(A146,'أوامر التوريد'!$G$5:$G$304,0)),""))</f>
        <v/>
      </c>
      <c r="C146" s="39">
        <f>IF(A146="","",IFERROR(INDEX('أوامر التوريد'!$C$5:$C$304,MATCH(A146,'أوامر التوريد'!$G$5:$G$304,0)),""))</f>
        <v/>
      </c>
      <c r="D146" s="39">
        <f>IF(A146="","",IFERROR(INDEX('أوامر التوريد'!$I$5:$I$304,MATCH(A146,'أوامر التوريد'!$G$5:$G$304,0)),""))</f>
        <v/>
      </c>
      <c r="E146" s="46">
        <f>IF(A146="","",SUMIFS('أوامر التوريد'!$J$5:$J$304,'أوامر التوريد'!$G$5:$G$304,A146))</f>
        <v/>
      </c>
      <c r="F146" s="46">
        <f>IF(A146="","",SUMIFS('استلام المواد'!$K$5:$K$304,'استلام المواد'!$F$5:$F$304,A146))</f>
        <v/>
      </c>
      <c r="G146" s="46">
        <f>IF(A146="","",SUMIFS('صرف المواد'!$G$5:$G$304,'صرف المواد'!$C$5:$C$304,A146))</f>
        <v/>
      </c>
      <c r="H146" s="46">
        <f>IF(A146="","",F146-G146)</f>
        <v/>
      </c>
      <c r="I146" s="41" t="n"/>
      <c r="J146" s="46">
        <f>IF(A146="","",IFERROR(SUMIFS('أوامر التوريد'!$L$5:$L$304,'أوامر التوريد'!$G$5:$G$304,A146)/E146,0))</f>
        <v/>
      </c>
      <c r="K146" s="46">
        <f>IF(A146="","",H146*J146)</f>
        <v/>
      </c>
      <c r="L146" s="49">
        <f>IF(A146="","",IF(H146&lt;0,"رصيد سالب!",IF(AND(I146&lt;&gt;"",H146&lt;=I146),"أعد الطلب","متاح")))</f>
        <v/>
      </c>
    </row>
    <row r="147">
      <c r="A147" s="50" t="n"/>
      <c r="B147" s="49">
        <f>IF(A147="","",IFERROR(INDEX('أوامر التوريد'!$H$5:$H$304,MATCH(A147,'أوامر التوريد'!$G$5:$G$304,0)),""))</f>
        <v/>
      </c>
      <c r="C147" s="39">
        <f>IF(A147="","",IFERROR(INDEX('أوامر التوريد'!$C$5:$C$304,MATCH(A147,'أوامر التوريد'!$G$5:$G$304,0)),""))</f>
        <v/>
      </c>
      <c r="D147" s="39">
        <f>IF(A147="","",IFERROR(INDEX('أوامر التوريد'!$I$5:$I$304,MATCH(A147,'أوامر التوريد'!$G$5:$G$304,0)),""))</f>
        <v/>
      </c>
      <c r="E147" s="46">
        <f>IF(A147="","",SUMIFS('أوامر التوريد'!$J$5:$J$304,'أوامر التوريد'!$G$5:$G$304,A147))</f>
        <v/>
      </c>
      <c r="F147" s="46">
        <f>IF(A147="","",SUMIFS('استلام المواد'!$K$5:$K$304,'استلام المواد'!$F$5:$F$304,A147))</f>
        <v/>
      </c>
      <c r="G147" s="46">
        <f>IF(A147="","",SUMIFS('صرف المواد'!$G$5:$G$304,'صرف المواد'!$C$5:$C$304,A147))</f>
        <v/>
      </c>
      <c r="H147" s="46">
        <f>IF(A147="","",F147-G147)</f>
        <v/>
      </c>
      <c r="I147" s="41" t="n"/>
      <c r="J147" s="46">
        <f>IF(A147="","",IFERROR(SUMIFS('أوامر التوريد'!$L$5:$L$304,'أوامر التوريد'!$G$5:$G$304,A147)/E147,0))</f>
        <v/>
      </c>
      <c r="K147" s="46">
        <f>IF(A147="","",H147*J147)</f>
        <v/>
      </c>
      <c r="L147" s="49">
        <f>IF(A147="","",IF(H147&lt;0,"رصيد سالب!",IF(AND(I147&lt;&gt;"",H147&lt;=I147),"أعد الطلب","متاح")))</f>
        <v/>
      </c>
    </row>
    <row r="148">
      <c r="A148" s="50" t="n"/>
      <c r="B148" s="49">
        <f>IF(A148="","",IFERROR(INDEX('أوامر التوريد'!$H$5:$H$304,MATCH(A148,'أوامر التوريد'!$G$5:$G$304,0)),""))</f>
        <v/>
      </c>
      <c r="C148" s="39">
        <f>IF(A148="","",IFERROR(INDEX('أوامر التوريد'!$C$5:$C$304,MATCH(A148,'أوامر التوريد'!$G$5:$G$304,0)),""))</f>
        <v/>
      </c>
      <c r="D148" s="39">
        <f>IF(A148="","",IFERROR(INDEX('أوامر التوريد'!$I$5:$I$304,MATCH(A148,'أوامر التوريد'!$G$5:$G$304,0)),""))</f>
        <v/>
      </c>
      <c r="E148" s="46">
        <f>IF(A148="","",SUMIFS('أوامر التوريد'!$J$5:$J$304,'أوامر التوريد'!$G$5:$G$304,A148))</f>
        <v/>
      </c>
      <c r="F148" s="46">
        <f>IF(A148="","",SUMIFS('استلام المواد'!$K$5:$K$304,'استلام المواد'!$F$5:$F$304,A148))</f>
        <v/>
      </c>
      <c r="G148" s="46">
        <f>IF(A148="","",SUMIFS('صرف المواد'!$G$5:$G$304,'صرف المواد'!$C$5:$C$304,A148))</f>
        <v/>
      </c>
      <c r="H148" s="46">
        <f>IF(A148="","",F148-G148)</f>
        <v/>
      </c>
      <c r="I148" s="41" t="n"/>
      <c r="J148" s="46">
        <f>IF(A148="","",IFERROR(SUMIFS('أوامر التوريد'!$L$5:$L$304,'أوامر التوريد'!$G$5:$G$304,A148)/E148,0))</f>
        <v/>
      </c>
      <c r="K148" s="46">
        <f>IF(A148="","",H148*J148)</f>
        <v/>
      </c>
      <c r="L148" s="49">
        <f>IF(A148="","",IF(H148&lt;0,"رصيد سالب!",IF(AND(I148&lt;&gt;"",H148&lt;=I148),"أعد الطلب","متاح")))</f>
        <v/>
      </c>
    </row>
    <row r="149">
      <c r="A149" s="50" t="n"/>
      <c r="B149" s="49">
        <f>IF(A149="","",IFERROR(INDEX('أوامر التوريد'!$H$5:$H$304,MATCH(A149,'أوامر التوريد'!$G$5:$G$304,0)),""))</f>
        <v/>
      </c>
      <c r="C149" s="39">
        <f>IF(A149="","",IFERROR(INDEX('أوامر التوريد'!$C$5:$C$304,MATCH(A149,'أوامر التوريد'!$G$5:$G$304,0)),""))</f>
        <v/>
      </c>
      <c r="D149" s="39">
        <f>IF(A149="","",IFERROR(INDEX('أوامر التوريد'!$I$5:$I$304,MATCH(A149,'أوامر التوريد'!$G$5:$G$304,0)),""))</f>
        <v/>
      </c>
      <c r="E149" s="46">
        <f>IF(A149="","",SUMIFS('أوامر التوريد'!$J$5:$J$304,'أوامر التوريد'!$G$5:$G$304,A149))</f>
        <v/>
      </c>
      <c r="F149" s="46">
        <f>IF(A149="","",SUMIFS('استلام المواد'!$K$5:$K$304,'استلام المواد'!$F$5:$F$304,A149))</f>
        <v/>
      </c>
      <c r="G149" s="46">
        <f>IF(A149="","",SUMIFS('صرف المواد'!$G$5:$G$304,'صرف المواد'!$C$5:$C$304,A149))</f>
        <v/>
      </c>
      <c r="H149" s="46">
        <f>IF(A149="","",F149-G149)</f>
        <v/>
      </c>
      <c r="I149" s="41" t="n"/>
      <c r="J149" s="46">
        <f>IF(A149="","",IFERROR(SUMIFS('أوامر التوريد'!$L$5:$L$304,'أوامر التوريد'!$G$5:$G$304,A149)/E149,0))</f>
        <v/>
      </c>
      <c r="K149" s="46">
        <f>IF(A149="","",H149*J149)</f>
        <v/>
      </c>
      <c r="L149" s="49">
        <f>IF(A149="","",IF(H149&lt;0,"رصيد سالب!",IF(AND(I149&lt;&gt;"",H149&lt;=I149),"أعد الطلب","متاح")))</f>
        <v/>
      </c>
    </row>
    <row r="150">
      <c r="A150" s="50" t="n"/>
      <c r="B150" s="49">
        <f>IF(A150="","",IFERROR(INDEX('أوامر التوريد'!$H$5:$H$304,MATCH(A150,'أوامر التوريد'!$G$5:$G$304,0)),""))</f>
        <v/>
      </c>
      <c r="C150" s="39">
        <f>IF(A150="","",IFERROR(INDEX('أوامر التوريد'!$C$5:$C$304,MATCH(A150,'أوامر التوريد'!$G$5:$G$304,0)),""))</f>
        <v/>
      </c>
      <c r="D150" s="39">
        <f>IF(A150="","",IFERROR(INDEX('أوامر التوريد'!$I$5:$I$304,MATCH(A150,'أوامر التوريد'!$G$5:$G$304,0)),""))</f>
        <v/>
      </c>
      <c r="E150" s="46">
        <f>IF(A150="","",SUMIFS('أوامر التوريد'!$J$5:$J$304,'أوامر التوريد'!$G$5:$G$304,A150))</f>
        <v/>
      </c>
      <c r="F150" s="46">
        <f>IF(A150="","",SUMIFS('استلام المواد'!$K$5:$K$304,'استلام المواد'!$F$5:$F$304,A150))</f>
        <v/>
      </c>
      <c r="G150" s="46">
        <f>IF(A150="","",SUMIFS('صرف المواد'!$G$5:$G$304,'صرف المواد'!$C$5:$C$304,A150))</f>
        <v/>
      </c>
      <c r="H150" s="46">
        <f>IF(A150="","",F150-G150)</f>
        <v/>
      </c>
      <c r="I150" s="41" t="n"/>
      <c r="J150" s="46">
        <f>IF(A150="","",IFERROR(SUMIFS('أوامر التوريد'!$L$5:$L$304,'أوامر التوريد'!$G$5:$G$304,A150)/E150,0))</f>
        <v/>
      </c>
      <c r="K150" s="46">
        <f>IF(A150="","",H150*J150)</f>
        <v/>
      </c>
      <c r="L150" s="49">
        <f>IF(A150="","",IF(H150&lt;0,"رصيد سالب!",IF(AND(I150&lt;&gt;"",H150&lt;=I150),"أعد الطلب","متاح")))</f>
        <v/>
      </c>
    </row>
    <row r="151">
      <c r="A151" s="50" t="n"/>
      <c r="B151" s="49">
        <f>IF(A151="","",IFERROR(INDEX('أوامر التوريد'!$H$5:$H$304,MATCH(A151,'أوامر التوريد'!$G$5:$G$304,0)),""))</f>
        <v/>
      </c>
      <c r="C151" s="39">
        <f>IF(A151="","",IFERROR(INDEX('أوامر التوريد'!$C$5:$C$304,MATCH(A151,'أوامر التوريد'!$G$5:$G$304,0)),""))</f>
        <v/>
      </c>
      <c r="D151" s="39">
        <f>IF(A151="","",IFERROR(INDEX('أوامر التوريد'!$I$5:$I$304,MATCH(A151,'أوامر التوريد'!$G$5:$G$304,0)),""))</f>
        <v/>
      </c>
      <c r="E151" s="46">
        <f>IF(A151="","",SUMIFS('أوامر التوريد'!$J$5:$J$304,'أوامر التوريد'!$G$5:$G$304,A151))</f>
        <v/>
      </c>
      <c r="F151" s="46">
        <f>IF(A151="","",SUMIFS('استلام المواد'!$K$5:$K$304,'استلام المواد'!$F$5:$F$304,A151))</f>
        <v/>
      </c>
      <c r="G151" s="46">
        <f>IF(A151="","",SUMIFS('صرف المواد'!$G$5:$G$304,'صرف المواد'!$C$5:$C$304,A151))</f>
        <v/>
      </c>
      <c r="H151" s="46">
        <f>IF(A151="","",F151-G151)</f>
        <v/>
      </c>
      <c r="I151" s="41" t="n"/>
      <c r="J151" s="46">
        <f>IF(A151="","",IFERROR(SUMIFS('أوامر التوريد'!$L$5:$L$304,'أوامر التوريد'!$G$5:$G$304,A151)/E151,0))</f>
        <v/>
      </c>
      <c r="K151" s="46">
        <f>IF(A151="","",H151*J151)</f>
        <v/>
      </c>
      <c r="L151" s="49">
        <f>IF(A151="","",IF(H151&lt;0,"رصيد سالب!",IF(AND(I151&lt;&gt;"",H151&lt;=I151),"أعد الطلب","متاح")))</f>
        <v/>
      </c>
    </row>
    <row r="152">
      <c r="A152" s="50" t="n"/>
      <c r="B152" s="49">
        <f>IF(A152="","",IFERROR(INDEX('أوامر التوريد'!$H$5:$H$304,MATCH(A152,'أوامر التوريد'!$G$5:$G$304,0)),""))</f>
        <v/>
      </c>
      <c r="C152" s="39">
        <f>IF(A152="","",IFERROR(INDEX('أوامر التوريد'!$C$5:$C$304,MATCH(A152,'أوامر التوريد'!$G$5:$G$304,0)),""))</f>
        <v/>
      </c>
      <c r="D152" s="39">
        <f>IF(A152="","",IFERROR(INDEX('أوامر التوريد'!$I$5:$I$304,MATCH(A152,'أوامر التوريد'!$G$5:$G$304,0)),""))</f>
        <v/>
      </c>
      <c r="E152" s="46">
        <f>IF(A152="","",SUMIFS('أوامر التوريد'!$J$5:$J$304,'أوامر التوريد'!$G$5:$G$304,A152))</f>
        <v/>
      </c>
      <c r="F152" s="46">
        <f>IF(A152="","",SUMIFS('استلام المواد'!$K$5:$K$304,'استلام المواد'!$F$5:$F$304,A152))</f>
        <v/>
      </c>
      <c r="G152" s="46">
        <f>IF(A152="","",SUMIFS('صرف المواد'!$G$5:$G$304,'صرف المواد'!$C$5:$C$304,A152))</f>
        <v/>
      </c>
      <c r="H152" s="46">
        <f>IF(A152="","",F152-G152)</f>
        <v/>
      </c>
      <c r="I152" s="41" t="n"/>
      <c r="J152" s="46">
        <f>IF(A152="","",IFERROR(SUMIFS('أوامر التوريد'!$L$5:$L$304,'أوامر التوريد'!$G$5:$G$304,A152)/E152,0))</f>
        <v/>
      </c>
      <c r="K152" s="46">
        <f>IF(A152="","",H152*J152)</f>
        <v/>
      </c>
      <c r="L152" s="49">
        <f>IF(A152="","",IF(H152&lt;0,"رصيد سالب!",IF(AND(I152&lt;&gt;"",H152&lt;=I152),"أعد الطلب","متاح")))</f>
        <v/>
      </c>
    </row>
    <row r="153">
      <c r="A153" s="50" t="n"/>
      <c r="B153" s="49">
        <f>IF(A153="","",IFERROR(INDEX('أوامر التوريد'!$H$5:$H$304,MATCH(A153,'أوامر التوريد'!$G$5:$G$304,0)),""))</f>
        <v/>
      </c>
      <c r="C153" s="39">
        <f>IF(A153="","",IFERROR(INDEX('أوامر التوريد'!$C$5:$C$304,MATCH(A153,'أوامر التوريد'!$G$5:$G$304,0)),""))</f>
        <v/>
      </c>
      <c r="D153" s="39">
        <f>IF(A153="","",IFERROR(INDEX('أوامر التوريد'!$I$5:$I$304,MATCH(A153,'أوامر التوريد'!$G$5:$G$304,0)),""))</f>
        <v/>
      </c>
      <c r="E153" s="46">
        <f>IF(A153="","",SUMIFS('أوامر التوريد'!$J$5:$J$304,'أوامر التوريد'!$G$5:$G$304,A153))</f>
        <v/>
      </c>
      <c r="F153" s="46">
        <f>IF(A153="","",SUMIFS('استلام المواد'!$K$5:$K$304,'استلام المواد'!$F$5:$F$304,A153))</f>
        <v/>
      </c>
      <c r="G153" s="46">
        <f>IF(A153="","",SUMIFS('صرف المواد'!$G$5:$G$304,'صرف المواد'!$C$5:$C$304,A153))</f>
        <v/>
      </c>
      <c r="H153" s="46">
        <f>IF(A153="","",F153-G153)</f>
        <v/>
      </c>
      <c r="I153" s="41" t="n"/>
      <c r="J153" s="46">
        <f>IF(A153="","",IFERROR(SUMIFS('أوامر التوريد'!$L$5:$L$304,'أوامر التوريد'!$G$5:$G$304,A153)/E153,0))</f>
        <v/>
      </c>
      <c r="K153" s="46">
        <f>IF(A153="","",H153*J153)</f>
        <v/>
      </c>
      <c r="L153" s="49">
        <f>IF(A153="","",IF(H153&lt;0,"رصيد سالب!",IF(AND(I153&lt;&gt;"",H153&lt;=I153),"أعد الطلب","متاح")))</f>
        <v/>
      </c>
    </row>
    <row r="154">
      <c r="A154" s="50" t="n"/>
      <c r="B154" s="49">
        <f>IF(A154="","",IFERROR(INDEX('أوامر التوريد'!$H$5:$H$304,MATCH(A154,'أوامر التوريد'!$G$5:$G$304,0)),""))</f>
        <v/>
      </c>
      <c r="C154" s="39">
        <f>IF(A154="","",IFERROR(INDEX('أوامر التوريد'!$C$5:$C$304,MATCH(A154,'أوامر التوريد'!$G$5:$G$304,0)),""))</f>
        <v/>
      </c>
      <c r="D154" s="39">
        <f>IF(A154="","",IFERROR(INDEX('أوامر التوريد'!$I$5:$I$304,MATCH(A154,'أوامر التوريد'!$G$5:$G$304,0)),""))</f>
        <v/>
      </c>
      <c r="E154" s="46">
        <f>IF(A154="","",SUMIFS('أوامر التوريد'!$J$5:$J$304,'أوامر التوريد'!$G$5:$G$304,A154))</f>
        <v/>
      </c>
      <c r="F154" s="46">
        <f>IF(A154="","",SUMIFS('استلام المواد'!$K$5:$K$304,'استلام المواد'!$F$5:$F$304,A154))</f>
        <v/>
      </c>
      <c r="G154" s="46">
        <f>IF(A154="","",SUMIFS('صرف المواد'!$G$5:$G$304,'صرف المواد'!$C$5:$C$304,A154))</f>
        <v/>
      </c>
      <c r="H154" s="46">
        <f>IF(A154="","",F154-G154)</f>
        <v/>
      </c>
      <c r="I154" s="41" t="n"/>
      <c r="J154" s="46">
        <f>IF(A154="","",IFERROR(SUMIFS('أوامر التوريد'!$L$5:$L$304,'أوامر التوريد'!$G$5:$G$304,A154)/E154,0))</f>
        <v/>
      </c>
      <c r="K154" s="46">
        <f>IF(A154="","",H154*J154)</f>
        <v/>
      </c>
      <c r="L154" s="49">
        <f>IF(A154="","",IF(H154&lt;0,"رصيد سالب!",IF(AND(I154&lt;&gt;"",H154&lt;=I154),"أعد الطلب","متاح")))</f>
        <v/>
      </c>
    </row>
    <row r="155">
      <c r="A155" s="50" t="n"/>
      <c r="B155" s="49">
        <f>IF(A155="","",IFERROR(INDEX('أوامر التوريد'!$H$5:$H$304,MATCH(A155,'أوامر التوريد'!$G$5:$G$304,0)),""))</f>
        <v/>
      </c>
      <c r="C155" s="39">
        <f>IF(A155="","",IFERROR(INDEX('أوامر التوريد'!$C$5:$C$304,MATCH(A155,'أوامر التوريد'!$G$5:$G$304,0)),""))</f>
        <v/>
      </c>
      <c r="D155" s="39">
        <f>IF(A155="","",IFERROR(INDEX('أوامر التوريد'!$I$5:$I$304,MATCH(A155,'أوامر التوريد'!$G$5:$G$304,0)),""))</f>
        <v/>
      </c>
      <c r="E155" s="46">
        <f>IF(A155="","",SUMIFS('أوامر التوريد'!$J$5:$J$304,'أوامر التوريد'!$G$5:$G$304,A155))</f>
        <v/>
      </c>
      <c r="F155" s="46">
        <f>IF(A155="","",SUMIFS('استلام المواد'!$K$5:$K$304,'استلام المواد'!$F$5:$F$304,A155))</f>
        <v/>
      </c>
      <c r="G155" s="46">
        <f>IF(A155="","",SUMIFS('صرف المواد'!$G$5:$G$304,'صرف المواد'!$C$5:$C$304,A155))</f>
        <v/>
      </c>
      <c r="H155" s="46">
        <f>IF(A155="","",F155-G155)</f>
        <v/>
      </c>
      <c r="I155" s="41" t="n"/>
      <c r="J155" s="46">
        <f>IF(A155="","",IFERROR(SUMIFS('أوامر التوريد'!$L$5:$L$304,'أوامر التوريد'!$G$5:$G$304,A155)/E155,0))</f>
        <v/>
      </c>
      <c r="K155" s="46">
        <f>IF(A155="","",H155*J155)</f>
        <v/>
      </c>
      <c r="L155" s="49">
        <f>IF(A155="","",IF(H155&lt;0,"رصيد سالب!",IF(AND(I155&lt;&gt;"",H155&lt;=I155),"أعد الطلب","متاح")))</f>
        <v/>
      </c>
    </row>
    <row r="156">
      <c r="A156" s="50" t="n"/>
      <c r="B156" s="49">
        <f>IF(A156="","",IFERROR(INDEX('أوامر التوريد'!$H$5:$H$304,MATCH(A156,'أوامر التوريد'!$G$5:$G$304,0)),""))</f>
        <v/>
      </c>
      <c r="C156" s="39">
        <f>IF(A156="","",IFERROR(INDEX('أوامر التوريد'!$C$5:$C$304,MATCH(A156,'أوامر التوريد'!$G$5:$G$304,0)),""))</f>
        <v/>
      </c>
      <c r="D156" s="39">
        <f>IF(A156="","",IFERROR(INDEX('أوامر التوريد'!$I$5:$I$304,MATCH(A156,'أوامر التوريد'!$G$5:$G$304,0)),""))</f>
        <v/>
      </c>
      <c r="E156" s="46">
        <f>IF(A156="","",SUMIFS('أوامر التوريد'!$J$5:$J$304,'أوامر التوريد'!$G$5:$G$304,A156))</f>
        <v/>
      </c>
      <c r="F156" s="46">
        <f>IF(A156="","",SUMIFS('استلام المواد'!$K$5:$K$304,'استلام المواد'!$F$5:$F$304,A156))</f>
        <v/>
      </c>
      <c r="G156" s="46">
        <f>IF(A156="","",SUMIFS('صرف المواد'!$G$5:$G$304,'صرف المواد'!$C$5:$C$304,A156))</f>
        <v/>
      </c>
      <c r="H156" s="46">
        <f>IF(A156="","",F156-G156)</f>
        <v/>
      </c>
      <c r="I156" s="41" t="n"/>
      <c r="J156" s="46">
        <f>IF(A156="","",IFERROR(SUMIFS('أوامر التوريد'!$L$5:$L$304,'أوامر التوريد'!$G$5:$G$304,A156)/E156,0))</f>
        <v/>
      </c>
      <c r="K156" s="46">
        <f>IF(A156="","",H156*J156)</f>
        <v/>
      </c>
      <c r="L156" s="49">
        <f>IF(A156="","",IF(H156&lt;0,"رصيد سالب!",IF(AND(I156&lt;&gt;"",H156&lt;=I156),"أعد الطلب","متاح")))</f>
        <v/>
      </c>
    </row>
    <row r="157">
      <c r="A157" s="50" t="n"/>
      <c r="B157" s="49">
        <f>IF(A157="","",IFERROR(INDEX('أوامر التوريد'!$H$5:$H$304,MATCH(A157,'أوامر التوريد'!$G$5:$G$304,0)),""))</f>
        <v/>
      </c>
      <c r="C157" s="39">
        <f>IF(A157="","",IFERROR(INDEX('أوامر التوريد'!$C$5:$C$304,MATCH(A157,'أوامر التوريد'!$G$5:$G$304,0)),""))</f>
        <v/>
      </c>
      <c r="D157" s="39">
        <f>IF(A157="","",IFERROR(INDEX('أوامر التوريد'!$I$5:$I$304,MATCH(A157,'أوامر التوريد'!$G$5:$G$304,0)),""))</f>
        <v/>
      </c>
      <c r="E157" s="46">
        <f>IF(A157="","",SUMIFS('أوامر التوريد'!$J$5:$J$304,'أوامر التوريد'!$G$5:$G$304,A157))</f>
        <v/>
      </c>
      <c r="F157" s="46">
        <f>IF(A157="","",SUMIFS('استلام المواد'!$K$5:$K$304,'استلام المواد'!$F$5:$F$304,A157))</f>
        <v/>
      </c>
      <c r="G157" s="46">
        <f>IF(A157="","",SUMIFS('صرف المواد'!$G$5:$G$304,'صرف المواد'!$C$5:$C$304,A157))</f>
        <v/>
      </c>
      <c r="H157" s="46">
        <f>IF(A157="","",F157-G157)</f>
        <v/>
      </c>
      <c r="I157" s="41" t="n"/>
      <c r="J157" s="46">
        <f>IF(A157="","",IFERROR(SUMIFS('أوامر التوريد'!$L$5:$L$304,'أوامر التوريد'!$G$5:$G$304,A157)/E157,0))</f>
        <v/>
      </c>
      <c r="K157" s="46">
        <f>IF(A157="","",H157*J157)</f>
        <v/>
      </c>
      <c r="L157" s="49">
        <f>IF(A157="","",IF(H157&lt;0,"رصيد سالب!",IF(AND(I157&lt;&gt;"",H157&lt;=I157),"أعد الطلب","متاح")))</f>
        <v/>
      </c>
    </row>
    <row r="158">
      <c r="A158" s="50" t="n"/>
      <c r="B158" s="49">
        <f>IF(A158="","",IFERROR(INDEX('أوامر التوريد'!$H$5:$H$304,MATCH(A158,'أوامر التوريد'!$G$5:$G$304,0)),""))</f>
        <v/>
      </c>
      <c r="C158" s="39">
        <f>IF(A158="","",IFERROR(INDEX('أوامر التوريد'!$C$5:$C$304,MATCH(A158,'أوامر التوريد'!$G$5:$G$304,0)),""))</f>
        <v/>
      </c>
      <c r="D158" s="39">
        <f>IF(A158="","",IFERROR(INDEX('أوامر التوريد'!$I$5:$I$304,MATCH(A158,'أوامر التوريد'!$G$5:$G$304,0)),""))</f>
        <v/>
      </c>
      <c r="E158" s="46">
        <f>IF(A158="","",SUMIFS('أوامر التوريد'!$J$5:$J$304,'أوامر التوريد'!$G$5:$G$304,A158))</f>
        <v/>
      </c>
      <c r="F158" s="46">
        <f>IF(A158="","",SUMIFS('استلام المواد'!$K$5:$K$304,'استلام المواد'!$F$5:$F$304,A158))</f>
        <v/>
      </c>
      <c r="G158" s="46">
        <f>IF(A158="","",SUMIFS('صرف المواد'!$G$5:$G$304,'صرف المواد'!$C$5:$C$304,A158))</f>
        <v/>
      </c>
      <c r="H158" s="46">
        <f>IF(A158="","",F158-G158)</f>
        <v/>
      </c>
      <c r="I158" s="41" t="n"/>
      <c r="J158" s="46">
        <f>IF(A158="","",IFERROR(SUMIFS('أوامر التوريد'!$L$5:$L$304,'أوامر التوريد'!$G$5:$G$304,A158)/E158,0))</f>
        <v/>
      </c>
      <c r="K158" s="46">
        <f>IF(A158="","",H158*J158)</f>
        <v/>
      </c>
      <c r="L158" s="49">
        <f>IF(A158="","",IF(H158&lt;0,"رصيد سالب!",IF(AND(I158&lt;&gt;"",H158&lt;=I158),"أعد الطلب","متاح")))</f>
        <v/>
      </c>
    </row>
    <row r="159">
      <c r="A159" s="50" t="n"/>
      <c r="B159" s="49">
        <f>IF(A159="","",IFERROR(INDEX('أوامر التوريد'!$H$5:$H$304,MATCH(A159,'أوامر التوريد'!$G$5:$G$304,0)),""))</f>
        <v/>
      </c>
      <c r="C159" s="39">
        <f>IF(A159="","",IFERROR(INDEX('أوامر التوريد'!$C$5:$C$304,MATCH(A159,'أوامر التوريد'!$G$5:$G$304,0)),""))</f>
        <v/>
      </c>
      <c r="D159" s="39">
        <f>IF(A159="","",IFERROR(INDEX('أوامر التوريد'!$I$5:$I$304,MATCH(A159,'أوامر التوريد'!$G$5:$G$304,0)),""))</f>
        <v/>
      </c>
      <c r="E159" s="46">
        <f>IF(A159="","",SUMIFS('أوامر التوريد'!$J$5:$J$304,'أوامر التوريد'!$G$5:$G$304,A159))</f>
        <v/>
      </c>
      <c r="F159" s="46">
        <f>IF(A159="","",SUMIFS('استلام المواد'!$K$5:$K$304,'استلام المواد'!$F$5:$F$304,A159))</f>
        <v/>
      </c>
      <c r="G159" s="46">
        <f>IF(A159="","",SUMIFS('صرف المواد'!$G$5:$G$304,'صرف المواد'!$C$5:$C$304,A159))</f>
        <v/>
      </c>
      <c r="H159" s="46">
        <f>IF(A159="","",F159-G159)</f>
        <v/>
      </c>
      <c r="I159" s="41" t="n"/>
      <c r="J159" s="46">
        <f>IF(A159="","",IFERROR(SUMIFS('أوامر التوريد'!$L$5:$L$304,'أوامر التوريد'!$G$5:$G$304,A159)/E159,0))</f>
        <v/>
      </c>
      <c r="K159" s="46">
        <f>IF(A159="","",H159*J159)</f>
        <v/>
      </c>
      <c r="L159" s="49">
        <f>IF(A159="","",IF(H159&lt;0,"رصيد سالب!",IF(AND(I159&lt;&gt;"",H159&lt;=I159),"أعد الطلب","متاح")))</f>
        <v/>
      </c>
    </row>
    <row r="160">
      <c r="A160" s="50" t="n"/>
      <c r="B160" s="49">
        <f>IF(A160="","",IFERROR(INDEX('أوامر التوريد'!$H$5:$H$304,MATCH(A160,'أوامر التوريد'!$G$5:$G$304,0)),""))</f>
        <v/>
      </c>
      <c r="C160" s="39">
        <f>IF(A160="","",IFERROR(INDEX('أوامر التوريد'!$C$5:$C$304,MATCH(A160,'أوامر التوريد'!$G$5:$G$304,0)),""))</f>
        <v/>
      </c>
      <c r="D160" s="39">
        <f>IF(A160="","",IFERROR(INDEX('أوامر التوريد'!$I$5:$I$304,MATCH(A160,'أوامر التوريد'!$G$5:$G$304,0)),""))</f>
        <v/>
      </c>
      <c r="E160" s="46">
        <f>IF(A160="","",SUMIFS('أوامر التوريد'!$J$5:$J$304,'أوامر التوريد'!$G$5:$G$304,A160))</f>
        <v/>
      </c>
      <c r="F160" s="46">
        <f>IF(A160="","",SUMIFS('استلام المواد'!$K$5:$K$304,'استلام المواد'!$F$5:$F$304,A160))</f>
        <v/>
      </c>
      <c r="G160" s="46">
        <f>IF(A160="","",SUMIFS('صرف المواد'!$G$5:$G$304,'صرف المواد'!$C$5:$C$304,A160))</f>
        <v/>
      </c>
      <c r="H160" s="46">
        <f>IF(A160="","",F160-G160)</f>
        <v/>
      </c>
      <c r="I160" s="41" t="n"/>
      <c r="J160" s="46">
        <f>IF(A160="","",IFERROR(SUMIFS('أوامر التوريد'!$L$5:$L$304,'أوامر التوريد'!$G$5:$G$304,A160)/E160,0))</f>
        <v/>
      </c>
      <c r="K160" s="46">
        <f>IF(A160="","",H160*J160)</f>
        <v/>
      </c>
      <c r="L160" s="49">
        <f>IF(A160="","",IF(H160&lt;0,"رصيد سالب!",IF(AND(I160&lt;&gt;"",H160&lt;=I160),"أعد الطلب","متاح")))</f>
        <v/>
      </c>
    </row>
    <row r="161">
      <c r="A161" s="50" t="n"/>
      <c r="B161" s="49">
        <f>IF(A161="","",IFERROR(INDEX('أوامر التوريد'!$H$5:$H$304,MATCH(A161,'أوامر التوريد'!$G$5:$G$304,0)),""))</f>
        <v/>
      </c>
      <c r="C161" s="39">
        <f>IF(A161="","",IFERROR(INDEX('أوامر التوريد'!$C$5:$C$304,MATCH(A161,'أوامر التوريد'!$G$5:$G$304,0)),""))</f>
        <v/>
      </c>
      <c r="D161" s="39">
        <f>IF(A161="","",IFERROR(INDEX('أوامر التوريد'!$I$5:$I$304,MATCH(A161,'أوامر التوريد'!$G$5:$G$304,0)),""))</f>
        <v/>
      </c>
      <c r="E161" s="46">
        <f>IF(A161="","",SUMIFS('أوامر التوريد'!$J$5:$J$304,'أوامر التوريد'!$G$5:$G$304,A161))</f>
        <v/>
      </c>
      <c r="F161" s="46">
        <f>IF(A161="","",SUMIFS('استلام المواد'!$K$5:$K$304,'استلام المواد'!$F$5:$F$304,A161))</f>
        <v/>
      </c>
      <c r="G161" s="46">
        <f>IF(A161="","",SUMIFS('صرف المواد'!$G$5:$G$304,'صرف المواد'!$C$5:$C$304,A161))</f>
        <v/>
      </c>
      <c r="H161" s="46">
        <f>IF(A161="","",F161-G161)</f>
        <v/>
      </c>
      <c r="I161" s="41" t="n"/>
      <c r="J161" s="46">
        <f>IF(A161="","",IFERROR(SUMIFS('أوامر التوريد'!$L$5:$L$304,'أوامر التوريد'!$G$5:$G$304,A161)/E161,0))</f>
        <v/>
      </c>
      <c r="K161" s="46">
        <f>IF(A161="","",H161*J161)</f>
        <v/>
      </c>
      <c r="L161" s="49">
        <f>IF(A161="","",IF(H161&lt;0,"رصيد سالب!",IF(AND(I161&lt;&gt;"",H161&lt;=I161),"أعد الطلب","متاح")))</f>
        <v/>
      </c>
    </row>
    <row r="162">
      <c r="A162" s="50" t="n"/>
      <c r="B162" s="49">
        <f>IF(A162="","",IFERROR(INDEX('أوامر التوريد'!$H$5:$H$304,MATCH(A162,'أوامر التوريد'!$G$5:$G$304,0)),""))</f>
        <v/>
      </c>
      <c r="C162" s="39">
        <f>IF(A162="","",IFERROR(INDEX('أوامر التوريد'!$C$5:$C$304,MATCH(A162,'أوامر التوريد'!$G$5:$G$304,0)),""))</f>
        <v/>
      </c>
      <c r="D162" s="39">
        <f>IF(A162="","",IFERROR(INDEX('أوامر التوريد'!$I$5:$I$304,MATCH(A162,'أوامر التوريد'!$G$5:$G$304,0)),""))</f>
        <v/>
      </c>
      <c r="E162" s="46">
        <f>IF(A162="","",SUMIFS('أوامر التوريد'!$J$5:$J$304,'أوامر التوريد'!$G$5:$G$304,A162))</f>
        <v/>
      </c>
      <c r="F162" s="46">
        <f>IF(A162="","",SUMIFS('استلام المواد'!$K$5:$K$304,'استلام المواد'!$F$5:$F$304,A162))</f>
        <v/>
      </c>
      <c r="G162" s="46">
        <f>IF(A162="","",SUMIFS('صرف المواد'!$G$5:$G$304,'صرف المواد'!$C$5:$C$304,A162))</f>
        <v/>
      </c>
      <c r="H162" s="46">
        <f>IF(A162="","",F162-G162)</f>
        <v/>
      </c>
      <c r="I162" s="41" t="n"/>
      <c r="J162" s="46">
        <f>IF(A162="","",IFERROR(SUMIFS('أوامر التوريد'!$L$5:$L$304,'أوامر التوريد'!$G$5:$G$304,A162)/E162,0))</f>
        <v/>
      </c>
      <c r="K162" s="46">
        <f>IF(A162="","",H162*J162)</f>
        <v/>
      </c>
      <c r="L162" s="49">
        <f>IF(A162="","",IF(H162&lt;0,"رصيد سالب!",IF(AND(I162&lt;&gt;"",H162&lt;=I162),"أعد الطلب","متاح")))</f>
        <v/>
      </c>
    </row>
    <row r="163">
      <c r="A163" s="50" t="n"/>
      <c r="B163" s="49">
        <f>IF(A163="","",IFERROR(INDEX('أوامر التوريد'!$H$5:$H$304,MATCH(A163,'أوامر التوريد'!$G$5:$G$304,0)),""))</f>
        <v/>
      </c>
      <c r="C163" s="39">
        <f>IF(A163="","",IFERROR(INDEX('أوامر التوريد'!$C$5:$C$304,MATCH(A163,'أوامر التوريد'!$G$5:$G$304,0)),""))</f>
        <v/>
      </c>
      <c r="D163" s="39">
        <f>IF(A163="","",IFERROR(INDEX('أوامر التوريد'!$I$5:$I$304,MATCH(A163,'أوامر التوريد'!$G$5:$G$304,0)),""))</f>
        <v/>
      </c>
      <c r="E163" s="46">
        <f>IF(A163="","",SUMIFS('أوامر التوريد'!$J$5:$J$304,'أوامر التوريد'!$G$5:$G$304,A163))</f>
        <v/>
      </c>
      <c r="F163" s="46">
        <f>IF(A163="","",SUMIFS('استلام المواد'!$K$5:$K$304,'استلام المواد'!$F$5:$F$304,A163))</f>
        <v/>
      </c>
      <c r="G163" s="46">
        <f>IF(A163="","",SUMIFS('صرف المواد'!$G$5:$G$304,'صرف المواد'!$C$5:$C$304,A163))</f>
        <v/>
      </c>
      <c r="H163" s="46">
        <f>IF(A163="","",F163-G163)</f>
        <v/>
      </c>
      <c r="I163" s="41" t="n"/>
      <c r="J163" s="46">
        <f>IF(A163="","",IFERROR(SUMIFS('أوامر التوريد'!$L$5:$L$304,'أوامر التوريد'!$G$5:$G$304,A163)/E163,0))</f>
        <v/>
      </c>
      <c r="K163" s="46">
        <f>IF(A163="","",H163*J163)</f>
        <v/>
      </c>
      <c r="L163" s="49">
        <f>IF(A163="","",IF(H163&lt;0,"رصيد سالب!",IF(AND(I163&lt;&gt;"",H163&lt;=I163),"أعد الطلب","متاح")))</f>
        <v/>
      </c>
    </row>
    <row r="164">
      <c r="A164" s="50" t="n"/>
      <c r="B164" s="49">
        <f>IF(A164="","",IFERROR(INDEX('أوامر التوريد'!$H$5:$H$304,MATCH(A164,'أوامر التوريد'!$G$5:$G$304,0)),""))</f>
        <v/>
      </c>
      <c r="C164" s="39">
        <f>IF(A164="","",IFERROR(INDEX('أوامر التوريد'!$C$5:$C$304,MATCH(A164,'أوامر التوريد'!$G$5:$G$304,0)),""))</f>
        <v/>
      </c>
      <c r="D164" s="39">
        <f>IF(A164="","",IFERROR(INDEX('أوامر التوريد'!$I$5:$I$304,MATCH(A164,'أوامر التوريد'!$G$5:$G$304,0)),""))</f>
        <v/>
      </c>
      <c r="E164" s="46">
        <f>IF(A164="","",SUMIFS('أوامر التوريد'!$J$5:$J$304,'أوامر التوريد'!$G$5:$G$304,A164))</f>
        <v/>
      </c>
      <c r="F164" s="46">
        <f>IF(A164="","",SUMIFS('استلام المواد'!$K$5:$K$304,'استلام المواد'!$F$5:$F$304,A164))</f>
        <v/>
      </c>
      <c r="G164" s="46">
        <f>IF(A164="","",SUMIFS('صرف المواد'!$G$5:$G$304,'صرف المواد'!$C$5:$C$304,A164))</f>
        <v/>
      </c>
      <c r="H164" s="46">
        <f>IF(A164="","",F164-G164)</f>
        <v/>
      </c>
      <c r="I164" s="41" t="n"/>
      <c r="J164" s="46">
        <f>IF(A164="","",IFERROR(SUMIFS('أوامر التوريد'!$L$5:$L$304,'أوامر التوريد'!$G$5:$G$304,A164)/E164,0))</f>
        <v/>
      </c>
      <c r="K164" s="46">
        <f>IF(A164="","",H164*J164)</f>
        <v/>
      </c>
      <c r="L164" s="49">
        <f>IF(A164="","",IF(H164&lt;0,"رصيد سالب!",IF(AND(I164&lt;&gt;"",H164&lt;=I164),"أعد الطلب","متاح")))</f>
        <v/>
      </c>
    </row>
    <row r="165">
      <c r="A165" s="50" t="n"/>
      <c r="B165" s="49">
        <f>IF(A165="","",IFERROR(INDEX('أوامر التوريد'!$H$5:$H$304,MATCH(A165,'أوامر التوريد'!$G$5:$G$304,0)),""))</f>
        <v/>
      </c>
      <c r="C165" s="39">
        <f>IF(A165="","",IFERROR(INDEX('أوامر التوريد'!$C$5:$C$304,MATCH(A165,'أوامر التوريد'!$G$5:$G$304,0)),""))</f>
        <v/>
      </c>
      <c r="D165" s="39">
        <f>IF(A165="","",IFERROR(INDEX('أوامر التوريد'!$I$5:$I$304,MATCH(A165,'أوامر التوريد'!$G$5:$G$304,0)),""))</f>
        <v/>
      </c>
      <c r="E165" s="46">
        <f>IF(A165="","",SUMIFS('أوامر التوريد'!$J$5:$J$304,'أوامر التوريد'!$G$5:$G$304,A165))</f>
        <v/>
      </c>
      <c r="F165" s="46">
        <f>IF(A165="","",SUMIFS('استلام المواد'!$K$5:$K$304,'استلام المواد'!$F$5:$F$304,A165))</f>
        <v/>
      </c>
      <c r="G165" s="46">
        <f>IF(A165="","",SUMIFS('صرف المواد'!$G$5:$G$304,'صرف المواد'!$C$5:$C$304,A165))</f>
        <v/>
      </c>
      <c r="H165" s="46">
        <f>IF(A165="","",F165-G165)</f>
        <v/>
      </c>
      <c r="I165" s="41" t="n"/>
      <c r="J165" s="46">
        <f>IF(A165="","",IFERROR(SUMIFS('أوامر التوريد'!$L$5:$L$304,'أوامر التوريد'!$G$5:$G$304,A165)/E165,0))</f>
        <v/>
      </c>
      <c r="K165" s="46">
        <f>IF(A165="","",H165*J165)</f>
        <v/>
      </c>
      <c r="L165" s="49">
        <f>IF(A165="","",IF(H165&lt;0,"رصيد سالب!",IF(AND(I165&lt;&gt;"",H165&lt;=I165),"أعد الطلب","متاح")))</f>
        <v/>
      </c>
    </row>
    <row r="166">
      <c r="A166" s="50" t="n"/>
      <c r="B166" s="49">
        <f>IF(A166="","",IFERROR(INDEX('أوامر التوريد'!$H$5:$H$304,MATCH(A166,'أوامر التوريد'!$G$5:$G$304,0)),""))</f>
        <v/>
      </c>
      <c r="C166" s="39">
        <f>IF(A166="","",IFERROR(INDEX('أوامر التوريد'!$C$5:$C$304,MATCH(A166,'أوامر التوريد'!$G$5:$G$304,0)),""))</f>
        <v/>
      </c>
      <c r="D166" s="39">
        <f>IF(A166="","",IFERROR(INDEX('أوامر التوريد'!$I$5:$I$304,MATCH(A166,'أوامر التوريد'!$G$5:$G$304,0)),""))</f>
        <v/>
      </c>
      <c r="E166" s="46">
        <f>IF(A166="","",SUMIFS('أوامر التوريد'!$J$5:$J$304,'أوامر التوريد'!$G$5:$G$304,A166))</f>
        <v/>
      </c>
      <c r="F166" s="46">
        <f>IF(A166="","",SUMIFS('استلام المواد'!$K$5:$K$304,'استلام المواد'!$F$5:$F$304,A166))</f>
        <v/>
      </c>
      <c r="G166" s="46">
        <f>IF(A166="","",SUMIFS('صرف المواد'!$G$5:$G$304,'صرف المواد'!$C$5:$C$304,A166))</f>
        <v/>
      </c>
      <c r="H166" s="46">
        <f>IF(A166="","",F166-G166)</f>
        <v/>
      </c>
      <c r="I166" s="41" t="n"/>
      <c r="J166" s="46">
        <f>IF(A166="","",IFERROR(SUMIFS('أوامر التوريد'!$L$5:$L$304,'أوامر التوريد'!$G$5:$G$304,A166)/E166,0))</f>
        <v/>
      </c>
      <c r="K166" s="46">
        <f>IF(A166="","",H166*J166)</f>
        <v/>
      </c>
      <c r="L166" s="49">
        <f>IF(A166="","",IF(H166&lt;0,"رصيد سالب!",IF(AND(I166&lt;&gt;"",H166&lt;=I166),"أعد الطلب","متاح")))</f>
        <v/>
      </c>
    </row>
    <row r="167">
      <c r="A167" s="50" t="n"/>
      <c r="B167" s="49">
        <f>IF(A167="","",IFERROR(INDEX('أوامر التوريد'!$H$5:$H$304,MATCH(A167,'أوامر التوريد'!$G$5:$G$304,0)),""))</f>
        <v/>
      </c>
      <c r="C167" s="39">
        <f>IF(A167="","",IFERROR(INDEX('أوامر التوريد'!$C$5:$C$304,MATCH(A167,'أوامر التوريد'!$G$5:$G$304,0)),""))</f>
        <v/>
      </c>
      <c r="D167" s="39">
        <f>IF(A167="","",IFERROR(INDEX('أوامر التوريد'!$I$5:$I$304,MATCH(A167,'أوامر التوريد'!$G$5:$G$304,0)),""))</f>
        <v/>
      </c>
      <c r="E167" s="46">
        <f>IF(A167="","",SUMIFS('أوامر التوريد'!$J$5:$J$304,'أوامر التوريد'!$G$5:$G$304,A167))</f>
        <v/>
      </c>
      <c r="F167" s="46">
        <f>IF(A167="","",SUMIFS('استلام المواد'!$K$5:$K$304,'استلام المواد'!$F$5:$F$304,A167))</f>
        <v/>
      </c>
      <c r="G167" s="46">
        <f>IF(A167="","",SUMIFS('صرف المواد'!$G$5:$G$304,'صرف المواد'!$C$5:$C$304,A167))</f>
        <v/>
      </c>
      <c r="H167" s="46">
        <f>IF(A167="","",F167-G167)</f>
        <v/>
      </c>
      <c r="I167" s="41" t="n"/>
      <c r="J167" s="46">
        <f>IF(A167="","",IFERROR(SUMIFS('أوامر التوريد'!$L$5:$L$304,'أوامر التوريد'!$G$5:$G$304,A167)/E167,0))</f>
        <v/>
      </c>
      <c r="K167" s="46">
        <f>IF(A167="","",H167*J167)</f>
        <v/>
      </c>
      <c r="L167" s="49">
        <f>IF(A167="","",IF(H167&lt;0,"رصيد سالب!",IF(AND(I167&lt;&gt;"",H167&lt;=I167),"أعد الطلب","متاح")))</f>
        <v/>
      </c>
    </row>
    <row r="168">
      <c r="A168" s="50" t="n"/>
      <c r="B168" s="49">
        <f>IF(A168="","",IFERROR(INDEX('أوامر التوريد'!$H$5:$H$304,MATCH(A168,'أوامر التوريد'!$G$5:$G$304,0)),""))</f>
        <v/>
      </c>
      <c r="C168" s="39">
        <f>IF(A168="","",IFERROR(INDEX('أوامر التوريد'!$C$5:$C$304,MATCH(A168,'أوامر التوريد'!$G$5:$G$304,0)),""))</f>
        <v/>
      </c>
      <c r="D168" s="39">
        <f>IF(A168="","",IFERROR(INDEX('أوامر التوريد'!$I$5:$I$304,MATCH(A168,'أوامر التوريد'!$G$5:$G$304,0)),""))</f>
        <v/>
      </c>
      <c r="E168" s="46">
        <f>IF(A168="","",SUMIFS('أوامر التوريد'!$J$5:$J$304,'أوامر التوريد'!$G$5:$G$304,A168))</f>
        <v/>
      </c>
      <c r="F168" s="46">
        <f>IF(A168="","",SUMIFS('استلام المواد'!$K$5:$K$304,'استلام المواد'!$F$5:$F$304,A168))</f>
        <v/>
      </c>
      <c r="G168" s="46">
        <f>IF(A168="","",SUMIFS('صرف المواد'!$G$5:$G$304,'صرف المواد'!$C$5:$C$304,A168))</f>
        <v/>
      </c>
      <c r="H168" s="46">
        <f>IF(A168="","",F168-G168)</f>
        <v/>
      </c>
      <c r="I168" s="41" t="n"/>
      <c r="J168" s="46">
        <f>IF(A168="","",IFERROR(SUMIFS('أوامر التوريد'!$L$5:$L$304,'أوامر التوريد'!$G$5:$G$304,A168)/E168,0))</f>
        <v/>
      </c>
      <c r="K168" s="46">
        <f>IF(A168="","",H168*J168)</f>
        <v/>
      </c>
      <c r="L168" s="49">
        <f>IF(A168="","",IF(H168&lt;0,"رصيد سالب!",IF(AND(I168&lt;&gt;"",H168&lt;=I168),"أعد الطلب","متاح")))</f>
        <v/>
      </c>
    </row>
    <row r="169">
      <c r="A169" s="50" t="n"/>
      <c r="B169" s="49">
        <f>IF(A169="","",IFERROR(INDEX('أوامر التوريد'!$H$5:$H$304,MATCH(A169,'أوامر التوريد'!$G$5:$G$304,0)),""))</f>
        <v/>
      </c>
      <c r="C169" s="39">
        <f>IF(A169="","",IFERROR(INDEX('أوامر التوريد'!$C$5:$C$304,MATCH(A169,'أوامر التوريد'!$G$5:$G$304,0)),""))</f>
        <v/>
      </c>
      <c r="D169" s="39">
        <f>IF(A169="","",IFERROR(INDEX('أوامر التوريد'!$I$5:$I$304,MATCH(A169,'أوامر التوريد'!$G$5:$G$304,0)),""))</f>
        <v/>
      </c>
      <c r="E169" s="46">
        <f>IF(A169="","",SUMIFS('أوامر التوريد'!$J$5:$J$304,'أوامر التوريد'!$G$5:$G$304,A169))</f>
        <v/>
      </c>
      <c r="F169" s="46">
        <f>IF(A169="","",SUMIFS('استلام المواد'!$K$5:$K$304,'استلام المواد'!$F$5:$F$304,A169))</f>
        <v/>
      </c>
      <c r="G169" s="46">
        <f>IF(A169="","",SUMIFS('صرف المواد'!$G$5:$G$304,'صرف المواد'!$C$5:$C$304,A169))</f>
        <v/>
      </c>
      <c r="H169" s="46">
        <f>IF(A169="","",F169-G169)</f>
        <v/>
      </c>
      <c r="I169" s="41" t="n"/>
      <c r="J169" s="46">
        <f>IF(A169="","",IFERROR(SUMIFS('أوامر التوريد'!$L$5:$L$304,'أوامر التوريد'!$G$5:$G$304,A169)/E169,0))</f>
        <v/>
      </c>
      <c r="K169" s="46">
        <f>IF(A169="","",H169*J169)</f>
        <v/>
      </c>
      <c r="L169" s="49">
        <f>IF(A169="","",IF(H169&lt;0,"رصيد سالب!",IF(AND(I169&lt;&gt;"",H169&lt;=I169),"أعد الطلب","متاح")))</f>
        <v/>
      </c>
    </row>
    <row r="170">
      <c r="A170" s="50" t="n"/>
      <c r="B170" s="49">
        <f>IF(A170="","",IFERROR(INDEX('أوامر التوريد'!$H$5:$H$304,MATCH(A170,'أوامر التوريد'!$G$5:$G$304,0)),""))</f>
        <v/>
      </c>
      <c r="C170" s="39">
        <f>IF(A170="","",IFERROR(INDEX('أوامر التوريد'!$C$5:$C$304,MATCH(A170,'أوامر التوريد'!$G$5:$G$304,0)),""))</f>
        <v/>
      </c>
      <c r="D170" s="39">
        <f>IF(A170="","",IFERROR(INDEX('أوامر التوريد'!$I$5:$I$304,MATCH(A170,'أوامر التوريد'!$G$5:$G$304,0)),""))</f>
        <v/>
      </c>
      <c r="E170" s="46">
        <f>IF(A170="","",SUMIFS('أوامر التوريد'!$J$5:$J$304,'أوامر التوريد'!$G$5:$G$304,A170))</f>
        <v/>
      </c>
      <c r="F170" s="46">
        <f>IF(A170="","",SUMIFS('استلام المواد'!$K$5:$K$304,'استلام المواد'!$F$5:$F$304,A170))</f>
        <v/>
      </c>
      <c r="G170" s="46">
        <f>IF(A170="","",SUMIFS('صرف المواد'!$G$5:$G$304,'صرف المواد'!$C$5:$C$304,A170))</f>
        <v/>
      </c>
      <c r="H170" s="46">
        <f>IF(A170="","",F170-G170)</f>
        <v/>
      </c>
      <c r="I170" s="41" t="n"/>
      <c r="J170" s="46">
        <f>IF(A170="","",IFERROR(SUMIFS('أوامر التوريد'!$L$5:$L$304,'أوامر التوريد'!$G$5:$G$304,A170)/E170,0))</f>
        <v/>
      </c>
      <c r="K170" s="46">
        <f>IF(A170="","",H170*J170)</f>
        <v/>
      </c>
      <c r="L170" s="49">
        <f>IF(A170="","",IF(H170&lt;0,"رصيد سالب!",IF(AND(I170&lt;&gt;"",H170&lt;=I170),"أعد الطلب","متاح")))</f>
        <v/>
      </c>
    </row>
    <row r="171">
      <c r="A171" s="50" t="n"/>
      <c r="B171" s="49">
        <f>IF(A171="","",IFERROR(INDEX('أوامر التوريد'!$H$5:$H$304,MATCH(A171,'أوامر التوريد'!$G$5:$G$304,0)),""))</f>
        <v/>
      </c>
      <c r="C171" s="39">
        <f>IF(A171="","",IFERROR(INDEX('أوامر التوريد'!$C$5:$C$304,MATCH(A171,'أوامر التوريد'!$G$5:$G$304,0)),""))</f>
        <v/>
      </c>
      <c r="D171" s="39">
        <f>IF(A171="","",IFERROR(INDEX('أوامر التوريد'!$I$5:$I$304,MATCH(A171,'أوامر التوريد'!$G$5:$G$304,0)),""))</f>
        <v/>
      </c>
      <c r="E171" s="46">
        <f>IF(A171="","",SUMIFS('أوامر التوريد'!$J$5:$J$304,'أوامر التوريد'!$G$5:$G$304,A171))</f>
        <v/>
      </c>
      <c r="F171" s="46">
        <f>IF(A171="","",SUMIFS('استلام المواد'!$K$5:$K$304,'استلام المواد'!$F$5:$F$304,A171))</f>
        <v/>
      </c>
      <c r="G171" s="46">
        <f>IF(A171="","",SUMIFS('صرف المواد'!$G$5:$G$304,'صرف المواد'!$C$5:$C$304,A171))</f>
        <v/>
      </c>
      <c r="H171" s="46">
        <f>IF(A171="","",F171-G171)</f>
        <v/>
      </c>
      <c r="I171" s="41" t="n"/>
      <c r="J171" s="46">
        <f>IF(A171="","",IFERROR(SUMIFS('أوامر التوريد'!$L$5:$L$304,'أوامر التوريد'!$G$5:$G$304,A171)/E171,0))</f>
        <v/>
      </c>
      <c r="K171" s="46">
        <f>IF(A171="","",H171*J171)</f>
        <v/>
      </c>
      <c r="L171" s="49">
        <f>IF(A171="","",IF(H171&lt;0,"رصيد سالب!",IF(AND(I171&lt;&gt;"",H171&lt;=I171),"أعد الطلب","متاح")))</f>
        <v/>
      </c>
    </row>
    <row r="172">
      <c r="A172" s="50" t="n"/>
      <c r="B172" s="49">
        <f>IF(A172="","",IFERROR(INDEX('أوامر التوريد'!$H$5:$H$304,MATCH(A172,'أوامر التوريد'!$G$5:$G$304,0)),""))</f>
        <v/>
      </c>
      <c r="C172" s="39">
        <f>IF(A172="","",IFERROR(INDEX('أوامر التوريد'!$C$5:$C$304,MATCH(A172,'أوامر التوريد'!$G$5:$G$304,0)),""))</f>
        <v/>
      </c>
      <c r="D172" s="39">
        <f>IF(A172="","",IFERROR(INDEX('أوامر التوريد'!$I$5:$I$304,MATCH(A172,'أوامر التوريد'!$G$5:$G$304,0)),""))</f>
        <v/>
      </c>
      <c r="E172" s="46">
        <f>IF(A172="","",SUMIFS('أوامر التوريد'!$J$5:$J$304,'أوامر التوريد'!$G$5:$G$304,A172))</f>
        <v/>
      </c>
      <c r="F172" s="46">
        <f>IF(A172="","",SUMIFS('استلام المواد'!$K$5:$K$304,'استلام المواد'!$F$5:$F$304,A172))</f>
        <v/>
      </c>
      <c r="G172" s="46">
        <f>IF(A172="","",SUMIFS('صرف المواد'!$G$5:$G$304,'صرف المواد'!$C$5:$C$304,A172))</f>
        <v/>
      </c>
      <c r="H172" s="46">
        <f>IF(A172="","",F172-G172)</f>
        <v/>
      </c>
      <c r="I172" s="41" t="n"/>
      <c r="J172" s="46">
        <f>IF(A172="","",IFERROR(SUMIFS('أوامر التوريد'!$L$5:$L$304,'أوامر التوريد'!$G$5:$G$304,A172)/E172,0))</f>
        <v/>
      </c>
      <c r="K172" s="46">
        <f>IF(A172="","",H172*J172)</f>
        <v/>
      </c>
      <c r="L172" s="49">
        <f>IF(A172="","",IF(H172&lt;0,"رصيد سالب!",IF(AND(I172&lt;&gt;"",H172&lt;=I172),"أعد الطلب","متاح")))</f>
        <v/>
      </c>
    </row>
    <row r="173">
      <c r="A173" s="50" t="n"/>
      <c r="B173" s="49">
        <f>IF(A173="","",IFERROR(INDEX('أوامر التوريد'!$H$5:$H$304,MATCH(A173,'أوامر التوريد'!$G$5:$G$304,0)),""))</f>
        <v/>
      </c>
      <c r="C173" s="39">
        <f>IF(A173="","",IFERROR(INDEX('أوامر التوريد'!$C$5:$C$304,MATCH(A173,'أوامر التوريد'!$G$5:$G$304,0)),""))</f>
        <v/>
      </c>
      <c r="D173" s="39">
        <f>IF(A173="","",IFERROR(INDEX('أوامر التوريد'!$I$5:$I$304,MATCH(A173,'أوامر التوريد'!$G$5:$G$304,0)),""))</f>
        <v/>
      </c>
      <c r="E173" s="46">
        <f>IF(A173="","",SUMIFS('أوامر التوريد'!$J$5:$J$304,'أوامر التوريد'!$G$5:$G$304,A173))</f>
        <v/>
      </c>
      <c r="F173" s="46">
        <f>IF(A173="","",SUMIFS('استلام المواد'!$K$5:$K$304,'استلام المواد'!$F$5:$F$304,A173))</f>
        <v/>
      </c>
      <c r="G173" s="46">
        <f>IF(A173="","",SUMIFS('صرف المواد'!$G$5:$G$304,'صرف المواد'!$C$5:$C$304,A173))</f>
        <v/>
      </c>
      <c r="H173" s="46">
        <f>IF(A173="","",F173-G173)</f>
        <v/>
      </c>
      <c r="I173" s="41" t="n"/>
      <c r="J173" s="46">
        <f>IF(A173="","",IFERROR(SUMIFS('أوامر التوريد'!$L$5:$L$304,'أوامر التوريد'!$G$5:$G$304,A173)/E173,0))</f>
        <v/>
      </c>
      <c r="K173" s="46">
        <f>IF(A173="","",H173*J173)</f>
        <v/>
      </c>
      <c r="L173" s="49">
        <f>IF(A173="","",IF(H173&lt;0,"رصيد سالب!",IF(AND(I173&lt;&gt;"",H173&lt;=I173),"أعد الطلب","متاح")))</f>
        <v/>
      </c>
    </row>
    <row r="174">
      <c r="A174" s="50" t="n"/>
      <c r="B174" s="49">
        <f>IF(A174="","",IFERROR(INDEX('أوامر التوريد'!$H$5:$H$304,MATCH(A174,'أوامر التوريد'!$G$5:$G$304,0)),""))</f>
        <v/>
      </c>
      <c r="C174" s="39">
        <f>IF(A174="","",IFERROR(INDEX('أوامر التوريد'!$C$5:$C$304,MATCH(A174,'أوامر التوريد'!$G$5:$G$304,0)),""))</f>
        <v/>
      </c>
      <c r="D174" s="39">
        <f>IF(A174="","",IFERROR(INDEX('أوامر التوريد'!$I$5:$I$304,MATCH(A174,'أوامر التوريد'!$G$5:$G$304,0)),""))</f>
        <v/>
      </c>
      <c r="E174" s="46">
        <f>IF(A174="","",SUMIFS('أوامر التوريد'!$J$5:$J$304,'أوامر التوريد'!$G$5:$G$304,A174))</f>
        <v/>
      </c>
      <c r="F174" s="46">
        <f>IF(A174="","",SUMIFS('استلام المواد'!$K$5:$K$304,'استلام المواد'!$F$5:$F$304,A174))</f>
        <v/>
      </c>
      <c r="G174" s="46">
        <f>IF(A174="","",SUMIFS('صرف المواد'!$G$5:$G$304,'صرف المواد'!$C$5:$C$304,A174))</f>
        <v/>
      </c>
      <c r="H174" s="46">
        <f>IF(A174="","",F174-G174)</f>
        <v/>
      </c>
      <c r="I174" s="41" t="n"/>
      <c r="J174" s="46">
        <f>IF(A174="","",IFERROR(SUMIFS('أوامر التوريد'!$L$5:$L$304,'أوامر التوريد'!$G$5:$G$304,A174)/E174,0))</f>
        <v/>
      </c>
      <c r="K174" s="46">
        <f>IF(A174="","",H174*J174)</f>
        <v/>
      </c>
      <c r="L174" s="49">
        <f>IF(A174="","",IF(H174&lt;0,"رصيد سالب!",IF(AND(I174&lt;&gt;"",H174&lt;=I174),"أعد الطلب","متاح")))</f>
        <v/>
      </c>
    </row>
    <row r="175">
      <c r="A175" s="50" t="n"/>
      <c r="B175" s="49">
        <f>IF(A175="","",IFERROR(INDEX('أوامر التوريد'!$H$5:$H$304,MATCH(A175,'أوامر التوريد'!$G$5:$G$304,0)),""))</f>
        <v/>
      </c>
      <c r="C175" s="39">
        <f>IF(A175="","",IFERROR(INDEX('أوامر التوريد'!$C$5:$C$304,MATCH(A175,'أوامر التوريد'!$G$5:$G$304,0)),""))</f>
        <v/>
      </c>
      <c r="D175" s="39">
        <f>IF(A175="","",IFERROR(INDEX('أوامر التوريد'!$I$5:$I$304,MATCH(A175,'أوامر التوريد'!$G$5:$G$304,0)),""))</f>
        <v/>
      </c>
      <c r="E175" s="46">
        <f>IF(A175="","",SUMIFS('أوامر التوريد'!$J$5:$J$304,'أوامر التوريد'!$G$5:$G$304,A175))</f>
        <v/>
      </c>
      <c r="F175" s="46">
        <f>IF(A175="","",SUMIFS('استلام المواد'!$K$5:$K$304,'استلام المواد'!$F$5:$F$304,A175))</f>
        <v/>
      </c>
      <c r="G175" s="46">
        <f>IF(A175="","",SUMIFS('صرف المواد'!$G$5:$G$304,'صرف المواد'!$C$5:$C$304,A175))</f>
        <v/>
      </c>
      <c r="H175" s="46">
        <f>IF(A175="","",F175-G175)</f>
        <v/>
      </c>
      <c r="I175" s="41" t="n"/>
      <c r="J175" s="46">
        <f>IF(A175="","",IFERROR(SUMIFS('أوامر التوريد'!$L$5:$L$304,'أوامر التوريد'!$G$5:$G$304,A175)/E175,0))</f>
        <v/>
      </c>
      <c r="K175" s="46">
        <f>IF(A175="","",H175*J175)</f>
        <v/>
      </c>
      <c r="L175" s="49">
        <f>IF(A175="","",IF(H175&lt;0,"رصيد سالب!",IF(AND(I175&lt;&gt;"",H175&lt;=I175),"أعد الطلب","متاح")))</f>
        <v/>
      </c>
    </row>
    <row r="176">
      <c r="A176" s="50" t="n"/>
      <c r="B176" s="49">
        <f>IF(A176="","",IFERROR(INDEX('أوامر التوريد'!$H$5:$H$304,MATCH(A176,'أوامر التوريد'!$G$5:$G$304,0)),""))</f>
        <v/>
      </c>
      <c r="C176" s="39">
        <f>IF(A176="","",IFERROR(INDEX('أوامر التوريد'!$C$5:$C$304,MATCH(A176,'أوامر التوريد'!$G$5:$G$304,0)),""))</f>
        <v/>
      </c>
      <c r="D176" s="39">
        <f>IF(A176="","",IFERROR(INDEX('أوامر التوريد'!$I$5:$I$304,MATCH(A176,'أوامر التوريد'!$G$5:$G$304,0)),""))</f>
        <v/>
      </c>
      <c r="E176" s="46">
        <f>IF(A176="","",SUMIFS('أوامر التوريد'!$J$5:$J$304,'أوامر التوريد'!$G$5:$G$304,A176))</f>
        <v/>
      </c>
      <c r="F176" s="46">
        <f>IF(A176="","",SUMIFS('استلام المواد'!$K$5:$K$304,'استلام المواد'!$F$5:$F$304,A176))</f>
        <v/>
      </c>
      <c r="G176" s="46">
        <f>IF(A176="","",SUMIFS('صرف المواد'!$G$5:$G$304,'صرف المواد'!$C$5:$C$304,A176))</f>
        <v/>
      </c>
      <c r="H176" s="46">
        <f>IF(A176="","",F176-G176)</f>
        <v/>
      </c>
      <c r="I176" s="41" t="n"/>
      <c r="J176" s="46">
        <f>IF(A176="","",IFERROR(SUMIFS('أوامر التوريد'!$L$5:$L$304,'أوامر التوريد'!$G$5:$G$304,A176)/E176,0))</f>
        <v/>
      </c>
      <c r="K176" s="46">
        <f>IF(A176="","",H176*J176)</f>
        <v/>
      </c>
      <c r="L176" s="49">
        <f>IF(A176="","",IF(H176&lt;0,"رصيد سالب!",IF(AND(I176&lt;&gt;"",H176&lt;=I176),"أعد الطلب","متاح")))</f>
        <v/>
      </c>
    </row>
    <row r="177">
      <c r="A177" s="50" t="n"/>
      <c r="B177" s="49">
        <f>IF(A177="","",IFERROR(INDEX('أوامر التوريد'!$H$5:$H$304,MATCH(A177,'أوامر التوريد'!$G$5:$G$304,0)),""))</f>
        <v/>
      </c>
      <c r="C177" s="39">
        <f>IF(A177="","",IFERROR(INDEX('أوامر التوريد'!$C$5:$C$304,MATCH(A177,'أوامر التوريد'!$G$5:$G$304,0)),""))</f>
        <v/>
      </c>
      <c r="D177" s="39">
        <f>IF(A177="","",IFERROR(INDEX('أوامر التوريد'!$I$5:$I$304,MATCH(A177,'أوامر التوريد'!$G$5:$G$304,0)),""))</f>
        <v/>
      </c>
      <c r="E177" s="46">
        <f>IF(A177="","",SUMIFS('أوامر التوريد'!$J$5:$J$304,'أوامر التوريد'!$G$5:$G$304,A177))</f>
        <v/>
      </c>
      <c r="F177" s="46">
        <f>IF(A177="","",SUMIFS('استلام المواد'!$K$5:$K$304,'استلام المواد'!$F$5:$F$304,A177))</f>
        <v/>
      </c>
      <c r="G177" s="46">
        <f>IF(A177="","",SUMIFS('صرف المواد'!$G$5:$G$304,'صرف المواد'!$C$5:$C$304,A177))</f>
        <v/>
      </c>
      <c r="H177" s="46">
        <f>IF(A177="","",F177-G177)</f>
        <v/>
      </c>
      <c r="I177" s="41" t="n"/>
      <c r="J177" s="46">
        <f>IF(A177="","",IFERROR(SUMIFS('أوامر التوريد'!$L$5:$L$304,'أوامر التوريد'!$G$5:$G$304,A177)/E177,0))</f>
        <v/>
      </c>
      <c r="K177" s="46">
        <f>IF(A177="","",H177*J177)</f>
        <v/>
      </c>
      <c r="L177" s="49">
        <f>IF(A177="","",IF(H177&lt;0,"رصيد سالب!",IF(AND(I177&lt;&gt;"",H177&lt;=I177),"أعد الطلب","متاح")))</f>
        <v/>
      </c>
    </row>
    <row r="178">
      <c r="A178" s="50" t="n"/>
      <c r="B178" s="49">
        <f>IF(A178="","",IFERROR(INDEX('أوامر التوريد'!$H$5:$H$304,MATCH(A178,'أوامر التوريد'!$G$5:$G$304,0)),""))</f>
        <v/>
      </c>
      <c r="C178" s="39">
        <f>IF(A178="","",IFERROR(INDEX('أوامر التوريد'!$C$5:$C$304,MATCH(A178,'أوامر التوريد'!$G$5:$G$304,0)),""))</f>
        <v/>
      </c>
      <c r="D178" s="39">
        <f>IF(A178="","",IFERROR(INDEX('أوامر التوريد'!$I$5:$I$304,MATCH(A178,'أوامر التوريد'!$G$5:$G$304,0)),""))</f>
        <v/>
      </c>
      <c r="E178" s="46">
        <f>IF(A178="","",SUMIFS('أوامر التوريد'!$J$5:$J$304,'أوامر التوريد'!$G$5:$G$304,A178))</f>
        <v/>
      </c>
      <c r="F178" s="46">
        <f>IF(A178="","",SUMIFS('استلام المواد'!$K$5:$K$304,'استلام المواد'!$F$5:$F$304,A178))</f>
        <v/>
      </c>
      <c r="G178" s="46">
        <f>IF(A178="","",SUMIFS('صرف المواد'!$G$5:$G$304,'صرف المواد'!$C$5:$C$304,A178))</f>
        <v/>
      </c>
      <c r="H178" s="46">
        <f>IF(A178="","",F178-G178)</f>
        <v/>
      </c>
      <c r="I178" s="41" t="n"/>
      <c r="J178" s="46">
        <f>IF(A178="","",IFERROR(SUMIFS('أوامر التوريد'!$L$5:$L$304,'أوامر التوريد'!$G$5:$G$304,A178)/E178,0))</f>
        <v/>
      </c>
      <c r="K178" s="46">
        <f>IF(A178="","",H178*J178)</f>
        <v/>
      </c>
      <c r="L178" s="49">
        <f>IF(A178="","",IF(H178&lt;0,"رصيد سالب!",IF(AND(I178&lt;&gt;"",H178&lt;=I178),"أعد الطلب","متاح")))</f>
        <v/>
      </c>
    </row>
    <row r="179">
      <c r="A179" s="50" t="n"/>
      <c r="B179" s="49">
        <f>IF(A179="","",IFERROR(INDEX('أوامر التوريد'!$H$5:$H$304,MATCH(A179,'أوامر التوريد'!$G$5:$G$304,0)),""))</f>
        <v/>
      </c>
      <c r="C179" s="39">
        <f>IF(A179="","",IFERROR(INDEX('أوامر التوريد'!$C$5:$C$304,MATCH(A179,'أوامر التوريد'!$G$5:$G$304,0)),""))</f>
        <v/>
      </c>
      <c r="D179" s="39">
        <f>IF(A179="","",IFERROR(INDEX('أوامر التوريد'!$I$5:$I$304,MATCH(A179,'أوامر التوريد'!$G$5:$G$304,0)),""))</f>
        <v/>
      </c>
      <c r="E179" s="46">
        <f>IF(A179="","",SUMIFS('أوامر التوريد'!$J$5:$J$304,'أوامر التوريد'!$G$5:$G$304,A179))</f>
        <v/>
      </c>
      <c r="F179" s="46">
        <f>IF(A179="","",SUMIFS('استلام المواد'!$K$5:$K$304,'استلام المواد'!$F$5:$F$304,A179))</f>
        <v/>
      </c>
      <c r="G179" s="46">
        <f>IF(A179="","",SUMIFS('صرف المواد'!$G$5:$G$304,'صرف المواد'!$C$5:$C$304,A179))</f>
        <v/>
      </c>
      <c r="H179" s="46">
        <f>IF(A179="","",F179-G179)</f>
        <v/>
      </c>
      <c r="I179" s="41" t="n"/>
      <c r="J179" s="46">
        <f>IF(A179="","",IFERROR(SUMIFS('أوامر التوريد'!$L$5:$L$304,'أوامر التوريد'!$G$5:$G$304,A179)/E179,0))</f>
        <v/>
      </c>
      <c r="K179" s="46">
        <f>IF(A179="","",H179*J179)</f>
        <v/>
      </c>
      <c r="L179" s="49">
        <f>IF(A179="","",IF(H179&lt;0,"رصيد سالب!",IF(AND(I179&lt;&gt;"",H179&lt;=I179),"أعد الطلب","متاح")))</f>
        <v/>
      </c>
    </row>
    <row r="180">
      <c r="A180" s="50" t="n"/>
      <c r="B180" s="49">
        <f>IF(A180="","",IFERROR(INDEX('أوامر التوريد'!$H$5:$H$304,MATCH(A180,'أوامر التوريد'!$G$5:$G$304,0)),""))</f>
        <v/>
      </c>
      <c r="C180" s="39">
        <f>IF(A180="","",IFERROR(INDEX('أوامر التوريد'!$C$5:$C$304,MATCH(A180,'أوامر التوريد'!$G$5:$G$304,0)),""))</f>
        <v/>
      </c>
      <c r="D180" s="39">
        <f>IF(A180="","",IFERROR(INDEX('أوامر التوريد'!$I$5:$I$304,MATCH(A180,'أوامر التوريد'!$G$5:$G$304,0)),""))</f>
        <v/>
      </c>
      <c r="E180" s="46">
        <f>IF(A180="","",SUMIFS('أوامر التوريد'!$J$5:$J$304,'أوامر التوريد'!$G$5:$G$304,A180))</f>
        <v/>
      </c>
      <c r="F180" s="46">
        <f>IF(A180="","",SUMIFS('استلام المواد'!$K$5:$K$304,'استلام المواد'!$F$5:$F$304,A180))</f>
        <v/>
      </c>
      <c r="G180" s="46">
        <f>IF(A180="","",SUMIFS('صرف المواد'!$G$5:$G$304,'صرف المواد'!$C$5:$C$304,A180))</f>
        <v/>
      </c>
      <c r="H180" s="46">
        <f>IF(A180="","",F180-G180)</f>
        <v/>
      </c>
      <c r="I180" s="41" t="n"/>
      <c r="J180" s="46">
        <f>IF(A180="","",IFERROR(SUMIFS('أوامر التوريد'!$L$5:$L$304,'أوامر التوريد'!$G$5:$G$304,A180)/E180,0))</f>
        <v/>
      </c>
      <c r="K180" s="46">
        <f>IF(A180="","",H180*J180)</f>
        <v/>
      </c>
      <c r="L180" s="49">
        <f>IF(A180="","",IF(H180&lt;0,"رصيد سالب!",IF(AND(I180&lt;&gt;"",H180&lt;=I180),"أعد الطلب","متاح")))</f>
        <v/>
      </c>
    </row>
    <row r="181">
      <c r="A181" s="50" t="n"/>
      <c r="B181" s="49">
        <f>IF(A181="","",IFERROR(INDEX('أوامر التوريد'!$H$5:$H$304,MATCH(A181,'أوامر التوريد'!$G$5:$G$304,0)),""))</f>
        <v/>
      </c>
      <c r="C181" s="39">
        <f>IF(A181="","",IFERROR(INDEX('أوامر التوريد'!$C$5:$C$304,MATCH(A181,'أوامر التوريد'!$G$5:$G$304,0)),""))</f>
        <v/>
      </c>
      <c r="D181" s="39">
        <f>IF(A181="","",IFERROR(INDEX('أوامر التوريد'!$I$5:$I$304,MATCH(A181,'أوامر التوريد'!$G$5:$G$304,0)),""))</f>
        <v/>
      </c>
      <c r="E181" s="46">
        <f>IF(A181="","",SUMIFS('أوامر التوريد'!$J$5:$J$304,'أوامر التوريد'!$G$5:$G$304,A181))</f>
        <v/>
      </c>
      <c r="F181" s="46">
        <f>IF(A181="","",SUMIFS('استلام المواد'!$K$5:$K$304,'استلام المواد'!$F$5:$F$304,A181))</f>
        <v/>
      </c>
      <c r="G181" s="46">
        <f>IF(A181="","",SUMIFS('صرف المواد'!$G$5:$G$304,'صرف المواد'!$C$5:$C$304,A181))</f>
        <v/>
      </c>
      <c r="H181" s="46">
        <f>IF(A181="","",F181-G181)</f>
        <v/>
      </c>
      <c r="I181" s="41" t="n"/>
      <c r="J181" s="46">
        <f>IF(A181="","",IFERROR(SUMIFS('أوامر التوريد'!$L$5:$L$304,'أوامر التوريد'!$G$5:$G$304,A181)/E181,0))</f>
        <v/>
      </c>
      <c r="K181" s="46">
        <f>IF(A181="","",H181*J181)</f>
        <v/>
      </c>
      <c r="L181" s="49">
        <f>IF(A181="","",IF(H181&lt;0,"رصيد سالب!",IF(AND(I181&lt;&gt;"",H181&lt;=I181),"أعد الطلب","متاح")))</f>
        <v/>
      </c>
    </row>
    <row r="182">
      <c r="A182" s="50" t="n"/>
      <c r="B182" s="49">
        <f>IF(A182="","",IFERROR(INDEX('أوامر التوريد'!$H$5:$H$304,MATCH(A182,'أوامر التوريد'!$G$5:$G$304,0)),""))</f>
        <v/>
      </c>
      <c r="C182" s="39">
        <f>IF(A182="","",IFERROR(INDEX('أوامر التوريد'!$C$5:$C$304,MATCH(A182,'أوامر التوريد'!$G$5:$G$304,0)),""))</f>
        <v/>
      </c>
      <c r="D182" s="39">
        <f>IF(A182="","",IFERROR(INDEX('أوامر التوريد'!$I$5:$I$304,MATCH(A182,'أوامر التوريد'!$G$5:$G$304,0)),""))</f>
        <v/>
      </c>
      <c r="E182" s="46">
        <f>IF(A182="","",SUMIFS('أوامر التوريد'!$J$5:$J$304,'أوامر التوريد'!$G$5:$G$304,A182))</f>
        <v/>
      </c>
      <c r="F182" s="46">
        <f>IF(A182="","",SUMIFS('استلام المواد'!$K$5:$K$304,'استلام المواد'!$F$5:$F$304,A182))</f>
        <v/>
      </c>
      <c r="G182" s="46">
        <f>IF(A182="","",SUMIFS('صرف المواد'!$G$5:$G$304,'صرف المواد'!$C$5:$C$304,A182))</f>
        <v/>
      </c>
      <c r="H182" s="46">
        <f>IF(A182="","",F182-G182)</f>
        <v/>
      </c>
      <c r="I182" s="41" t="n"/>
      <c r="J182" s="46">
        <f>IF(A182="","",IFERROR(SUMIFS('أوامر التوريد'!$L$5:$L$304,'أوامر التوريد'!$G$5:$G$304,A182)/E182,0))</f>
        <v/>
      </c>
      <c r="K182" s="46">
        <f>IF(A182="","",H182*J182)</f>
        <v/>
      </c>
      <c r="L182" s="49">
        <f>IF(A182="","",IF(H182&lt;0,"رصيد سالب!",IF(AND(I182&lt;&gt;"",H182&lt;=I182),"أعد الطلب","متاح")))</f>
        <v/>
      </c>
    </row>
    <row r="183">
      <c r="A183" s="50" t="n"/>
      <c r="B183" s="49">
        <f>IF(A183="","",IFERROR(INDEX('أوامر التوريد'!$H$5:$H$304,MATCH(A183,'أوامر التوريد'!$G$5:$G$304,0)),""))</f>
        <v/>
      </c>
      <c r="C183" s="39">
        <f>IF(A183="","",IFERROR(INDEX('أوامر التوريد'!$C$5:$C$304,MATCH(A183,'أوامر التوريد'!$G$5:$G$304,0)),""))</f>
        <v/>
      </c>
      <c r="D183" s="39">
        <f>IF(A183="","",IFERROR(INDEX('أوامر التوريد'!$I$5:$I$304,MATCH(A183,'أوامر التوريد'!$G$5:$G$304,0)),""))</f>
        <v/>
      </c>
      <c r="E183" s="46">
        <f>IF(A183="","",SUMIFS('أوامر التوريد'!$J$5:$J$304,'أوامر التوريد'!$G$5:$G$304,A183))</f>
        <v/>
      </c>
      <c r="F183" s="46">
        <f>IF(A183="","",SUMIFS('استلام المواد'!$K$5:$K$304,'استلام المواد'!$F$5:$F$304,A183))</f>
        <v/>
      </c>
      <c r="G183" s="46">
        <f>IF(A183="","",SUMIFS('صرف المواد'!$G$5:$G$304,'صرف المواد'!$C$5:$C$304,A183))</f>
        <v/>
      </c>
      <c r="H183" s="46">
        <f>IF(A183="","",F183-G183)</f>
        <v/>
      </c>
      <c r="I183" s="41" t="n"/>
      <c r="J183" s="46">
        <f>IF(A183="","",IFERROR(SUMIFS('أوامر التوريد'!$L$5:$L$304,'أوامر التوريد'!$G$5:$G$304,A183)/E183,0))</f>
        <v/>
      </c>
      <c r="K183" s="46">
        <f>IF(A183="","",H183*J183)</f>
        <v/>
      </c>
      <c r="L183" s="49">
        <f>IF(A183="","",IF(H183&lt;0,"رصيد سالب!",IF(AND(I183&lt;&gt;"",H183&lt;=I183),"أعد الطلب","متاح")))</f>
        <v/>
      </c>
    </row>
    <row r="184">
      <c r="A184" s="50" t="n"/>
      <c r="B184" s="49">
        <f>IF(A184="","",IFERROR(INDEX('أوامر التوريد'!$H$5:$H$304,MATCH(A184,'أوامر التوريد'!$G$5:$G$304,0)),""))</f>
        <v/>
      </c>
      <c r="C184" s="39">
        <f>IF(A184="","",IFERROR(INDEX('أوامر التوريد'!$C$5:$C$304,MATCH(A184,'أوامر التوريد'!$G$5:$G$304,0)),""))</f>
        <v/>
      </c>
      <c r="D184" s="39">
        <f>IF(A184="","",IFERROR(INDEX('أوامر التوريد'!$I$5:$I$304,MATCH(A184,'أوامر التوريد'!$G$5:$G$304,0)),""))</f>
        <v/>
      </c>
      <c r="E184" s="46">
        <f>IF(A184="","",SUMIFS('أوامر التوريد'!$J$5:$J$304,'أوامر التوريد'!$G$5:$G$304,A184))</f>
        <v/>
      </c>
      <c r="F184" s="46">
        <f>IF(A184="","",SUMIFS('استلام المواد'!$K$5:$K$304,'استلام المواد'!$F$5:$F$304,A184))</f>
        <v/>
      </c>
      <c r="G184" s="46">
        <f>IF(A184="","",SUMIFS('صرف المواد'!$G$5:$G$304,'صرف المواد'!$C$5:$C$304,A184))</f>
        <v/>
      </c>
      <c r="H184" s="46">
        <f>IF(A184="","",F184-G184)</f>
        <v/>
      </c>
      <c r="I184" s="41" t="n"/>
      <c r="J184" s="46">
        <f>IF(A184="","",IFERROR(SUMIFS('أوامر التوريد'!$L$5:$L$304,'أوامر التوريد'!$G$5:$G$304,A184)/E184,0))</f>
        <v/>
      </c>
      <c r="K184" s="46">
        <f>IF(A184="","",H184*J184)</f>
        <v/>
      </c>
      <c r="L184" s="49">
        <f>IF(A184="","",IF(H184&lt;0,"رصيد سالب!",IF(AND(I184&lt;&gt;"",H184&lt;=I184),"أعد الطلب","متاح")))</f>
        <v/>
      </c>
    </row>
    <row r="185">
      <c r="A185" s="50" t="n"/>
      <c r="B185" s="49">
        <f>IF(A185="","",IFERROR(INDEX('أوامر التوريد'!$H$5:$H$304,MATCH(A185,'أوامر التوريد'!$G$5:$G$304,0)),""))</f>
        <v/>
      </c>
      <c r="C185" s="39">
        <f>IF(A185="","",IFERROR(INDEX('أوامر التوريد'!$C$5:$C$304,MATCH(A185,'أوامر التوريد'!$G$5:$G$304,0)),""))</f>
        <v/>
      </c>
      <c r="D185" s="39">
        <f>IF(A185="","",IFERROR(INDEX('أوامر التوريد'!$I$5:$I$304,MATCH(A185,'أوامر التوريد'!$G$5:$G$304,0)),""))</f>
        <v/>
      </c>
      <c r="E185" s="46">
        <f>IF(A185="","",SUMIFS('أوامر التوريد'!$J$5:$J$304,'أوامر التوريد'!$G$5:$G$304,A185))</f>
        <v/>
      </c>
      <c r="F185" s="46">
        <f>IF(A185="","",SUMIFS('استلام المواد'!$K$5:$K$304,'استلام المواد'!$F$5:$F$304,A185))</f>
        <v/>
      </c>
      <c r="G185" s="46">
        <f>IF(A185="","",SUMIFS('صرف المواد'!$G$5:$G$304,'صرف المواد'!$C$5:$C$304,A185))</f>
        <v/>
      </c>
      <c r="H185" s="46">
        <f>IF(A185="","",F185-G185)</f>
        <v/>
      </c>
      <c r="I185" s="41" t="n"/>
      <c r="J185" s="46">
        <f>IF(A185="","",IFERROR(SUMIFS('أوامر التوريد'!$L$5:$L$304,'أوامر التوريد'!$G$5:$G$304,A185)/E185,0))</f>
        <v/>
      </c>
      <c r="K185" s="46">
        <f>IF(A185="","",H185*J185)</f>
        <v/>
      </c>
      <c r="L185" s="49">
        <f>IF(A185="","",IF(H185&lt;0,"رصيد سالب!",IF(AND(I185&lt;&gt;"",H185&lt;=I185),"أعد الطلب","متاح")))</f>
        <v/>
      </c>
    </row>
    <row r="186">
      <c r="A186" s="50" t="n"/>
      <c r="B186" s="49">
        <f>IF(A186="","",IFERROR(INDEX('أوامر التوريد'!$H$5:$H$304,MATCH(A186,'أوامر التوريد'!$G$5:$G$304,0)),""))</f>
        <v/>
      </c>
      <c r="C186" s="39">
        <f>IF(A186="","",IFERROR(INDEX('أوامر التوريد'!$C$5:$C$304,MATCH(A186,'أوامر التوريد'!$G$5:$G$304,0)),""))</f>
        <v/>
      </c>
      <c r="D186" s="39">
        <f>IF(A186="","",IFERROR(INDEX('أوامر التوريد'!$I$5:$I$304,MATCH(A186,'أوامر التوريد'!$G$5:$G$304,0)),""))</f>
        <v/>
      </c>
      <c r="E186" s="46">
        <f>IF(A186="","",SUMIFS('أوامر التوريد'!$J$5:$J$304,'أوامر التوريد'!$G$5:$G$304,A186))</f>
        <v/>
      </c>
      <c r="F186" s="46">
        <f>IF(A186="","",SUMIFS('استلام المواد'!$K$5:$K$304,'استلام المواد'!$F$5:$F$304,A186))</f>
        <v/>
      </c>
      <c r="G186" s="46">
        <f>IF(A186="","",SUMIFS('صرف المواد'!$G$5:$G$304,'صرف المواد'!$C$5:$C$304,A186))</f>
        <v/>
      </c>
      <c r="H186" s="46">
        <f>IF(A186="","",F186-G186)</f>
        <v/>
      </c>
      <c r="I186" s="41" t="n"/>
      <c r="J186" s="46">
        <f>IF(A186="","",IFERROR(SUMIFS('أوامر التوريد'!$L$5:$L$304,'أوامر التوريد'!$G$5:$G$304,A186)/E186,0))</f>
        <v/>
      </c>
      <c r="K186" s="46">
        <f>IF(A186="","",H186*J186)</f>
        <v/>
      </c>
      <c r="L186" s="49">
        <f>IF(A186="","",IF(H186&lt;0,"رصيد سالب!",IF(AND(I186&lt;&gt;"",H186&lt;=I186),"أعد الطلب","متاح")))</f>
        <v/>
      </c>
    </row>
    <row r="187">
      <c r="A187" s="50" t="n"/>
      <c r="B187" s="49">
        <f>IF(A187="","",IFERROR(INDEX('أوامر التوريد'!$H$5:$H$304,MATCH(A187,'أوامر التوريد'!$G$5:$G$304,0)),""))</f>
        <v/>
      </c>
      <c r="C187" s="39">
        <f>IF(A187="","",IFERROR(INDEX('أوامر التوريد'!$C$5:$C$304,MATCH(A187,'أوامر التوريد'!$G$5:$G$304,0)),""))</f>
        <v/>
      </c>
      <c r="D187" s="39">
        <f>IF(A187="","",IFERROR(INDEX('أوامر التوريد'!$I$5:$I$304,MATCH(A187,'أوامر التوريد'!$G$5:$G$304,0)),""))</f>
        <v/>
      </c>
      <c r="E187" s="46">
        <f>IF(A187="","",SUMIFS('أوامر التوريد'!$J$5:$J$304,'أوامر التوريد'!$G$5:$G$304,A187))</f>
        <v/>
      </c>
      <c r="F187" s="46">
        <f>IF(A187="","",SUMIFS('استلام المواد'!$K$5:$K$304,'استلام المواد'!$F$5:$F$304,A187))</f>
        <v/>
      </c>
      <c r="G187" s="46">
        <f>IF(A187="","",SUMIFS('صرف المواد'!$G$5:$G$304,'صرف المواد'!$C$5:$C$304,A187))</f>
        <v/>
      </c>
      <c r="H187" s="46">
        <f>IF(A187="","",F187-G187)</f>
        <v/>
      </c>
      <c r="I187" s="41" t="n"/>
      <c r="J187" s="46">
        <f>IF(A187="","",IFERROR(SUMIFS('أوامر التوريد'!$L$5:$L$304,'أوامر التوريد'!$G$5:$G$304,A187)/E187,0))</f>
        <v/>
      </c>
      <c r="K187" s="46">
        <f>IF(A187="","",H187*J187)</f>
        <v/>
      </c>
      <c r="L187" s="49">
        <f>IF(A187="","",IF(H187&lt;0,"رصيد سالب!",IF(AND(I187&lt;&gt;"",H187&lt;=I187),"أعد الطلب","متاح")))</f>
        <v/>
      </c>
    </row>
    <row r="188">
      <c r="A188" s="50" t="n"/>
      <c r="B188" s="49">
        <f>IF(A188="","",IFERROR(INDEX('أوامر التوريد'!$H$5:$H$304,MATCH(A188,'أوامر التوريد'!$G$5:$G$304,0)),""))</f>
        <v/>
      </c>
      <c r="C188" s="39">
        <f>IF(A188="","",IFERROR(INDEX('أوامر التوريد'!$C$5:$C$304,MATCH(A188,'أوامر التوريد'!$G$5:$G$304,0)),""))</f>
        <v/>
      </c>
      <c r="D188" s="39">
        <f>IF(A188="","",IFERROR(INDEX('أوامر التوريد'!$I$5:$I$304,MATCH(A188,'أوامر التوريد'!$G$5:$G$304,0)),""))</f>
        <v/>
      </c>
      <c r="E188" s="46">
        <f>IF(A188="","",SUMIFS('أوامر التوريد'!$J$5:$J$304,'أوامر التوريد'!$G$5:$G$304,A188))</f>
        <v/>
      </c>
      <c r="F188" s="46">
        <f>IF(A188="","",SUMIFS('استلام المواد'!$K$5:$K$304,'استلام المواد'!$F$5:$F$304,A188))</f>
        <v/>
      </c>
      <c r="G188" s="46">
        <f>IF(A188="","",SUMIFS('صرف المواد'!$G$5:$G$304,'صرف المواد'!$C$5:$C$304,A188))</f>
        <v/>
      </c>
      <c r="H188" s="46">
        <f>IF(A188="","",F188-G188)</f>
        <v/>
      </c>
      <c r="I188" s="41" t="n"/>
      <c r="J188" s="46">
        <f>IF(A188="","",IFERROR(SUMIFS('أوامر التوريد'!$L$5:$L$304,'أوامر التوريد'!$G$5:$G$304,A188)/E188,0))</f>
        <v/>
      </c>
      <c r="K188" s="46">
        <f>IF(A188="","",H188*J188)</f>
        <v/>
      </c>
      <c r="L188" s="49">
        <f>IF(A188="","",IF(H188&lt;0,"رصيد سالب!",IF(AND(I188&lt;&gt;"",H188&lt;=I188),"أعد الطلب","متاح")))</f>
        <v/>
      </c>
    </row>
    <row r="189">
      <c r="A189" s="50" t="n"/>
      <c r="B189" s="49">
        <f>IF(A189="","",IFERROR(INDEX('أوامر التوريد'!$H$5:$H$304,MATCH(A189,'أوامر التوريد'!$G$5:$G$304,0)),""))</f>
        <v/>
      </c>
      <c r="C189" s="39">
        <f>IF(A189="","",IFERROR(INDEX('أوامر التوريد'!$C$5:$C$304,MATCH(A189,'أوامر التوريد'!$G$5:$G$304,0)),""))</f>
        <v/>
      </c>
      <c r="D189" s="39">
        <f>IF(A189="","",IFERROR(INDEX('أوامر التوريد'!$I$5:$I$304,MATCH(A189,'أوامر التوريد'!$G$5:$G$304,0)),""))</f>
        <v/>
      </c>
      <c r="E189" s="46">
        <f>IF(A189="","",SUMIFS('أوامر التوريد'!$J$5:$J$304,'أوامر التوريد'!$G$5:$G$304,A189))</f>
        <v/>
      </c>
      <c r="F189" s="46">
        <f>IF(A189="","",SUMIFS('استلام المواد'!$K$5:$K$304,'استلام المواد'!$F$5:$F$304,A189))</f>
        <v/>
      </c>
      <c r="G189" s="46">
        <f>IF(A189="","",SUMIFS('صرف المواد'!$G$5:$G$304,'صرف المواد'!$C$5:$C$304,A189))</f>
        <v/>
      </c>
      <c r="H189" s="46">
        <f>IF(A189="","",F189-G189)</f>
        <v/>
      </c>
      <c r="I189" s="41" t="n"/>
      <c r="J189" s="46">
        <f>IF(A189="","",IFERROR(SUMIFS('أوامر التوريد'!$L$5:$L$304,'أوامر التوريد'!$G$5:$G$304,A189)/E189,0))</f>
        <v/>
      </c>
      <c r="K189" s="46">
        <f>IF(A189="","",H189*J189)</f>
        <v/>
      </c>
      <c r="L189" s="49">
        <f>IF(A189="","",IF(H189&lt;0,"رصيد سالب!",IF(AND(I189&lt;&gt;"",H189&lt;=I189),"أعد الطلب","متاح")))</f>
        <v/>
      </c>
    </row>
    <row r="190">
      <c r="A190" s="50" t="n"/>
      <c r="B190" s="49">
        <f>IF(A190="","",IFERROR(INDEX('أوامر التوريد'!$H$5:$H$304,MATCH(A190,'أوامر التوريد'!$G$5:$G$304,0)),""))</f>
        <v/>
      </c>
      <c r="C190" s="39">
        <f>IF(A190="","",IFERROR(INDEX('أوامر التوريد'!$C$5:$C$304,MATCH(A190,'أوامر التوريد'!$G$5:$G$304,0)),""))</f>
        <v/>
      </c>
      <c r="D190" s="39">
        <f>IF(A190="","",IFERROR(INDEX('أوامر التوريد'!$I$5:$I$304,MATCH(A190,'أوامر التوريد'!$G$5:$G$304,0)),""))</f>
        <v/>
      </c>
      <c r="E190" s="46">
        <f>IF(A190="","",SUMIFS('أوامر التوريد'!$J$5:$J$304,'أوامر التوريد'!$G$5:$G$304,A190))</f>
        <v/>
      </c>
      <c r="F190" s="46">
        <f>IF(A190="","",SUMIFS('استلام المواد'!$K$5:$K$304,'استلام المواد'!$F$5:$F$304,A190))</f>
        <v/>
      </c>
      <c r="G190" s="46">
        <f>IF(A190="","",SUMIFS('صرف المواد'!$G$5:$G$304,'صرف المواد'!$C$5:$C$304,A190))</f>
        <v/>
      </c>
      <c r="H190" s="46">
        <f>IF(A190="","",F190-G190)</f>
        <v/>
      </c>
      <c r="I190" s="41" t="n"/>
      <c r="J190" s="46">
        <f>IF(A190="","",IFERROR(SUMIFS('أوامر التوريد'!$L$5:$L$304,'أوامر التوريد'!$G$5:$G$304,A190)/E190,0))</f>
        <v/>
      </c>
      <c r="K190" s="46">
        <f>IF(A190="","",H190*J190)</f>
        <v/>
      </c>
      <c r="L190" s="49">
        <f>IF(A190="","",IF(H190&lt;0,"رصيد سالب!",IF(AND(I190&lt;&gt;"",H190&lt;=I190),"أعد الطلب","متاح")))</f>
        <v/>
      </c>
    </row>
    <row r="191">
      <c r="A191" s="50" t="n"/>
      <c r="B191" s="49">
        <f>IF(A191="","",IFERROR(INDEX('أوامر التوريد'!$H$5:$H$304,MATCH(A191,'أوامر التوريد'!$G$5:$G$304,0)),""))</f>
        <v/>
      </c>
      <c r="C191" s="39">
        <f>IF(A191="","",IFERROR(INDEX('أوامر التوريد'!$C$5:$C$304,MATCH(A191,'أوامر التوريد'!$G$5:$G$304,0)),""))</f>
        <v/>
      </c>
      <c r="D191" s="39">
        <f>IF(A191="","",IFERROR(INDEX('أوامر التوريد'!$I$5:$I$304,MATCH(A191,'أوامر التوريد'!$G$5:$G$304,0)),""))</f>
        <v/>
      </c>
      <c r="E191" s="46">
        <f>IF(A191="","",SUMIFS('أوامر التوريد'!$J$5:$J$304,'أوامر التوريد'!$G$5:$G$304,A191))</f>
        <v/>
      </c>
      <c r="F191" s="46">
        <f>IF(A191="","",SUMIFS('استلام المواد'!$K$5:$K$304,'استلام المواد'!$F$5:$F$304,A191))</f>
        <v/>
      </c>
      <c r="G191" s="46">
        <f>IF(A191="","",SUMIFS('صرف المواد'!$G$5:$G$304,'صرف المواد'!$C$5:$C$304,A191))</f>
        <v/>
      </c>
      <c r="H191" s="46">
        <f>IF(A191="","",F191-G191)</f>
        <v/>
      </c>
      <c r="I191" s="41" t="n"/>
      <c r="J191" s="46">
        <f>IF(A191="","",IFERROR(SUMIFS('أوامر التوريد'!$L$5:$L$304,'أوامر التوريد'!$G$5:$G$304,A191)/E191,0))</f>
        <v/>
      </c>
      <c r="K191" s="46">
        <f>IF(A191="","",H191*J191)</f>
        <v/>
      </c>
      <c r="L191" s="49">
        <f>IF(A191="","",IF(H191&lt;0,"رصيد سالب!",IF(AND(I191&lt;&gt;"",H191&lt;=I191),"أعد الطلب","متاح")))</f>
        <v/>
      </c>
    </row>
    <row r="192">
      <c r="A192" s="50" t="n"/>
      <c r="B192" s="49">
        <f>IF(A192="","",IFERROR(INDEX('أوامر التوريد'!$H$5:$H$304,MATCH(A192,'أوامر التوريد'!$G$5:$G$304,0)),""))</f>
        <v/>
      </c>
      <c r="C192" s="39">
        <f>IF(A192="","",IFERROR(INDEX('أوامر التوريد'!$C$5:$C$304,MATCH(A192,'أوامر التوريد'!$G$5:$G$304,0)),""))</f>
        <v/>
      </c>
      <c r="D192" s="39">
        <f>IF(A192="","",IFERROR(INDEX('أوامر التوريد'!$I$5:$I$304,MATCH(A192,'أوامر التوريد'!$G$5:$G$304,0)),""))</f>
        <v/>
      </c>
      <c r="E192" s="46">
        <f>IF(A192="","",SUMIFS('أوامر التوريد'!$J$5:$J$304,'أوامر التوريد'!$G$5:$G$304,A192))</f>
        <v/>
      </c>
      <c r="F192" s="46">
        <f>IF(A192="","",SUMIFS('استلام المواد'!$K$5:$K$304,'استلام المواد'!$F$5:$F$304,A192))</f>
        <v/>
      </c>
      <c r="G192" s="46">
        <f>IF(A192="","",SUMIFS('صرف المواد'!$G$5:$G$304,'صرف المواد'!$C$5:$C$304,A192))</f>
        <v/>
      </c>
      <c r="H192" s="46">
        <f>IF(A192="","",F192-G192)</f>
        <v/>
      </c>
      <c r="I192" s="41" t="n"/>
      <c r="J192" s="46">
        <f>IF(A192="","",IFERROR(SUMIFS('أوامر التوريد'!$L$5:$L$304,'أوامر التوريد'!$G$5:$G$304,A192)/E192,0))</f>
        <v/>
      </c>
      <c r="K192" s="46">
        <f>IF(A192="","",H192*J192)</f>
        <v/>
      </c>
      <c r="L192" s="49">
        <f>IF(A192="","",IF(H192&lt;0,"رصيد سالب!",IF(AND(I192&lt;&gt;"",H192&lt;=I192),"أعد الطلب","متاح")))</f>
        <v/>
      </c>
    </row>
    <row r="193">
      <c r="A193" s="50" t="n"/>
      <c r="B193" s="49">
        <f>IF(A193="","",IFERROR(INDEX('أوامر التوريد'!$H$5:$H$304,MATCH(A193,'أوامر التوريد'!$G$5:$G$304,0)),""))</f>
        <v/>
      </c>
      <c r="C193" s="39">
        <f>IF(A193="","",IFERROR(INDEX('أوامر التوريد'!$C$5:$C$304,MATCH(A193,'أوامر التوريد'!$G$5:$G$304,0)),""))</f>
        <v/>
      </c>
      <c r="D193" s="39">
        <f>IF(A193="","",IFERROR(INDEX('أوامر التوريد'!$I$5:$I$304,MATCH(A193,'أوامر التوريد'!$G$5:$G$304,0)),""))</f>
        <v/>
      </c>
      <c r="E193" s="46">
        <f>IF(A193="","",SUMIFS('أوامر التوريد'!$J$5:$J$304,'أوامر التوريد'!$G$5:$G$304,A193))</f>
        <v/>
      </c>
      <c r="F193" s="46">
        <f>IF(A193="","",SUMIFS('استلام المواد'!$K$5:$K$304,'استلام المواد'!$F$5:$F$304,A193))</f>
        <v/>
      </c>
      <c r="G193" s="46">
        <f>IF(A193="","",SUMIFS('صرف المواد'!$G$5:$G$304,'صرف المواد'!$C$5:$C$304,A193))</f>
        <v/>
      </c>
      <c r="H193" s="46">
        <f>IF(A193="","",F193-G193)</f>
        <v/>
      </c>
      <c r="I193" s="41" t="n"/>
      <c r="J193" s="46">
        <f>IF(A193="","",IFERROR(SUMIFS('أوامر التوريد'!$L$5:$L$304,'أوامر التوريد'!$G$5:$G$304,A193)/E193,0))</f>
        <v/>
      </c>
      <c r="K193" s="46">
        <f>IF(A193="","",H193*J193)</f>
        <v/>
      </c>
      <c r="L193" s="49">
        <f>IF(A193="","",IF(H193&lt;0,"رصيد سالب!",IF(AND(I193&lt;&gt;"",H193&lt;=I193),"أعد الطلب","متاح")))</f>
        <v/>
      </c>
    </row>
    <row r="194">
      <c r="A194" s="50" t="n"/>
      <c r="B194" s="49">
        <f>IF(A194="","",IFERROR(INDEX('أوامر التوريد'!$H$5:$H$304,MATCH(A194,'أوامر التوريد'!$G$5:$G$304,0)),""))</f>
        <v/>
      </c>
      <c r="C194" s="39">
        <f>IF(A194="","",IFERROR(INDEX('أوامر التوريد'!$C$5:$C$304,MATCH(A194,'أوامر التوريد'!$G$5:$G$304,0)),""))</f>
        <v/>
      </c>
      <c r="D194" s="39">
        <f>IF(A194="","",IFERROR(INDEX('أوامر التوريد'!$I$5:$I$304,MATCH(A194,'أوامر التوريد'!$G$5:$G$304,0)),""))</f>
        <v/>
      </c>
      <c r="E194" s="46">
        <f>IF(A194="","",SUMIFS('أوامر التوريد'!$J$5:$J$304,'أوامر التوريد'!$G$5:$G$304,A194))</f>
        <v/>
      </c>
      <c r="F194" s="46">
        <f>IF(A194="","",SUMIFS('استلام المواد'!$K$5:$K$304,'استلام المواد'!$F$5:$F$304,A194))</f>
        <v/>
      </c>
      <c r="G194" s="46">
        <f>IF(A194="","",SUMIFS('صرف المواد'!$G$5:$G$304,'صرف المواد'!$C$5:$C$304,A194))</f>
        <v/>
      </c>
      <c r="H194" s="46">
        <f>IF(A194="","",F194-G194)</f>
        <v/>
      </c>
      <c r="I194" s="41" t="n"/>
      <c r="J194" s="46">
        <f>IF(A194="","",IFERROR(SUMIFS('أوامر التوريد'!$L$5:$L$304,'أوامر التوريد'!$G$5:$G$304,A194)/E194,0))</f>
        <v/>
      </c>
      <c r="K194" s="46">
        <f>IF(A194="","",H194*J194)</f>
        <v/>
      </c>
      <c r="L194" s="49">
        <f>IF(A194="","",IF(H194&lt;0,"رصيد سالب!",IF(AND(I194&lt;&gt;"",H194&lt;=I194),"أعد الطلب","متاح")))</f>
        <v/>
      </c>
    </row>
    <row r="195">
      <c r="A195" s="50" t="n"/>
      <c r="B195" s="49">
        <f>IF(A195="","",IFERROR(INDEX('أوامر التوريد'!$H$5:$H$304,MATCH(A195,'أوامر التوريد'!$G$5:$G$304,0)),""))</f>
        <v/>
      </c>
      <c r="C195" s="39">
        <f>IF(A195="","",IFERROR(INDEX('أوامر التوريد'!$C$5:$C$304,MATCH(A195,'أوامر التوريد'!$G$5:$G$304,0)),""))</f>
        <v/>
      </c>
      <c r="D195" s="39">
        <f>IF(A195="","",IFERROR(INDEX('أوامر التوريد'!$I$5:$I$304,MATCH(A195,'أوامر التوريد'!$G$5:$G$304,0)),""))</f>
        <v/>
      </c>
      <c r="E195" s="46">
        <f>IF(A195="","",SUMIFS('أوامر التوريد'!$J$5:$J$304,'أوامر التوريد'!$G$5:$G$304,A195))</f>
        <v/>
      </c>
      <c r="F195" s="46">
        <f>IF(A195="","",SUMIFS('استلام المواد'!$K$5:$K$304,'استلام المواد'!$F$5:$F$304,A195))</f>
        <v/>
      </c>
      <c r="G195" s="46">
        <f>IF(A195="","",SUMIFS('صرف المواد'!$G$5:$G$304,'صرف المواد'!$C$5:$C$304,A195))</f>
        <v/>
      </c>
      <c r="H195" s="46">
        <f>IF(A195="","",F195-G195)</f>
        <v/>
      </c>
      <c r="I195" s="41" t="n"/>
      <c r="J195" s="46">
        <f>IF(A195="","",IFERROR(SUMIFS('أوامر التوريد'!$L$5:$L$304,'أوامر التوريد'!$G$5:$G$304,A195)/E195,0))</f>
        <v/>
      </c>
      <c r="K195" s="46">
        <f>IF(A195="","",H195*J195)</f>
        <v/>
      </c>
      <c r="L195" s="49">
        <f>IF(A195="","",IF(H195&lt;0,"رصيد سالب!",IF(AND(I195&lt;&gt;"",H195&lt;=I195),"أعد الطلب","متاح")))</f>
        <v/>
      </c>
    </row>
    <row r="196">
      <c r="A196" s="50" t="n"/>
      <c r="B196" s="49">
        <f>IF(A196="","",IFERROR(INDEX('أوامر التوريد'!$H$5:$H$304,MATCH(A196,'أوامر التوريد'!$G$5:$G$304,0)),""))</f>
        <v/>
      </c>
      <c r="C196" s="39">
        <f>IF(A196="","",IFERROR(INDEX('أوامر التوريد'!$C$5:$C$304,MATCH(A196,'أوامر التوريد'!$G$5:$G$304,0)),""))</f>
        <v/>
      </c>
      <c r="D196" s="39">
        <f>IF(A196="","",IFERROR(INDEX('أوامر التوريد'!$I$5:$I$304,MATCH(A196,'أوامر التوريد'!$G$5:$G$304,0)),""))</f>
        <v/>
      </c>
      <c r="E196" s="46">
        <f>IF(A196="","",SUMIFS('أوامر التوريد'!$J$5:$J$304,'أوامر التوريد'!$G$5:$G$304,A196))</f>
        <v/>
      </c>
      <c r="F196" s="46">
        <f>IF(A196="","",SUMIFS('استلام المواد'!$K$5:$K$304,'استلام المواد'!$F$5:$F$304,A196))</f>
        <v/>
      </c>
      <c r="G196" s="46">
        <f>IF(A196="","",SUMIFS('صرف المواد'!$G$5:$G$304,'صرف المواد'!$C$5:$C$304,A196))</f>
        <v/>
      </c>
      <c r="H196" s="46">
        <f>IF(A196="","",F196-G196)</f>
        <v/>
      </c>
      <c r="I196" s="41" t="n"/>
      <c r="J196" s="46">
        <f>IF(A196="","",IFERROR(SUMIFS('أوامر التوريد'!$L$5:$L$304,'أوامر التوريد'!$G$5:$G$304,A196)/E196,0))</f>
        <v/>
      </c>
      <c r="K196" s="46">
        <f>IF(A196="","",H196*J196)</f>
        <v/>
      </c>
      <c r="L196" s="49">
        <f>IF(A196="","",IF(H196&lt;0,"رصيد سالب!",IF(AND(I196&lt;&gt;"",H196&lt;=I196),"أعد الطلب","متاح")))</f>
        <v/>
      </c>
    </row>
    <row r="197">
      <c r="A197" s="50" t="n"/>
      <c r="B197" s="49">
        <f>IF(A197="","",IFERROR(INDEX('أوامر التوريد'!$H$5:$H$304,MATCH(A197,'أوامر التوريد'!$G$5:$G$304,0)),""))</f>
        <v/>
      </c>
      <c r="C197" s="39">
        <f>IF(A197="","",IFERROR(INDEX('أوامر التوريد'!$C$5:$C$304,MATCH(A197,'أوامر التوريد'!$G$5:$G$304,0)),""))</f>
        <v/>
      </c>
      <c r="D197" s="39">
        <f>IF(A197="","",IFERROR(INDEX('أوامر التوريد'!$I$5:$I$304,MATCH(A197,'أوامر التوريد'!$G$5:$G$304,0)),""))</f>
        <v/>
      </c>
      <c r="E197" s="46">
        <f>IF(A197="","",SUMIFS('أوامر التوريد'!$J$5:$J$304,'أوامر التوريد'!$G$5:$G$304,A197))</f>
        <v/>
      </c>
      <c r="F197" s="46">
        <f>IF(A197="","",SUMIFS('استلام المواد'!$K$5:$K$304,'استلام المواد'!$F$5:$F$304,A197))</f>
        <v/>
      </c>
      <c r="G197" s="46">
        <f>IF(A197="","",SUMIFS('صرف المواد'!$G$5:$G$304,'صرف المواد'!$C$5:$C$304,A197))</f>
        <v/>
      </c>
      <c r="H197" s="46">
        <f>IF(A197="","",F197-G197)</f>
        <v/>
      </c>
      <c r="I197" s="41" t="n"/>
      <c r="J197" s="46">
        <f>IF(A197="","",IFERROR(SUMIFS('أوامر التوريد'!$L$5:$L$304,'أوامر التوريد'!$G$5:$G$304,A197)/E197,0))</f>
        <v/>
      </c>
      <c r="K197" s="46">
        <f>IF(A197="","",H197*J197)</f>
        <v/>
      </c>
      <c r="L197" s="49">
        <f>IF(A197="","",IF(H197&lt;0,"رصيد سالب!",IF(AND(I197&lt;&gt;"",H197&lt;=I197),"أعد الطلب","متاح")))</f>
        <v/>
      </c>
    </row>
    <row r="198">
      <c r="A198" s="50" t="n"/>
      <c r="B198" s="49">
        <f>IF(A198="","",IFERROR(INDEX('أوامر التوريد'!$H$5:$H$304,MATCH(A198,'أوامر التوريد'!$G$5:$G$304,0)),""))</f>
        <v/>
      </c>
      <c r="C198" s="39">
        <f>IF(A198="","",IFERROR(INDEX('أوامر التوريد'!$C$5:$C$304,MATCH(A198,'أوامر التوريد'!$G$5:$G$304,0)),""))</f>
        <v/>
      </c>
      <c r="D198" s="39">
        <f>IF(A198="","",IFERROR(INDEX('أوامر التوريد'!$I$5:$I$304,MATCH(A198,'أوامر التوريد'!$G$5:$G$304,0)),""))</f>
        <v/>
      </c>
      <c r="E198" s="46">
        <f>IF(A198="","",SUMIFS('أوامر التوريد'!$J$5:$J$304,'أوامر التوريد'!$G$5:$G$304,A198))</f>
        <v/>
      </c>
      <c r="F198" s="46">
        <f>IF(A198="","",SUMIFS('استلام المواد'!$K$5:$K$304,'استلام المواد'!$F$5:$F$304,A198))</f>
        <v/>
      </c>
      <c r="G198" s="46">
        <f>IF(A198="","",SUMIFS('صرف المواد'!$G$5:$G$304,'صرف المواد'!$C$5:$C$304,A198))</f>
        <v/>
      </c>
      <c r="H198" s="46">
        <f>IF(A198="","",F198-G198)</f>
        <v/>
      </c>
      <c r="I198" s="41" t="n"/>
      <c r="J198" s="46">
        <f>IF(A198="","",IFERROR(SUMIFS('أوامر التوريد'!$L$5:$L$304,'أوامر التوريد'!$G$5:$G$304,A198)/E198,0))</f>
        <v/>
      </c>
      <c r="K198" s="46">
        <f>IF(A198="","",H198*J198)</f>
        <v/>
      </c>
      <c r="L198" s="49">
        <f>IF(A198="","",IF(H198&lt;0,"رصيد سالب!",IF(AND(I198&lt;&gt;"",H198&lt;=I198),"أعد الطلب","متاح")))</f>
        <v/>
      </c>
    </row>
    <row r="199">
      <c r="A199" s="50" t="n"/>
      <c r="B199" s="49">
        <f>IF(A199="","",IFERROR(INDEX('أوامر التوريد'!$H$5:$H$304,MATCH(A199,'أوامر التوريد'!$G$5:$G$304,0)),""))</f>
        <v/>
      </c>
      <c r="C199" s="39">
        <f>IF(A199="","",IFERROR(INDEX('أوامر التوريد'!$C$5:$C$304,MATCH(A199,'أوامر التوريد'!$G$5:$G$304,0)),""))</f>
        <v/>
      </c>
      <c r="D199" s="39">
        <f>IF(A199="","",IFERROR(INDEX('أوامر التوريد'!$I$5:$I$304,MATCH(A199,'أوامر التوريد'!$G$5:$G$304,0)),""))</f>
        <v/>
      </c>
      <c r="E199" s="46">
        <f>IF(A199="","",SUMIFS('أوامر التوريد'!$J$5:$J$304,'أوامر التوريد'!$G$5:$G$304,A199))</f>
        <v/>
      </c>
      <c r="F199" s="46">
        <f>IF(A199="","",SUMIFS('استلام المواد'!$K$5:$K$304,'استلام المواد'!$F$5:$F$304,A199))</f>
        <v/>
      </c>
      <c r="G199" s="46">
        <f>IF(A199="","",SUMIFS('صرف المواد'!$G$5:$G$304,'صرف المواد'!$C$5:$C$304,A199))</f>
        <v/>
      </c>
      <c r="H199" s="46">
        <f>IF(A199="","",F199-G199)</f>
        <v/>
      </c>
      <c r="I199" s="41" t="n"/>
      <c r="J199" s="46">
        <f>IF(A199="","",IFERROR(SUMIFS('أوامر التوريد'!$L$5:$L$304,'أوامر التوريد'!$G$5:$G$304,A199)/E199,0))</f>
        <v/>
      </c>
      <c r="K199" s="46">
        <f>IF(A199="","",H199*J199)</f>
        <v/>
      </c>
      <c r="L199" s="49">
        <f>IF(A199="","",IF(H199&lt;0,"رصيد سالب!",IF(AND(I199&lt;&gt;"",H199&lt;=I199),"أعد الطلب","متاح")))</f>
        <v/>
      </c>
    </row>
    <row r="200">
      <c r="A200" s="50" t="n"/>
      <c r="B200" s="49">
        <f>IF(A200="","",IFERROR(INDEX('أوامر التوريد'!$H$5:$H$304,MATCH(A200,'أوامر التوريد'!$G$5:$G$304,0)),""))</f>
        <v/>
      </c>
      <c r="C200" s="39">
        <f>IF(A200="","",IFERROR(INDEX('أوامر التوريد'!$C$5:$C$304,MATCH(A200,'أوامر التوريد'!$G$5:$G$304,0)),""))</f>
        <v/>
      </c>
      <c r="D200" s="39">
        <f>IF(A200="","",IFERROR(INDEX('أوامر التوريد'!$I$5:$I$304,MATCH(A200,'أوامر التوريد'!$G$5:$G$304,0)),""))</f>
        <v/>
      </c>
      <c r="E200" s="46">
        <f>IF(A200="","",SUMIFS('أوامر التوريد'!$J$5:$J$304,'أوامر التوريد'!$G$5:$G$304,A200))</f>
        <v/>
      </c>
      <c r="F200" s="46">
        <f>IF(A200="","",SUMIFS('استلام المواد'!$K$5:$K$304,'استلام المواد'!$F$5:$F$304,A200))</f>
        <v/>
      </c>
      <c r="G200" s="46">
        <f>IF(A200="","",SUMIFS('صرف المواد'!$G$5:$G$304,'صرف المواد'!$C$5:$C$304,A200))</f>
        <v/>
      </c>
      <c r="H200" s="46">
        <f>IF(A200="","",F200-G200)</f>
        <v/>
      </c>
      <c r="I200" s="41" t="n"/>
      <c r="J200" s="46">
        <f>IF(A200="","",IFERROR(SUMIFS('أوامر التوريد'!$L$5:$L$304,'أوامر التوريد'!$G$5:$G$304,A200)/E200,0))</f>
        <v/>
      </c>
      <c r="K200" s="46">
        <f>IF(A200="","",H200*J200)</f>
        <v/>
      </c>
      <c r="L200" s="49">
        <f>IF(A200="","",IF(H200&lt;0,"رصيد سالب!",IF(AND(I200&lt;&gt;"",H200&lt;=I200),"أعد الطلب","متاح")))</f>
        <v/>
      </c>
    </row>
    <row r="201">
      <c r="A201" s="50" t="n"/>
      <c r="B201" s="49">
        <f>IF(A201="","",IFERROR(INDEX('أوامر التوريد'!$H$5:$H$304,MATCH(A201,'أوامر التوريد'!$G$5:$G$304,0)),""))</f>
        <v/>
      </c>
      <c r="C201" s="39">
        <f>IF(A201="","",IFERROR(INDEX('أوامر التوريد'!$C$5:$C$304,MATCH(A201,'أوامر التوريد'!$G$5:$G$304,0)),""))</f>
        <v/>
      </c>
      <c r="D201" s="39">
        <f>IF(A201="","",IFERROR(INDEX('أوامر التوريد'!$I$5:$I$304,MATCH(A201,'أوامر التوريد'!$G$5:$G$304,0)),""))</f>
        <v/>
      </c>
      <c r="E201" s="46">
        <f>IF(A201="","",SUMIFS('أوامر التوريد'!$J$5:$J$304,'أوامر التوريد'!$G$5:$G$304,A201))</f>
        <v/>
      </c>
      <c r="F201" s="46">
        <f>IF(A201="","",SUMIFS('استلام المواد'!$K$5:$K$304,'استلام المواد'!$F$5:$F$304,A201))</f>
        <v/>
      </c>
      <c r="G201" s="46">
        <f>IF(A201="","",SUMIFS('صرف المواد'!$G$5:$G$304,'صرف المواد'!$C$5:$C$304,A201))</f>
        <v/>
      </c>
      <c r="H201" s="46">
        <f>IF(A201="","",F201-G201)</f>
        <v/>
      </c>
      <c r="I201" s="41" t="n"/>
      <c r="J201" s="46">
        <f>IF(A201="","",IFERROR(SUMIFS('أوامر التوريد'!$L$5:$L$304,'أوامر التوريد'!$G$5:$G$304,A201)/E201,0))</f>
        <v/>
      </c>
      <c r="K201" s="46">
        <f>IF(A201="","",H201*J201)</f>
        <v/>
      </c>
      <c r="L201" s="49">
        <f>IF(A201="","",IF(H201&lt;0,"رصيد سالب!",IF(AND(I201&lt;&gt;"",H201&lt;=I201),"أعد الطلب","متاح")))</f>
        <v/>
      </c>
    </row>
    <row r="202">
      <c r="A202" s="50" t="n"/>
      <c r="B202" s="49">
        <f>IF(A202="","",IFERROR(INDEX('أوامر التوريد'!$H$5:$H$304,MATCH(A202,'أوامر التوريد'!$G$5:$G$304,0)),""))</f>
        <v/>
      </c>
      <c r="C202" s="39">
        <f>IF(A202="","",IFERROR(INDEX('أوامر التوريد'!$C$5:$C$304,MATCH(A202,'أوامر التوريد'!$G$5:$G$304,0)),""))</f>
        <v/>
      </c>
      <c r="D202" s="39">
        <f>IF(A202="","",IFERROR(INDEX('أوامر التوريد'!$I$5:$I$304,MATCH(A202,'أوامر التوريد'!$G$5:$G$304,0)),""))</f>
        <v/>
      </c>
      <c r="E202" s="46">
        <f>IF(A202="","",SUMIFS('أوامر التوريد'!$J$5:$J$304,'أوامر التوريد'!$G$5:$G$304,A202))</f>
        <v/>
      </c>
      <c r="F202" s="46">
        <f>IF(A202="","",SUMIFS('استلام المواد'!$K$5:$K$304,'استلام المواد'!$F$5:$F$304,A202))</f>
        <v/>
      </c>
      <c r="G202" s="46">
        <f>IF(A202="","",SUMIFS('صرف المواد'!$G$5:$G$304,'صرف المواد'!$C$5:$C$304,A202))</f>
        <v/>
      </c>
      <c r="H202" s="46">
        <f>IF(A202="","",F202-G202)</f>
        <v/>
      </c>
      <c r="I202" s="41" t="n"/>
      <c r="J202" s="46">
        <f>IF(A202="","",IFERROR(SUMIFS('أوامر التوريد'!$L$5:$L$304,'أوامر التوريد'!$G$5:$G$304,A202)/E202,0))</f>
        <v/>
      </c>
      <c r="K202" s="46">
        <f>IF(A202="","",H202*J202)</f>
        <v/>
      </c>
      <c r="L202" s="49">
        <f>IF(A202="","",IF(H202&lt;0,"رصيد سالب!",IF(AND(I202&lt;&gt;"",H202&lt;=I202),"أعد الطلب","متاح")))</f>
        <v/>
      </c>
    </row>
    <row r="203">
      <c r="A203" s="50" t="n"/>
      <c r="B203" s="49">
        <f>IF(A203="","",IFERROR(INDEX('أوامر التوريد'!$H$5:$H$304,MATCH(A203,'أوامر التوريد'!$G$5:$G$304,0)),""))</f>
        <v/>
      </c>
      <c r="C203" s="39">
        <f>IF(A203="","",IFERROR(INDEX('أوامر التوريد'!$C$5:$C$304,MATCH(A203,'أوامر التوريد'!$G$5:$G$304,0)),""))</f>
        <v/>
      </c>
      <c r="D203" s="39">
        <f>IF(A203="","",IFERROR(INDEX('أوامر التوريد'!$I$5:$I$304,MATCH(A203,'أوامر التوريد'!$G$5:$G$304,0)),""))</f>
        <v/>
      </c>
      <c r="E203" s="46">
        <f>IF(A203="","",SUMIFS('أوامر التوريد'!$J$5:$J$304,'أوامر التوريد'!$G$5:$G$304,A203))</f>
        <v/>
      </c>
      <c r="F203" s="46">
        <f>IF(A203="","",SUMIFS('استلام المواد'!$K$5:$K$304,'استلام المواد'!$F$5:$F$304,A203))</f>
        <v/>
      </c>
      <c r="G203" s="46">
        <f>IF(A203="","",SUMIFS('صرف المواد'!$G$5:$G$304,'صرف المواد'!$C$5:$C$304,A203))</f>
        <v/>
      </c>
      <c r="H203" s="46">
        <f>IF(A203="","",F203-G203)</f>
        <v/>
      </c>
      <c r="I203" s="41" t="n"/>
      <c r="J203" s="46">
        <f>IF(A203="","",IFERROR(SUMIFS('أوامر التوريد'!$L$5:$L$304,'أوامر التوريد'!$G$5:$G$304,A203)/E203,0))</f>
        <v/>
      </c>
      <c r="K203" s="46">
        <f>IF(A203="","",H203*J203)</f>
        <v/>
      </c>
      <c r="L203" s="49">
        <f>IF(A203="","",IF(H203&lt;0,"رصيد سالب!",IF(AND(I203&lt;&gt;"",H203&lt;=I203),"أعد الطلب","متاح")))</f>
        <v/>
      </c>
    </row>
    <row r="204">
      <c r="A204" s="50" t="n"/>
      <c r="B204" s="49">
        <f>IF(A204="","",IFERROR(INDEX('أوامر التوريد'!$H$5:$H$304,MATCH(A204,'أوامر التوريد'!$G$5:$G$304,0)),""))</f>
        <v/>
      </c>
      <c r="C204" s="39">
        <f>IF(A204="","",IFERROR(INDEX('أوامر التوريد'!$C$5:$C$304,MATCH(A204,'أوامر التوريد'!$G$5:$G$304,0)),""))</f>
        <v/>
      </c>
      <c r="D204" s="39">
        <f>IF(A204="","",IFERROR(INDEX('أوامر التوريد'!$I$5:$I$304,MATCH(A204,'أوامر التوريد'!$G$5:$G$304,0)),""))</f>
        <v/>
      </c>
      <c r="E204" s="46">
        <f>IF(A204="","",SUMIFS('أوامر التوريد'!$J$5:$J$304,'أوامر التوريد'!$G$5:$G$304,A204))</f>
        <v/>
      </c>
      <c r="F204" s="46">
        <f>IF(A204="","",SUMIFS('استلام المواد'!$K$5:$K$304,'استلام المواد'!$F$5:$F$304,A204))</f>
        <v/>
      </c>
      <c r="G204" s="46">
        <f>IF(A204="","",SUMIFS('صرف المواد'!$G$5:$G$304,'صرف المواد'!$C$5:$C$304,A204))</f>
        <v/>
      </c>
      <c r="H204" s="46">
        <f>IF(A204="","",F204-G204)</f>
        <v/>
      </c>
      <c r="I204" s="41" t="n"/>
      <c r="J204" s="46">
        <f>IF(A204="","",IFERROR(SUMIFS('أوامر التوريد'!$L$5:$L$304,'أوامر التوريد'!$G$5:$G$304,A204)/E204,0))</f>
        <v/>
      </c>
      <c r="K204" s="46">
        <f>IF(A204="","",H204*J204)</f>
        <v/>
      </c>
      <c r="L204" s="49">
        <f>IF(A204="","",IF(H204&lt;0,"رصيد سالب!",IF(AND(I204&lt;&gt;"",H204&lt;=I204),"أعد الطلب","متاح")))</f>
        <v/>
      </c>
    </row>
    <row r="205">
      <c r="A205" s="50" t="n"/>
      <c r="B205" s="49">
        <f>IF(A205="","",IFERROR(INDEX('أوامر التوريد'!$H$5:$H$304,MATCH(A205,'أوامر التوريد'!$G$5:$G$304,0)),""))</f>
        <v/>
      </c>
      <c r="C205" s="39">
        <f>IF(A205="","",IFERROR(INDEX('أوامر التوريد'!$C$5:$C$304,MATCH(A205,'أوامر التوريد'!$G$5:$G$304,0)),""))</f>
        <v/>
      </c>
      <c r="D205" s="39">
        <f>IF(A205="","",IFERROR(INDEX('أوامر التوريد'!$I$5:$I$304,MATCH(A205,'أوامر التوريد'!$G$5:$G$304,0)),""))</f>
        <v/>
      </c>
      <c r="E205" s="46">
        <f>IF(A205="","",SUMIFS('أوامر التوريد'!$J$5:$J$304,'أوامر التوريد'!$G$5:$G$304,A205))</f>
        <v/>
      </c>
      <c r="F205" s="46">
        <f>IF(A205="","",SUMIFS('استلام المواد'!$K$5:$K$304,'استلام المواد'!$F$5:$F$304,A205))</f>
        <v/>
      </c>
      <c r="G205" s="46">
        <f>IF(A205="","",SUMIFS('صرف المواد'!$G$5:$G$304,'صرف المواد'!$C$5:$C$304,A205))</f>
        <v/>
      </c>
      <c r="H205" s="46">
        <f>IF(A205="","",F205-G205)</f>
        <v/>
      </c>
      <c r="I205" s="41" t="n"/>
      <c r="J205" s="46">
        <f>IF(A205="","",IFERROR(SUMIFS('أوامر التوريد'!$L$5:$L$304,'أوامر التوريد'!$G$5:$G$304,A205)/E205,0))</f>
        <v/>
      </c>
      <c r="K205" s="46">
        <f>IF(A205="","",H205*J205)</f>
        <v/>
      </c>
      <c r="L205" s="49">
        <f>IF(A205="","",IF(H205&lt;0,"رصيد سالب!",IF(AND(I205&lt;&gt;"",H205&lt;=I205),"أعد الطلب","متاح")))</f>
        <v/>
      </c>
    </row>
    <row r="206">
      <c r="A206" s="50" t="n"/>
      <c r="B206" s="49">
        <f>IF(A206="","",IFERROR(INDEX('أوامر التوريد'!$H$5:$H$304,MATCH(A206,'أوامر التوريد'!$G$5:$G$304,0)),""))</f>
        <v/>
      </c>
      <c r="C206" s="39">
        <f>IF(A206="","",IFERROR(INDEX('أوامر التوريد'!$C$5:$C$304,MATCH(A206,'أوامر التوريد'!$G$5:$G$304,0)),""))</f>
        <v/>
      </c>
      <c r="D206" s="39">
        <f>IF(A206="","",IFERROR(INDEX('أوامر التوريد'!$I$5:$I$304,MATCH(A206,'أوامر التوريد'!$G$5:$G$304,0)),""))</f>
        <v/>
      </c>
      <c r="E206" s="46">
        <f>IF(A206="","",SUMIFS('أوامر التوريد'!$J$5:$J$304,'أوامر التوريد'!$G$5:$G$304,A206))</f>
        <v/>
      </c>
      <c r="F206" s="46">
        <f>IF(A206="","",SUMIFS('استلام المواد'!$K$5:$K$304,'استلام المواد'!$F$5:$F$304,A206))</f>
        <v/>
      </c>
      <c r="G206" s="46">
        <f>IF(A206="","",SUMIFS('صرف المواد'!$G$5:$G$304,'صرف المواد'!$C$5:$C$304,A206))</f>
        <v/>
      </c>
      <c r="H206" s="46">
        <f>IF(A206="","",F206-G206)</f>
        <v/>
      </c>
      <c r="I206" s="41" t="n"/>
      <c r="J206" s="46">
        <f>IF(A206="","",IFERROR(SUMIFS('أوامر التوريد'!$L$5:$L$304,'أوامر التوريد'!$G$5:$G$304,A206)/E206,0))</f>
        <v/>
      </c>
      <c r="K206" s="46">
        <f>IF(A206="","",H206*J206)</f>
        <v/>
      </c>
      <c r="L206" s="49">
        <f>IF(A206="","",IF(H206&lt;0,"رصيد سالب!",IF(AND(I206&lt;&gt;"",H206&lt;=I206),"أعد الطلب","متاح")))</f>
        <v/>
      </c>
    </row>
    <row r="207">
      <c r="A207" s="50" t="n"/>
      <c r="B207" s="49">
        <f>IF(A207="","",IFERROR(INDEX('أوامر التوريد'!$H$5:$H$304,MATCH(A207,'أوامر التوريد'!$G$5:$G$304,0)),""))</f>
        <v/>
      </c>
      <c r="C207" s="39">
        <f>IF(A207="","",IFERROR(INDEX('أوامر التوريد'!$C$5:$C$304,MATCH(A207,'أوامر التوريد'!$G$5:$G$304,0)),""))</f>
        <v/>
      </c>
      <c r="D207" s="39">
        <f>IF(A207="","",IFERROR(INDEX('أوامر التوريد'!$I$5:$I$304,MATCH(A207,'أوامر التوريد'!$G$5:$G$304,0)),""))</f>
        <v/>
      </c>
      <c r="E207" s="46">
        <f>IF(A207="","",SUMIFS('أوامر التوريد'!$J$5:$J$304,'أوامر التوريد'!$G$5:$G$304,A207))</f>
        <v/>
      </c>
      <c r="F207" s="46">
        <f>IF(A207="","",SUMIFS('استلام المواد'!$K$5:$K$304,'استلام المواد'!$F$5:$F$304,A207))</f>
        <v/>
      </c>
      <c r="G207" s="46">
        <f>IF(A207="","",SUMIFS('صرف المواد'!$G$5:$G$304,'صرف المواد'!$C$5:$C$304,A207))</f>
        <v/>
      </c>
      <c r="H207" s="46">
        <f>IF(A207="","",F207-G207)</f>
        <v/>
      </c>
      <c r="I207" s="41" t="n"/>
      <c r="J207" s="46">
        <f>IF(A207="","",IFERROR(SUMIFS('أوامر التوريد'!$L$5:$L$304,'أوامر التوريد'!$G$5:$G$304,A207)/E207,0))</f>
        <v/>
      </c>
      <c r="K207" s="46">
        <f>IF(A207="","",H207*J207)</f>
        <v/>
      </c>
      <c r="L207" s="49">
        <f>IF(A207="","",IF(H207&lt;0,"رصيد سالب!",IF(AND(I207&lt;&gt;"",H207&lt;=I207),"أعد الطلب","متاح")))</f>
        <v/>
      </c>
    </row>
    <row r="208">
      <c r="A208" s="50" t="n"/>
      <c r="B208" s="49">
        <f>IF(A208="","",IFERROR(INDEX('أوامر التوريد'!$H$5:$H$304,MATCH(A208,'أوامر التوريد'!$G$5:$G$304,0)),""))</f>
        <v/>
      </c>
      <c r="C208" s="39">
        <f>IF(A208="","",IFERROR(INDEX('أوامر التوريد'!$C$5:$C$304,MATCH(A208,'أوامر التوريد'!$G$5:$G$304,0)),""))</f>
        <v/>
      </c>
      <c r="D208" s="39">
        <f>IF(A208="","",IFERROR(INDEX('أوامر التوريد'!$I$5:$I$304,MATCH(A208,'أوامر التوريد'!$G$5:$G$304,0)),""))</f>
        <v/>
      </c>
      <c r="E208" s="46">
        <f>IF(A208="","",SUMIFS('أوامر التوريد'!$J$5:$J$304,'أوامر التوريد'!$G$5:$G$304,A208))</f>
        <v/>
      </c>
      <c r="F208" s="46">
        <f>IF(A208="","",SUMIFS('استلام المواد'!$K$5:$K$304,'استلام المواد'!$F$5:$F$304,A208))</f>
        <v/>
      </c>
      <c r="G208" s="46">
        <f>IF(A208="","",SUMIFS('صرف المواد'!$G$5:$G$304,'صرف المواد'!$C$5:$C$304,A208))</f>
        <v/>
      </c>
      <c r="H208" s="46">
        <f>IF(A208="","",F208-G208)</f>
        <v/>
      </c>
      <c r="I208" s="41" t="n"/>
      <c r="J208" s="46">
        <f>IF(A208="","",IFERROR(SUMIFS('أوامر التوريد'!$L$5:$L$304,'أوامر التوريد'!$G$5:$G$304,A208)/E208,0))</f>
        <v/>
      </c>
      <c r="K208" s="46">
        <f>IF(A208="","",H208*J208)</f>
        <v/>
      </c>
      <c r="L208" s="49">
        <f>IF(A208="","",IF(H208&lt;0,"رصيد سالب!",IF(AND(I208&lt;&gt;"",H208&lt;=I208),"أعد الطلب","متاح")))</f>
        <v/>
      </c>
    </row>
    <row r="209">
      <c r="A209" s="50" t="n"/>
      <c r="B209" s="49">
        <f>IF(A209="","",IFERROR(INDEX('أوامر التوريد'!$H$5:$H$304,MATCH(A209,'أوامر التوريد'!$G$5:$G$304,0)),""))</f>
        <v/>
      </c>
      <c r="C209" s="39">
        <f>IF(A209="","",IFERROR(INDEX('أوامر التوريد'!$C$5:$C$304,MATCH(A209,'أوامر التوريد'!$G$5:$G$304,0)),""))</f>
        <v/>
      </c>
      <c r="D209" s="39">
        <f>IF(A209="","",IFERROR(INDEX('أوامر التوريد'!$I$5:$I$304,MATCH(A209,'أوامر التوريد'!$G$5:$G$304,0)),""))</f>
        <v/>
      </c>
      <c r="E209" s="46">
        <f>IF(A209="","",SUMIFS('أوامر التوريد'!$J$5:$J$304,'أوامر التوريد'!$G$5:$G$304,A209))</f>
        <v/>
      </c>
      <c r="F209" s="46">
        <f>IF(A209="","",SUMIFS('استلام المواد'!$K$5:$K$304,'استلام المواد'!$F$5:$F$304,A209))</f>
        <v/>
      </c>
      <c r="G209" s="46">
        <f>IF(A209="","",SUMIFS('صرف المواد'!$G$5:$G$304,'صرف المواد'!$C$5:$C$304,A209))</f>
        <v/>
      </c>
      <c r="H209" s="46">
        <f>IF(A209="","",F209-G209)</f>
        <v/>
      </c>
      <c r="I209" s="41" t="n"/>
      <c r="J209" s="46">
        <f>IF(A209="","",IFERROR(SUMIFS('أوامر التوريد'!$L$5:$L$304,'أوامر التوريد'!$G$5:$G$304,A209)/E209,0))</f>
        <v/>
      </c>
      <c r="K209" s="46">
        <f>IF(A209="","",H209*J209)</f>
        <v/>
      </c>
      <c r="L209" s="49">
        <f>IF(A209="","",IF(H209&lt;0,"رصيد سالب!",IF(AND(I209&lt;&gt;"",H209&lt;=I209),"أعد الطلب","متاح")))</f>
        <v/>
      </c>
    </row>
    <row r="210">
      <c r="A210" s="50" t="n"/>
      <c r="B210" s="49">
        <f>IF(A210="","",IFERROR(INDEX('أوامر التوريد'!$H$5:$H$304,MATCH(A210,'أوامر التوريد'!$G$5:$G$304,0)),""))</f>
        <v/>
      </c>
      <c r="C210" s="39">
        <f>IF(A210="","",IFERROR(INDEX('أوامر التوريد'!$C$5:$C$304,MATCH(A210,'أوامر التوريد'!$G$5:$G$304,0)),""))</f>
        <v/>
      </c>
      <c r="D210" s="39">
        <f>IF(A210="","",IFERROR(INDEX('أوامر التوريد'!$I$5:$I$304,MATCH(A210,'أوامر التوريد'!$G$5:$G$304,0)),""))</f>
        <v/>
      </c>
      <c r="E210" s="46">
        <f>IF(A210="","",SUMIFS('أوامر التوريد'!$J$5:$J$304,'أوامر التوريد'!$G$5:$G$304,A210))</f>
        <v/>
      </c>
      <c r="F210" s="46">
        <f>IF(A210="","",SUMIFS('استلام المواد'!$K$5:$K$304,'استلام المواد'!$F$5:$F$304,A210))</f>
        <v/>
      </c>
      <c r="G210" s="46">
        <f>IF(A210="","",SUMIFS('صرف المواد'!$G$5:$G$304,'صرف المواد'!$C$5:$C$304,A210))</f>
        <v/>
      </c>
      <c r="H210" s="46">
        <f>IF(A210="","",F210-G210)</f>
        <v/>
      </c>
      <c r="I210" s="41" t="n"/>
      <c r="J210" s="46">
        <f>IF(A210="","",IFERROR(SUMIFS('أوامر التوريد'!$L$5:$L$304,'أوامر التوريد'!$G$5:$G$304,A210)/E210,0))</f>
        <v/>
      </c>
      <c r="K210" s="46">
        <f>IF(A210="","",H210*J210)</f>
        <v/>
      </c>
      <c r="L210" s="49">
        <f>IF(A210="","",IF(H210&lt;0,"رصيد سالب!",IF(AND(I210&lt;&gt;"",H210&lt;=I210),"أعد الطلب","متاح")))</f>
        <v/>
      </c>
    </row>
    <row r="211">
      <c r="A211" s="50" t="n"/>
      <c r="B211" s="49">
        <f>IF(A211="","",IFERROR(INDEX('أوامر التوريد'!$H$5:$H$304,MATCH(A211,'أوامر التوريد'!$G$5:$G$304,0)),""))</f>
        <v/>
      </c>
      <c r="C211" s="39">
        <f>IF(A211="","",IFERROR(INDEX('أوامر التوريد'!$C$5:$C$304,MATCH(A211,'أوامر التوريد'!$G$5:$G$304,0)),""))</f>
        <v/>
      </c>
      <c r="D211" s="39">
        <f>IF(A211="","",IFERROR(INDEX('أوامر التوريد'!$I$5:$I$304,MATCH(A211,'أوامر التوريد'!$G$5:$G$304,0)),""))</f>
        <v/>
      </c>
      <c r="E211" s="46">
        <f>IF(A211="","",SUMIFS('أوامر التوريد'!$J$5:$J$304,'أوامر التوريد'!$G$5:$G$304,A211))</f>
        <v/>
      </c>
      <c r="F211" s="46">
        <f>IF(A211="","",SUMIFS('استلام المواد'!$K$5:$K$304,'استلام المواد'!$F$5:$F$304,A211))</f>
        <v/>
      </c>
      <c r="G211" s="46">
        <f>IF(A211="","",SUMIFS('صرف المواد'!$G$5:$G$304,'صرف المواد'!$C$5:$C$304,A211))</f>
        <v/>
      </c>
      <c r="H211" s="46">
        <f>IF(A211="","",F211-G211)</f>
        <v/>
      </c>
      <c r="I211" s="41" t="n"/>
      <c r="J211" s="46">
        <f>IF(A211="","",IFERROR(SUMIFS('أوامر التوريد'!$L$5:$L$304,'أوامر التوريد'!$G$5:$G$304,A211)/E211,0))</f>
        <v/>
      </c>
      <c r="K211" s="46">
        <f>IF(A211="","",H211*J211)</f>
        <v/>
      </c>
      <c r="L211" s="49">
        <f>IF(A211="","",IF(H211&lt;0,"رصيد سالب!",IF(AND(I211&lt;&gt;"",H211&lt;=I211),"أعد الطلب","متاح")))</f>
        <v/>
      </c>
    </row>
    <row r="212">
      <c r="A212" s="50" t="n"/>
      <c r="B212" s="49">
        <f>IF(A212="","",IFERROR(INDEX('أوامر التوريد'!$H$5:$H$304,MATCH(A212,'أوامر التوريد'!$G$5:$G$304,0)),""))</f>
        <v/>
      </c>
      <c r="C212" s="39">
        <f>IF(A212="","",IFERROR(INDEX('أوامر التوريد'!$C$5:$C$304,MATCH(A212,'أوامر التوريد'!$G$5:$G$304,0)),""))</f>
        <v/>
      </c>
      <c r="D212" s="39">
        <f>IF(A212="","",IFERROR(INDEX('أوامر التوريد'!$I$5:$I$304,MATCH(A212,'أوامر التوريد'!$G$5:$G$304,0)),""))</f>
        <v/>
      </c>
      <c r="E212" s="46">
        <f>IF(A212="","",SUMIFS('أوامر التوريد'!$J$5:$J$304,'أوامر التوريد'!$G$5:$G$304,A212))</f>
        <v/>
      </c>
      <c r="F212" s="46">
        <f>IF(A212="","",SUMIFS('استلام المواد'!$K$5:$K$304,'استلام المواد'!$F$5:$F$304,A212))</f>
        <v/>
      </c>
      <c r="G212" s="46">
        <f>IF(A212="","",SUMIFS('صرف المواد'!$G$5:$G$304,'صرف المواد'!$C$5:$C$304,A212))</f>
        <v/>
      </c>
      <c r="H212" s="46">
        <f>IF(A212="","",F212-G212)</f>
        <v/>
      </c>
      <c r="I212" s="41" t="n"/>
      <c r="J212" s="46">
        <f>IF(A212="","",IFERROR(SUMIFS('أوامر التوريد'!$L$5:$L$304,'أوامر التوريد'!$G$5:$G$304,A212)/E212,0))</f>
        <v/>
      </c>
      <c r="K212" s="46">
        <f>IF(A212="","",H212*J212)</f>
        <v/>
      </c>
      <c r="L212" s="49">
        <f>IF(A212="","",IF(H212&lt;0,"رصيد سالب!",IF(AND(I212&lt;&gt;"",H212&lt;=I212),"أعد الطلب","متاح")))</f>
        <v/>
      </c>
    </row>
    <row r="213">
      <c r="A213" s="50" t="n"/>
      <c r="B213" s="49">
        <f>IF(A213="","",IFERROR(INDEX('أوامر التوريد'!$H$5:$H$304,MATCH(A213,'أوامر التوريد'!$G$5:$G$304,0)),""))</f>
        <v/>
      </c>
      <c r="C213" s="39">
        <f>IF(A213="","",IFERROR(INDEX('أوامر التوريد'!$C$5:$C$304,MATCH(A213,'أوامر التوريد'!$G$5:$G$304,0)),""))</f>
        <v/>
      </c>
      <c r="D213" s="39">
        <f>IF(A213="","",IFERROR(INDEX('أوامر التوريد'!$I$5:$I$304,MATCH(A213,'أوامر التوريد'!$G$5:$G$304,0)),""))</f>
        <v/>
      </c>
      <c r="E213" s="46">
        <f>IF(A213="","",SUMIFS('أوامر التوريد'!$J$5:$J$304,'أوامر التوريد'!$G$5:$G$304,A213))</f>
        <v/>
      </c>
      <c r="F213" s="46">
        <f>IF(A213="","",SUMIFS('استلام المواد'!$K$5:$K$304,'استلام المواد'!$F$5:$F$304,A213))</f>
        <v/>
      </c>
      <c r="G213" s="46">
        <f>IF(A213="","",SUMIFS('صرف المواد'!$G$5:$G$304,'صرف المواد'!$C$5:$C$304,A213))</f>
        <v/>
      </c>
      <c r="H213" s="46">
        <f>IF(A213="","",F213-G213)</f>
        <v/>
      </c>
      <c r="I213" s="41" t="n"/>
      <c r="J213" s="46">
        <f>IF(A213="","",IFERROR(SUMIFS('أوامر التوريد'!$L$5:$L$304,'أوامر التوريد'!$G$5:$G$304,A213)/E213,0))</f>
        <v/>
      </c>
      <c r="K213" s="46">
        <f>IF(A213="","",H213*J213)</f>
        <v/>
      </c>
      <c r="L213" s="49">
        <f>IF(A213="","",IF(H213&lt;0,"رصيد سالب!",IF(AND(I213&lt;&gt;"",H213&lt;=I213),"أعد الطلب","متاح")))</f>
        <v/>
      </c>
    </row>
    <row r="214">
      <c r="A214" s="50" t="n"/>
      <c r="B214" s="49">
        <f>IF(A214="","",IFERROR(INDEX('أوامر التوريد'!$H$5:$H$304,MATCH(A214,'أوامر التوريد'!$G$5:$G$304,0)),""))</f>
        <v/>
      </c>
      <c r="C214" s="39">
        <f>IF(A214="","",IFERROR(INDEX('أوامر التوريد'!$C$5:$C$304,MATCH(A214,'أوامر التوريد'!$G$5:$G$304,0)),""))</f>
        <v/>
      </c>
      <c r="D214" s="39">
        <f>IF(A214="","",IFERROR(INDEX('أوامر التوريد'!$I$5:$I$304,MATCH(A214,'أوامر التوريد'!$G$5:$G$304,0)),""))</f>
        <v/>
      </c>
      <c r="E214" s="46">
        <f>IF(A214="","",SUMIFS('أوامر التوريد'!$J$5:$J$304,'أوامر التوريد'!$G$5:$G$304,A214))</f>
        <v/>
      </c>
      <c r="F214" s="46">
        <f>IF(A214="","",SUMIFS('استلام المواد'!$K$5:$K$304,'استلام المواد'!$F$5:$F$304,A214))</f>
        <v/>
      </c>
      <c r="G214" s="46">
        <f>IF(A214="","",SUMIFS('صرف المواد'!$G$5:$G$304,'صرف المواد'!$C$5:$C$304,A214))</f>
        <v/>
      </c>
      <c r="H214" s="46">
        <f>IF(A214="","",F214-G214)</f>
        <v/>
      </c>
      <c r="I214" s="41" t="n"/>
      <c r="J214" s="46">
        <f>IF(A214="","",IFERROR(SUMIFS('أوامر التوريد'!$L$5:$L$304,'أوامر التوريد'!$G$5:$G$304,A214)/E214,0))</f>
        <v/>
      </c>
      <c r="K214" s="46">
        <f>IF(A214="","",H214*J214)</f>
        <v/>
      </c>
      <c r="L214" s="49">
        <f>IF(A214="","",IF(H214&lt;0,"رصيد سالب!",IF(AND(I214&lt;&gt;"",H214&lt;=I214),"أعد الطلب","متاح")))</f>
        <v/>
      </c>
    </row>
    <row r="215">
      <c r="A215" s="50" t="n"/>
      <c r="B215" s="49">
        <f>IF(A215="","",IFERROR(INDEX('أوامر التوريد'!$H$5:$H$304,MATCH(A215,'أوامر التوريد'!$G$5:$G$304,0)),""))</f>
        <v/>
      </c>
      <c r="C215" s="39">
        <f>IF(A215="","",IFERROR(INDEX('أوامر التوريد'!$C$5:$C$304,MATCH(A215,'أوامر التوريد'!$G$5:$G$304,0)),""))</f>
        <v/>
      </c>
      <c r="D215" s="39">
        <f>IF(A215="","",IFERROR(INDEX('أوامر التوريد'!$I$5:$I$304,MATCH(A215,'أوامر التوريد'!$G$5:$G$304,0)),""))</f>
        <v/>
      </c>
      <c r="E215" s="46">
        <f>IF(A215="","",SUMIFS('أوامر التوريد'!$J$5:$J$304,'أوامر التوريد'!$G$5:$G$304,A215))</f>
        <v/>
      </c>
      <c r="F215" s="46">
        <f>IF(A215="","",SUMIFS('استلام المواد'!$K$5:$K$304,'استلام المواد'!$F$5:$F$304,A215))</f>
        <v/>
      </c>
      <c r="G215" s="46">
        <f>IF(A215="","",SUMIFS('صرف المواد'!$G$5:$G$304,'صرف المواد'!$C$5:$C$304,A215))</f>
        <v/>
      </c>
      <c r="H215" s="46">
        <f>IF(A215="","",F215-G215)</f>
        <v/>
      </c>
      <c r="I215" s="41" t="n"/>
      <c r="J215" s="46">
        <f>IF(A215="","",IFERROR(SUMIFS('أوامر التوريد'!$L$5:$L$304,'أوامر التوريد'!$G$5:$G$304,A215)/E215,0))</f>
        <v/>
      </c>
      <c r="K215" s="46">
        <f>IF(A215="","",H215*J215)</f>
        <v/>
      </c>
      <c r="L215" s="49">
        <f>IF(A215="","",IF(H215&lt;0,"رصيد سالب!",IF(AND(I215&lt;&gt;"",H215&lt;=I215),"أعد الطلب","متاح")))</f>
        <v/>
      </c>
    </row>
    <row r="216">
      <c r="A216" s="50" t="n"/>
      <c r="B216" s="49">
        <f>IF(A216="","",IFERROR(INDEX('أوامر التوريد'!$H$5:$H$304,MATCH(A216,'أوامر التوريد'!$G$5:$G$304,0)),""))</f>
        <v/>
      </c>
      <c r="C216" s="39">
        <f>IF(A216="","",IFERROR(INDEX('أوامر التوريد'!$C$5:$C$304,MATCH(A216,'أوامر التوريد'!$G$5:$G$304,0)),""))</f>
        <v/>
      </c>
      <c r="D216" s="39">
        <f>IF(A216="","",IFERROR(INDEX('أوامر التوريد'!$I$5:$I$304,MATCH(A216,'أوامر التوريد'!$G$5:$G$304,0)),""))</f>
        <v/>
      </c>
      <c r="E216" s="46">
        <f>IF(A216="","",SUMIFS('أوامر التوريد'!$J$5:$J$304,'أوامر التوريد'!$G$5:$G$304,A216))</f>
        <v/>
      </c>
      <c r="F216" s="46">
        <f>IF(A216="","",SUMIFS('استلام المواد'!$K$5:$K$304,'استلام المواد'!$F$5:$F$304,A216))</f>
        <v/>
      </c>
      <c r="G216" s="46">
        <f>IF(A216="","",SUMIFS('صرف المواد'!$G$5:$G$304,'صرف المواد'!$C$5:$C$304,A216))</f>
        <v/>
      </c>
      <c r="H216" s="46">
        <f>IF(A216="","",F216-G216)</f>
        <v/>
      </c>
      <c r="I216" s="41" t="n"/>
      <c r="J216" s="46">
        <f>IF(A216="","",IFERROR(SUMIFS('أوامر التوريد'!$L$5:$L$304,'أوامر التوريد'!$G$5:$G$304,A216)/E216,0))</f>
        <v/>
      </c>
      <c r="K216" s="46">
        <f>IF(A216="","",H216*J216)</f>
        <v/>
      </c>
      <c r="L216" s="49">
        <f>IF(A216="","",IF(H216&lt;0,"رصيد سالب!",IF(AND(I216&lt;&gt;"",H216&lt;=I216),"أعد الطلب","متاح")))</f>
        <v/>
      </c>
    </row>
    <row r="217">
      <c r="A217" s="50" t="n"/>
      <c r="B217" s="49">
        <f>IF(A217="","",IFERROR(INDEX('أوامر التوريد'!$H$5:$H$304,MATCH(A217,'أوامر التوريد'!$G$5:$G$304,0)),""))</f>
        <v/>
      </c>
      <c r="C217" s="39">
        <f>IF(A217="","",IFERROR(INDEX('أوامر التوريد'!$C$5:$C$304,MATCH(A217,'أوامر التوريد'!$G$5:$G$304,0)),""))</f>
        <v/>
      </c>
      <c r="D217" s="39">
        <f>IF(A217="","",IFERROR(INDEX('أوامر التوريد'!$I$5:$I$304,MATCH(A217,'أوامر التوريد'!$G$5:$G$304,0)),""))</f>
        <v/>
      </c>
      <c r="E217" s="46">
        <f>IF(A217="","",SUMIFS('أوامر التوريد'!$J$5:$J$304,'أوامر التوريد'!$G$5:$G$304,A217))</f>
        <v/>
      </c>
      <c r="F217" s="46">
        <f>IF(A217="","",SUMIFS('استلام المواد'!$K$5:$K$304,'استلام المواد'!$F$5:$F$304,A217))</f>
        <v/>
      </c>
      <c r="G217" s="46">
        <f>IF(A217="","",SUMIFS('صرف المواد'!$G$5:$G$304,'صرف المواد'!$C$5:$C$304,A217))</f>
        <v/>
      </c>
      <c r="H217" s="46">
        <f>IF(A217="","",F217-G217)</f>
        <v/>
      </c>
      <c r="I217" s="41" t="n"/>
      <c r="J217" s="46">
        <f>IF(A217="","",IFERROR(SUMIFS('أوامر التوريد'!$L$5:$L$304,'أوامر التوريد'!$G$5:$G$304,A217)/E217,0))</f>
        <v/>
      </c>
      <c r="K217" s="46">
        <f>IF(A217="","",H217*J217)</f>
        <v/>
      </c>
      <c r="L217" s="49">
        <f>IF(A217="","",IF(H217&lt;0,"رصيد سالب!",IF(AND(I217&lt;&gt;"",H217&lt;=I217),"أعد الطلب","متاح")))</f>
        <v/>
      </c>
    </row>
    <row r="218">
      <c r="A218" s="50" t="n"/>
      <c r="B218" s="49">
        <f>IF(A218="","",IFERROR(INDEX('أوامر التوريد'!$H$5:$H$304,MATCH(A218,'أوامر التوريد'!$G$5:$G$304,0)),""))</f>
        <v/>
      </c>
      <c r="C218" s="39">
        <f>IF(A218="","",IFERROR(INDEX('أوامر التوريد'!$C$5:$C$304,MATCH(A218,'أوامر التوريد'!$G$5:$G$304,0)),""))</f>
        <v/>
      </c>
      <c r="D218" s="39">
        <f>IF(A218="","",IFERROR(INDEX('أوامر التوريد'!$I$5:$I$304,MATCH(A218,'أوامر التوريد'!$G$5:$G$304,0)),""))</f>
        <v/>
      </c>
      <c r="E218" s="46">
        <f>IF(A218="","",SUMIFS('أوامر التوريد'!$J$5:$J$304,'أوامر التوريد'!$G$5:$G$304,A218))</f>
        <v/>
      </c>
      <c r="F218" s="46">
        <f>IF(A218="","",SUMIFS('استلام المواد'!$K$5:$K$304,'استلام المواد'!$F$5:$F$304,A218))</f>
        <v/>
      </c>
      <c r="G218" s="46">
        <f>IF(A218="","",SUMIFS('صرف المواد'!$G$5:$G$304,'صرف المواد'!$C$5:$C$304,A218))</f>
        <v/>
      </c>
      <c r="H218" s="46">
        <f>IF(A218="","",F218-G218)</f>
        <v/>
      </c>
      <c r="I218" s="41" t="n"/>
      <c r="J218" s="46">
        <f>IF(A218="","",IFERROR(SUMIFS('أوامر التوريد'!$L$5:$L$304,'أوامر التوريد'!$G$5:$G$304,A218)/E218,0))</f>
        <v/>
      </c>
      <c r="K218" s="46">
        <f>IF(A218="","",H218*J218)</f>
        <v/>
      </c>
      <c r="L218" s="49">
        <f>IF(A218="","",IF(H218&lt;0,"رصيد سالب!",IF(AND(I218&lt;&gt;"",H218&lt;=I218),"أعد الطلب","متاح")))</f>
        <v/>
      </c>
    </row>
    <row r="219">
      <c r="A219" s="50" t="n"/>
      <c r="B219" s="49">
        <f>IF(A219="","",IFERROR(INDEX('أوامر التوريد'!$H$5:$H$304,MATCH(A219,'أوامر التوريد'!$G$5:$G$304,0)),""))</f>
        <v/>
      </c>
      <c r="C219" s="39">
        <f>IF(A219="","",IFERROR(INDEX('أوامر التوريد'!$C$5:$C$304,MATCH(A219,'أوامر التوريد'!$G$5:$G$304,0)),""))</f>
        <v/>
      </c>
      <c r="D219" s="39">
        <f>IF(A219="","",IFERROR(INDEX('أوامر التوريد'!$I$5:$I$304,MATCH(A219,'أوامر التوريد'!$G$5:$G$304,0)),""))</f>
        <v/>
      </c>
      <c r="E219" s="46">
        <f>IF(A219="","",SUMIFS('أوامر التوريد'!$J$5:$J$304,'أوامر التوريد'!$G$5:$G$304,A219))</f>
        <v/>
      </c>
      <c r="F219" s="46">
        <f>IF(A219="","",SUMIFS('استلام المواد'!$K$5:$K$304,'استلام المواد'!$F$5:$F$304,A219))</f>
        <v/>
      </c>
      <c r="G219" s="46">
        <f>IF(A219="","",SUMIFS('صرف المواد'!$G$5:$G$304,'صرف المواد'!$C$5:$C$304,A219))</f>
        <v/>
      </c>
      <c r="H219" s="46">
        <f>IF(A219="","",F219-G219)</f>
        <v/>
      </c>
      <c r="I219" s="41" t="n"/>
      <c r="J219" s="46">
        <f>IF(A219="","",IFERROR(SUMIFS('أوامر التوريد'!$L$5:$L$304,'أوامر التوريد'!$G$5:$G$304,A219)/E219,0))</f>
        <v/>
      </c>
      <c r="K219" s="46">
        <f>IF(A219="","",H219*J219)</f>
        <v/>
      </c>
      <c r="L219" s="49">
        <f>IF(A219="","",IF(H219&lt;0,"رصيد سالب!",IF(AND(I219&lt;&gt;"",H219&lt;=I219),"أعد الطلب","متاح")))</f>
        <v/>
      </c>
    </row>
    <row r="220">
      <c r="A220" s="50" t="n"/>
      <c r="B220" s="49">
        <f>IF(A220="","",IFERROR(INDEX('أوامر التوريد'!$H$5:$H$304,MATCH(A220,'أوامر التوريد'!$G$5:$G$304,0)),""))</f>
        <v/>
      </c>
      <c r="C220" s="39">
        <f>IF(A220="","",IFERROR(INDEX('أوامر التوريد'!$C$5:$C$304,MATCH(A220,'أوامر التوريد'!$G$5:$G$304,0)),""))</f>
        <v/>
      </c>
      <c r="D220" s="39">
        <f>IF(A220="","",IFERROR(INDEX('أوامر التوريد'!$I$5:$I$304,MATCH(A220,'أوامر التوريد'!$G$5:$G$304,0)),""))</f>
        <v/>
      </c>
      <c r="E220" s="46">
        <f>IF(A220="","",SUMIFS('أوامر التوريد'!$J$5:$J$304,'أوامر التوريد'!$G$5:$G$304,A220))</f>
        <v/>
      </c>
      <c r="F220" s="46">
        <f>IF(A220="","",SUMIFS('استلام المواد'!$K$5:$K$304,'استلام المواد'!$F$5:$F$304,A220))</f>
        <v/>
      </c>
      <c r="G220" s="46">
        <f>IF(A220="","",SUMIFS('صرف المواد'!$G$5:$G$304,'صرف المواد'!$C$5:$C$304,A220))</f>
        <v/>
      </c>
      <c r="H220" s="46">
        <f>IF(A220="","",F220-G220)</f>
        <v/>
      </c>
      <c r="I220" s="41" t="n"/>
      <c r="J220" s="46">
        <f>IF(A220="","",IFERROR(SUMIFS('أوامر التوريد'!$L$5:$L$304,'أوامر التوريد'!$G$5:$G$304,A220)/E220,0))</f>
        <v/>
      </c>
      <c r="K220" s="46">
        <f>IF(A220="","",H220*J220)</f>
        <v/>
      </c>
      <c r="L220" s="49">
        <f>IF(A220="","",IF(H220&lt;0,"رصيد سالب!",IF(AND(I220&lt;&gt;"",H220&lt;=I220),"أعد الطلب","متاح")))</f>
        <v/>
      </c>
    </row>
    <row r="221">
      <c r="A221" s="50" t="n"/>
      <c r="B221" s="49">
        <f>IF(A221="","",IFERROR(INDEX('أوامر التوريد'!$H$5:$H$304,MATCH(A221,'أوامر التوريد'!$G$5:$G$304,0)),""))</f>
        <v/>
      </c>
      <c r="C221" s="39">
        <f>IF(A221="","",IFERROR(INDEX('أوامر التوريد'!$C$5:$C$304,MATCH(A221,'أوامر التوريد'!$G$5:$G$304,0)),""))</f>
        <v/>
      </c>
      <c r="D221" s="39">
        <f>IF(A221="","",IFERROR(INDEX('أوامر التوريد'!$I$5:$I$304,MATCH(A221,'أوامر التوريد'!$G$5:$G$304,0)),""))</f>
        <v/>
      </c>
      <c r="E221" s="46">
        <f>IF(A221="","",SUMIFS('أوامر التوريد'!$J$5:$J$304,'أوامر التوريد'!$G$5:$G$304,A221))</f>
        <v/>
      </c>
      <c r="F221" s="46">
        <f>IF(A221="","",SUMIFS('استلام المواد'!$K$5:$K$304,'استلام المواد'!$F$5:$F$304,A221))</f>
        <v/>
      </c>
      <c r="G221" s="46">
        <f>IF(A221="","",SUMIFS('صرف المواد'!$G$5:$G$304,'صرف المواد'!$C$5:$C$304,A221))</f>
        <v/>
      </c>
      <c r="H221" s="46">
        <f>IF(A221="","",F221-G221)</f>
        <v/>
      </c>
      <c r="I221" s="41" t="n"/>
      <c r="J221" s="46">
        <f>IF(A221="","",IFERROR(SUMIFS('أوامر التوريد'!$L$5:$L$304,'أوامر التوريد'!$G$5:$G$304,A221)/E221,0))</f>
        <v/>
      </c>
      <c r="K221" s="46">
        <f>IF(A221="","",H221*J221)</f>
        <v/>
      </c>
      <c r="L221" s="49">
        <f>IF(A221="","",IF(H221&lt;0,"رصيد سالب!",IF(AND(I221&lt;&gt;"",H221&lt;=I221),"أعد الطلب","متاح")))</f>
        <v/>
      </c>
    </row>
    <row r="222">
      <c r="A222" s="50" t="n"/>
      <c r="B222" s="49">
        <f>IF(A222="","",IFERROR(INDEX('أوامر التوريد'!$H$5:$H$304,MATCH(A222,'أوامر التوريد'!$G$5:$G$304,0)),""))</f>
        <v/>
      </c>
      <c r="C222" s="39">
        <f>IF(A222="","",IFERROR(INDEX('أوامر التوريد'!$C$5:$C$304,MATCH(A222,'أوامر التوريد'!$G$5:$G$304,0)),""))</f>
        <v/>
      </c>
      <c r="D222" s="39">
        <f>IF(A222="","",IFERROR(INDEX('أوامر التوريد'!$I$5:$I$304,MATCH(A222,'أوامر التوريد'!$G$5:$G$304,0)),""))</f>
        <v/>
      </c>
      <c r="E222" s="46">
        <f>IF(A222="","",SUMIFS('أوامر التوريد'!$J$5:$J$304,'أوامر التوريد'!$G$5:$G$304,A222))</f>
        <v/>
      </c>
      <c r="F222" s="46">
        <f>IF(A222="","",SUMIFS('استلام المواد'!$K$5:$K$304,'استلام المواد'!$F$5:$F$304,A222))</f>
        <v/>
      </c>
      <c r="G222" s="46">
        <f>IF(A222="","",SUMIFS('صرف المواد'!$G$5:$G$304,'صرف المواد'!$C$5:$C$304,A222))</f>
        <v/>
      </c>
      <c r="H222" s="46">
        <f>IF(A222="","",F222-G222)</f>
        <v/>
      </c>
      <c r="I222" s="41" t="n"/>
      <c r="J222" s="46">
        <f>IF(A222="","",IFERROR(SUMIFS('أوامر التوريد'!$L$5:$L$304,'أوامر التوريد'!$G$5:$G$304,A222)/E222,0))</f>
        <v/>
      </c>
      <c r="K222" s="46">
        <f>IF(A222="","",H222*J222)</f>
        <v/>
      </c>
      <c r="L222" s="49">
        <f>IF(A222="","",IF(H222&lt;0,"رصيد سالب!",IF(AND(I222&lt;&gt;"",H222&lt;=I222),"أعد الطلب","متاح")))</f>
        <v/>
      </c>
    </row>
    <row r="223">
      <c r="A223" s="50" t="n"/>
      <c r="B223" s="49">
        <f>IF(A223="","",IFERROR(INDEX('أوامر التوريد'!$H$5:$H$304,MATCH(A223,'أوامر التوريد'!$G$5:$G$304,0)),""))</f>
        <v/>
      </c>
      <c r="C223" s="39">
        <f>IF(A223="","",IFERROR(INDEX('أوامر التوريد'!$C$5:$C$304,MATCH(A223,'أوامر التوريد'!$G$5:$G$304,0)),""))</f>
        <v/>
      </c>
      <c r="D223" s="39">
        <f>IF(A223="","",IFERROR(INDEX('أوامر التوريد'!$I$5:$I$304,MATCH(A223,'أوامر التوريد'!$G$5:$G$304,0)),""))</f>
        <v/>
      </c>
      <c r="E223" s="46">
        <f>IF(A223="","",SUMIFS('أوامر التوريد'!$J$5:$J$304,'أوامر التوريد'!$G$5:$G$304,A223))</f>
        <v/>
      </c>
      <c r="F223" s="46">
        <f>IF(A223="","",SUMIFS('استلام المواد'!$K$5:$K$304,'استلام المواد'!$F$5:$F$304,A223))</f>
        <v/>
      </c>
      <c r="G223" s="46">
        <f>IF(A223="","",SUMIFS('صرف المواد'!$G$5:$G$304,'صرف المواد'!$C$5:$C$304,A223))</f>
        <v/>
      </c>
      <c r="H223" s="46">
        <f>IF(A223="","",F223-G223)</f>
        <v/>
      </c>
      <c r="I223" s="41" t="n"/>
      <c r="J223" s="46">
        <f>IF(A223="","",IFERROR(SUMIFS('أوامر التوريد'!$L$5:$L$304,'أوامر التوريد'!$G$5:$G$304,A223)/E223,0))</f>
        <v/>
      </c>
      <c r="K223" s="46">
        <f>IF(A223="","",H223*J223)</f>
        <v/>
      </c>
      <c r="L223" s="49">
        <f>IF(A223="","",IF(H223&lt;0,"رصيد سالب!",IF(AND(I223&lt;&gt;"",H223&lt;=I223),"أعد الطلب","متاح")))</f>
        <v/>
      </c>
    </row>
    <row r="224">
      <c r="A224" s="50" t="n"/>
      <c r="B224" s="49">
        <f>IF(A224="","",IFERROR(INDEX('أوامر التوريد'!$H$5:$H$304,MATCH(A224,'أوامر التوريد'!$G$5:$G$304,0)),""))</f>
        <v/>
      </c>
      <c r="C224" s="39">
        <f>IF(A224="","",IFERROR(INDEX('أوامر التوريد'!$C$5:$C$304,MATCH(A224,'أوامر التوريد'!$G$5:$G$304,0)),""))</f>
        <v/>
      </c>
      <c r="D224" s="39">
        <f>IF(A224="","",IFERROR(INDEX('أوامر التوريد'!$I$5:$I$304,MATCH(A224,'أوامر التوريد'!$G$5:$G$304,0)),""))</f>
        <v/>
      </c>
      <c r="E224" s="46">
        <f>IF(A224="","",SUMIFS('أوامر التوريد'!$J$5:$J$304,'أوامر التوريد'!$G$5:$G$304,A224))</f>
        <v/>
      </c>
      <c r="F224" s="46">
        <f>IF(A224="","",SUMIFS('استلام المواد'!$K$5:$K$304,'استلام المواد'!$F$5:$F$304,A224))</f>
        <v/>
      </c>
      <c r="G224" s="46">
        <f>IF(A224="","",SUMIFS('صرف المواد'!$G$5:$G$304,'صرف المواد'!$C$5:$C$304,A224))</f>
        <v/>
      </c>
      <c r="H224" s="46">
        <f>IF(A224="","",F224-G224)</f>
        <v/>
      </c>
      <c r="I224" s="41" t="n"/>
      <c r="J224" s="46">
        <f>IF(A224="","",IFERROR(SUMIFS('أوامر التوريد'!$L$5:$L$304,'أوامر التوريد'!$G$5:$G$304,A224)/E224,0))</f>
        <v/>
      </c>
      <c r="K224" s="46">
        <f>IF(A224="","",H224*J224)</f>
        <v/>
      </c>
      <c r="L224" s="49">
        <f>IF(A224="","",IF(H224&lt;0,"رصيد سالب!",IF(AND(I224&lt;&gt;"",H224&lt;=I224),"أعد الطلب","متاح")))</f>
        <v/>
      </c>
    </row>
    <row r="225">
      <c r="A225" s="50" t="n"/>
      <c r="B225" s="49">
        <f>IF(A225="","",IFERROR(INDEX('أوامر التوريد'!$H$5:$H$304,MATCH(A225,'أوامر التوريد'!$G$5:$G$304,0)),""))</f>
        <v/>
      </c>
      <c r="C225" s="39">
        <f>IF(A225="","",IFERROR(INDEX('أوامر التوريد'!$C$5:$C$304,MATCH(A225,'أوامر التوريد'!$G$5:$G$304,0)),""))</f>
        <v/>
      </c>
      <c r="D225" s="39">
        <f>IF(A225="","",IFERROR(INDEX('أوامر التوريد'!$I$5:$I$304,MATCH(A225,'أوامر التوريد'!$G$5:$G$304,0)),""))</f>
        <v/>
      </c>
      <c r="E225" s="46">
        <f>IF(A225="","",SUMIFS('أوامر التوريد'!$J$5:$J$304,'أوامر التوريد'!$G$5:$G$304,A225))</f>
        <v/>
      </c>
      <c r="F225" s="46">
        <f>IF(A225="","",SUMIFS('استلام المواد'!$K$5:$K$304,'استلام المواد'!$F$5:$F$304,A225))</f>
        <v/>
      </c>
      <c r="G225" s="46">
        <f>IF(A225="","",SUMIFS('صرف المواد'!$G$5:$G$304,'صرف المواد'!$C$5:$C$304,A225))</f>
        <v/>
      </c>
      <c r="H225" s="46">
        <f>IF(A225="","",F225-G225)</f>
        <v/>
      </c>
      <c r="I225" s="41" t="n"/>
      <c r="J225" s="46">
        <f>IF(A225="","",IFERROR(SUMIFS('أوامر التوريد'!$L$5:$L$304,'أوامر التوريد'!$G$5:$G$304,A225)/E225,0))</f>
        <v/>
      </c>
      <c r="K225" s="46">
        <f>IF(A225="","",H225*J225)</f>
        <v/>
      </c>
      <c r="L225" s="49">
        <f>IF(A225="","",IF(H225&lt;0,"رصيد سالب!",IF(AND(I225&lt;&gt;"",H225&lt;=I225),"أعد الطلب","متاح")))</f>
        <v/>
      </c>
    </row>
    <row r="226">
      <c r="A226" s="50" t="n"/>
      <c r="B226" s="49">
        <f>IF(A226="","",IFERROR(INDEX('أوامر التوريد'!$H$5:$H$304,MATCH(A226,'أوامر التوريد'!$G$5:$G$304,0)),""))</f>
        <v/>
      </c>
      <c r="C226" s="39">
        <f>IF(A226="","",IFERROR(INDEX('أوامر التوريد'!$C$5:$C$304,MATCH(A226,'أوامر التوريد'!$G$5:$G$304,0)),""))</f>
        <v/>
      </c>
      <c r="D226" s="39">
        <f>IF(A226="","",IFERROR(INDEX('أوامر التوريد'!$I$5:$I$304,MATCH(A226,'أوامر التوريد'!$G$5:$G$304,0)),""))</f>
        <v/>
      </c>
      <c r="E226" s="46">
        <f>IF(A226="","",SUMIFS('أوامر التوريد'!$J$5:$J$304,'أوامر التوريد'!$G$5:$G$304,A226))</f>
        <v/>
      </c>
      <c r="F226" s="46">
        <f>IF(A226="","",SUMIFS('استلام المواد'!$K$5:$K$304,'استلام المواد'!$F$5:$F$304,A226))</f>
        <v/>
      </c>
      <c r="G226" s="46">
        <f>IF(A226="","",SUMIFS('صرف المواد'!$G$5:$G$304,'صرف المواد'!$C$5:$C$304,A226))</f>
        <v/>
      </c>
      <c r="H226" s="46">
        <f>IF(A226="","",F226-G226)</f>
        <v/>
      </c>
      <c r="I226" s="41" t="n"/>
      <c r="J226" s="46">
        <f>IF(A226="","",IFERROR(SUMIFS('أوامر التوريد'!$L$5:$L$304,'أوامر التوريد'!$G$5:$G$304,A226)/E226,0))</f>
        <v/>
      </c>
      <c r="K226" s="46">
        <f>IF(A226="","",H226*J226)</f>
        <v/>
      </c>
      <c r="L226" s="49">
        <f>IF(A226="","",IF(H226&lt;0,"رصيد سالب!",IF(AND(I226&lt;&gt;"",H226&lt;=I226),"أعد الطلب","متاح")))</f>
        <v/>
      </c>
    </row>
    <row r="227">
      <c r="A227" s="50" t="n"/>
      <c r="B227" s="49">
        <f>IF(A227="","",IFERROR(INDEX('أوامر التوريد'!$H$5:$H$304,MATCH(A227,'أوامر التوريد'!$G$5:$G$304,0)),""))</f>
        <v/>
      </c>
      <c r="C227" s="39">
        <f>IF(A227="","",IFERROR(INDEX('أوامر التوريد'!$C$5:$C$304,MATCH(A227,'أوامر التوريد'!$G$5:$G$304,0)),""))</f>
        <v/>
      </c>
      <c r="D227" s="39">
        <f>IF(A227="","",IFERROR(INDEX('أوامر التوريد'!$I$5:$I$304,MATCH(A227,'أوامر التوريد'!$G$5:$G$304,0)),""))</f>
        <v/>
      </c>
      <c r="E227" s="46">
        <f>IF(A227="","",SUMIFS('أوامر التوريد'!$J$5:$J$304,'أوامر التوريد'!$G$5:$G$304,A227))</f>
        <v/>
      </c>
      <c r="F227" s="46">
        <f>IF(A227="","",SUMIFS('استلام المواد'!$K$5:$K$304,'استلام المواد'!$F$5:$F$304,A227))</f>
        <v/>
      </c>
      <c r="G227" s="46">
        <f>IF(A227="","",SUMIFS('صرف المواد'!$G$5:$G$304,'صرف المواد'!$C$5:$C$304,A227))</f>
        <v/>
      </c>
      <c r="H227" s="46">
        <f>IF(A227="","",F227-G227)</f>
        <v/>
      </c>
      <c r="I227" s="41" t="n"/>
      <c r="J227" s="46">
        <f>IF(A227="","",IFERROR(SUMIFS('أوامر التوريد'!$L$5:$L$304,'أوامر التوريد'!$G$5:$G$304,A227)/E227,0))</f>
        <v/>
      </c>
      <c r="K227" s="46">
        <f>IF(A227="","",H227*J227)</f>
        <v/>
      </c>
      <c r="L227" s="49">
        <f>IF(A227="","",IF(H227&lt;0,"رصيد سالب!",IF(AND(I227&lt;&gt;"",H227&lt;=I227),"أعد الطلب","متاح")))</f>
        <v/>
      </c>
    </row>
    <row r="228">
      <c r="A228" s="50" t="n"/>
      <c r="B228" s="49">
        <f>IF(A228="","",IFERROR(INDEX('أوامر التوريد'!$H$5:$H$304,MATCH(A228,'أوامر التوريد'!$G$5:$G$304,0)),""))</f>
        <v/>
      </c>
      <c r="C228" s="39">
        <f>IF(A228="","",IFERROR(INDEX('أوامر التوريد'!$C$5:$C$304,MATCH(A228,'أوامر التوريد'!$G$5:$G$304,0)),""))</f>
        <v/>
      </c>
      <c r="D228" s="39">
        <f>IF(A228="","",IFERROR(INDEX('أوامر التوريد'!$I$5:$I$304,MATCH(A228,'أوامر التوريد'!$G$5:$G$304,0)),""))</f>
        <v/>
      </c>
      <c r="E228" s="46">
        <f>IF(A228="","",SUMIFS('أوامر التوريد'!$J$5:$J$304,'أوامر التوريد'!$G$5:$G$304,A228))</f>
        <v/>
      </c>
      <c r="F228" s="46">
        <f>IF(A228="","",SUMIFS('استلام المواد'!$K$5:$K$304,'استلام المواد'!$F$5:$F$304,A228))</f>
        <v/>
      </c>
      <c r="G228" s="46">
        <f>IF(A228="","",SUMIFS('صرف المواد'!$G$5:$G$304,'صرف المواد'!$C$5:$C$304,A228))</f>
        <v/>
      </c>
      <c r="H228" s="46">
        <f>IF(A228="","",F228-G228)</f>
        <v/>
      </c>
      <c r="I228" s="41" t="n"/>
      <c r="J228" s="46">
        <f>IF(A228="","",IFERROR(SUMIFS('أوامر التوريد'!$L$5:$L$304,'أوامر التوريد'!$G$5:$G$304,A228)/E228,0))</f>
        <v/>
      </c>
      <c r="K228" s="46">
        <f>IF(A228="","",H228*J228)</f>
        <v/>
      </c>
      <c r="L228" s="49">
        <f>IF(A228="","",IF(H228&lt;0,"رصيد سالب!",IF(AND(I228&lt;&gt;"",H228&lt;=I228),"أعد الطلب","متاح")))</f>
        <v/>
      </c>
    </row>
    <row r="229">
      <c r="A229" s="50" t="n"/>
      <c r="B229" s="49">
        <f>IF(A229="","",IFERROR(INDEX('أوامر التوريد'!$H$5:$H$304,MATCH(A229,'أوامر التوريد'!$G$5:$G$304,0)),""))</f>
        <v/>
      </c>
      <c r="C229" s="39">
        <f>IF(A229="","",IFERROR(INDEX('أوامر التوريد'!$C$5:$C$304,MATCH(A229,'أوامر التوريد'!$G$5:$G$304,0)),""))</f>
        <v/>
      </c>
      <c r="D229" s="39">
        <f>IF(A229="","",IFERROR(INDEX('أوامر التوريد'!$I$5:$I$304,MATCH(A229,'أوامر التوريد'!$G$5:$G$304,0)),""))</f>
        <v/>
      </c>
      <c r="E229" s="46">
        <f>IF(A229="","",SUMIFS('أوامر التوريد'!$J$5:$J$304,'أوامر التوريد'!$G$5:$G$304,A229))</f>
        <v/>
      </c>
      <c r="F229" s="46">
        <f>IF(A229="","",SUMIFS('استلام المواد'!$K$5:$K$304,'استلام المواد'!$F$5:$F$304,A229))</f>
        <v/>
      </c>
      <c r="G229" s="46">
        <f>IF(A229="","",SUMIFS('صرف المواد'!$G$5:$G$304,'صرف المواد'!$C$5:$C$304,A229))</f>
        <v/>
      </c>
      <c r="H229" s="46">
        <f>IF(A229="","",F229-G229)</f>
        <v/>
      </c>
      <c r="I229" s="41" t="n"/>
      <c r="J229" s="46">
        <f>IF(A229="","",IFERROR(SUMIFS('أوامر التوريد'!$L$5:$L$304,'أوامر التوريد'!$G$5:$G$304,A229)/E229,0))</f>
        <v/>
      </c>
      <c r="K229" s="46">
        <f>IF(A229="","",H229*J229)</f>
        <v/>
      </c>
      <c r="L229" s="49">
        <f>IF(A229="","",IF(H229&lt;0,"رصيد سالب!",IF(AND(I229&lt;&gt;"",H229&lt;=I229),"أعد الطلب","متاح")))</f>
        <v/>
      </c>
    </row>
    <row r="230">
      <c r="A230" s="50" t="n"/>
      <c r="B230" s="49">
        <f>IF(A230="","",IFERROR(INDEX('أوامر التوريد'!$H$5:$H$304,MATCH(A230,'أوامر التوريد'!$G$5:$G$304,0)),""))</f>
        <v/>
      </c>
      <c r="C230" s="39">
        <f>IF(A230="","",IFERROR(INDEX('أوامر التوريد'!$C$5:$C$304,MATCH(A230,'أوامر التوريد'!$G$5:$G$304,0)),""))</f>
        <v/>
      </c>
      <c r="D230" s="39">
        <f>IF(A230="","",IFERROR(INDEX('أوامر التوريد'!$I$5:$I$304,MATCH(A230,'أوامر التوريد'!$G$5:$G$304,0)),""))</f>
        <v/>
      </c>
      <c r="E230" s="46">
        <f>IF(A230="","",SUMIFS('أوامر التوريد'!$J$5:$J$304,'أوامر التوريد'!$G$5:$G$304,A230))</f>
        <v/>
      </c>
      <c r="F230" s="46">
        <f>IF(A230="","",SUMIFS('استلام المواد'!$K$5:$K$304,'استلام المواد'!$F$5:$F$304,A230))</f>
        <v/>
      </c>
      <c r="G230" s="46">
        <f>IF(A230="","",SUMIFS('صرف المواد'!$G$5:$G$304,'صرف المواد'!$C$5:$C$304,A230))</f>
        <v/>
      </c>
      <c r="H230" s="46">
        <f>IF(A230="","",F230-G230)</f>
        <v/>
      </c>
      <c r="I230" s="41" t="n"/>
      <c r="J230" s="46">
        <f>IF(A230="","",IFERROR(SUMIFS('أوامر التوريد'!$L$5:$L$304,'أوامر التوريد'!$G$5:$G$304,A230)/E230,0))</f>
        <v/>
      </c>
      <c r="K230" s="46">
        <f>IF(A230="","",H230*J230)</f>
        <v/>
      </c>
      <c r="L230" s="49">
        <f>IF(A230="","",IF(H230&lt;0,"رصيد سالب!",IF(AND(I230&lt;&gt;"",H230&lt;=I230),"أعد الطلب","متاح")))</f>
        <v/>
      </c>
    </row>
    <row r="231">
      <c r="A231" s="50" t="n"/>
      <c r="B231" s="49">
        <f>IF(A231="","",IFERROR(INDEX('أوامر التوريد'!$H$5:$H$304,MATCH(A231,'أوامر التوريد'!$G$5:$G$304,0)),""))</f>
        <v/>
      </c>
      <c r="C231" s="39">
        <f>IF(A231="","",IFERROR(INDEX('أوامر التوريد'!$C$5:$C$304,MATCH(A231,'أوامر التوريد'!$G$5:$G$304,0)),""))</f>
        <v/>
      </c>
      <c r="D231" s="39">
        <f>IF(A231="","",IFERROR(INDEX('أوامر التوريد'!$I$5:$I$304,MATCH(A231,'أوامر التوريد'!$G$5:$G$304,0)),""))</f>
        <v/>
      </c>
      <c r="E231" s="46">
        <f>IF(A231="","",SUMIFS('أوامر التوريد'!$J$5:$J$304,'أوامر التوريد'!$G$5:$G$304,A231))</f>
        <v/>
      </c>
      <c r="F231" s="46">
        <f>IF(A231="","",SUMIFS('استلام المواد'!$K$5:$K$304,'استلام المواد'!$F$5:$F$304,A231))</f>
        <v/>
      </c>
      <c r="G231" s="46">
        <f>IF(A231="","",SUMIFS('صرف المواد'!$G$5:$G$304,'صرف المواد'!$C$5:$C$304,A231))</f>
        <v/>
      </c>
      <c r="H231" s="46">
        <f>IF(A231="","",F231-G231)</f>
        <v/>
      </c>
      <c r="I231" s="41" t="n"/>
      <c r="J231" s="46">
        <f>IF(A231="","",IFERROR(SUMIFS('أوامر التوريد'!$L$5:$L$304,'أوامر التوريد'!$G$5:$G$304,A231)/E231,0))</f>
        <v/>
      </c>
      <c r="K231" s="46">
        <f>IF(A231="","",H231*J231)</f>
        <v/>
      </c>
      <c r="L231" s="49">
        <f>IF(A231="","",IF(H231&lt;0,"رصيد سالب!",IF(AND(I231&lt;&gt;"",H231&lt;=I231),"أعد الطلب","متاح")))</f>
        <v/>
      </c>
    </row>
    <row r="232">
      <c r="A232" s="50" t="n"/>
      <c r="B232" s="49">
        <f>IF(A232="","",IFERROR(INDEX('أوامر التوريد'!$H$5:$H$304,MATCH(A232,'أوامر التوريد'!$G$5:$G$304,0)),""))</f>
        <v/>
      </c>
      <c r="C232" s="39">
        <f>IF(A232="","",IFERROR(INDEX('أوامر التوريد'!$C$5:$C$304,MATCH(A232,'أوامر التوريد'!$G$5:$G$304,0)),""))</f>
        <v/>
      </c>
      <c r="D232" s="39">
        <f>IF(A232="","",IFERROR(INDEX('أوامر التوريد'!$I$5:$I$304,MATCH(A232,'أوامر التوريد'!$G$5:$G$304,0)),""))</f>
        <v/>
      </c>
      <c r="E232" s="46">
        <f>IF(A232="","",SUMIFS('أوامر التوريد'!$J$5:$J$304,'أوامر التوريد'!$G$5:$G$304,A232))</f>
        <v/>
      </c>
      <c r="F232" s="46">
        <f>IF(A232="","",SUMIFS('استلام المواد'!$K$5:$K$304,'استلام المواد'!$F$5:$F$304,A232))</f>
        <v/>
      </c>
      <c r="G232" s="46">
        <f>IF(A232="","",SUMIFS('صرف المواد'!$G$5:$G$304,'صرف المواد'!$C$5:$C$304,A232))</f>
        <v/>
      </c>
      <c r="H232" s="46">
        <f>IF(A232="","",F232-G232)</f>
        <v/>
      </c>
      <c r="I232" s="41" t="n"/>
      <c r="J232" s="46">
        <f>IF(A232="","",IFERROR(SUMIFS('أوامر التوريد'!$L$5:$L$304,'أوامر التوريد'!$G$5:$G$304,A232)/E232,0))</f>
        <v/>
      </c>
      <c r="K232" s="46">
        <f>IF(A232="","",H232*J232)</f>
        <v/>
      </c>
      <c r="L232" s="49">
        <f>IF(A232="","",IF(H232&lt;0,"رصيد سالب!",IF(AND(I232&lt;&gt;"",H232&lt;=I232),"أعد الطلب","متاح")))</f>
        <v/>
      </c>
    </row>
    <row r="233">
      <c r="A233" s="50" t="n"/>
      <c r="B233" s="49">
        <f>IF(A233="","",IFERROR(INDEX('أوامر التوريد'!$H$5:$H$304,MATCH(A233,'أوامر التوريد'!$G$5:$G$304,0)),""))</f>
        <v/>
      </c>
      <c r="C233" s="39">
        <f>IF(A233="","",IFERROR(INDEX('أوامر التوريد'!$C$5:$C$304,MATCH(A233,'أوامر التوريد'!$G$5:$G$304,0)),""))</f>
        <v/>
      </c>
      <c r="D233" s="39">
        <f>IF(A233="","",IFERROR(INDEX('أوامر التوريد'!$I$5:$I$304,MATCH(A233,'أوامر التوريد'!$G$5:$G$304,0)),""))</f>
        <v/>
      </c>
      <c r="E233" s="46">
        <f>IF(A233="","",SUMIFS('أوامر التوريد'!$J$5:$J$304,'أوامر التوريد'!$G$5:$G$304,A233))</f>
        <v/>
      </c>
      <c r="F233" s="46">
        <f>IF(A233="","",SUMIFS('استلام المواد'!$K$5:$K$304,'استلام المواد'!$F$5:$F$304,A233))</f>
        <v/>
      </c>
      <c r="G233" s="46">
        <f>IF(A233="","",SUMIFS('صرف المواد'!$G$5:$G$304,'صرف المواد'!$C$5:$C$304,A233))</f>
        <v/>
      </c>
      <c r="H233" s="46">
        <f>IF(A233="","",F233-G233)</f>
        <v/>
      </c>
      <c r="I233" s="41" t="n"/>
      <c r="J233" s="46">
        <f>IF(A233="","",IFERROR(SUMIFS('أوامر التوريد'!$L$5:$L$304,'أوامر التوريد'!$G$5:$G$304,A233)/E233,0))</f>
        <v/>
      </c>
      <c r="K233" s="46">
        <f>IF(A233="","",H233*J233)</f>
        <v/>
      </c>
      <c r="L233" s="49">
        <f>IF(A233="","",IF(H233&lt;0,"رصيد سالب!",IF(AND(I233&lt;&gt;"",H233&lt;=I233),"أعد الطلب","متاح")))</f>
        <v/>
      </c>
    </row>
    <row r="234">
      <c r="A234" s="50" t="n"/>
      <c r="B234" s="49">
        <f>IF(A234="","",IFERROR(INDEX('أوامر التوريد'!$H$5:$H$304,MATCH(A234,'أوامر التوريد'!$G$5:$G$304,0)),""))</f>
        <v/>
      </c>
      <c r="C234" s="39">
        <f>IF(A234="","",IFERROR(INDEX('أوامر التوريد'!$C$5:$C$304,MATCH(A234,'أوامر التوريد'!$G$5:$G$304,0)),""))</f>
        <v/>
      </c>
      <c r="D234" s="39">
        <f>IF(A234="","",IFERROR(INDEX('أوامر التوريد'!$I$5:$I$304,MATCH(A234,'أوامر التوريد'!$G$5:$G$304,0)),""))</f>
        <v/>
      </c>
      <c r="E234" s="46">
        <f>IF(A234="","",SUMIFS('أوامر التوريد'!$J$5:$J$304,'أوامر التوريد'!$G$5:$G$304,A234))</f>
        <v/>
      </c>
      <c r="F234" s="46">
        <f>IF(A234="","",SUMIFS('استلام المواد'!$K$5:$K$304,'استلام المواد'!$F$5:$F$304,A234))</f>
        <v/>
      </c>
      <c r="G234" s="46">
        <f>IF(A234="","",SUMIFS('صرف المواد'!$G$5:$G$304,'صرف المواد'!$C$5:$C$304,A234))</f>
        <v/>
      </c>
      <c r="H234" s="46">
        <f>IF(A234="","",F234-G234)</f>
        <v/>
      </c>
      <c r="I234" s="41" t="n"/>
      <c r="J234" s="46">
        <f>IF(A234="","",IFERROR(SUMIFS('أوامر التوريد'!$L$5:$L$304,'أوامر التوريد'!$G$5:$G$304,A234)/E234,0))</f>
        <v/>
      </c>
      <c r="K234" s="46">
        <f>IF(A234="","",H234*J234)</f>
        <v/>
      </c>
      <c r="L234" s="49">
        <f>IF(A234="","",IF(H234&lt;0,"رصيد سالب!",IF(AND(I234&lt;&gt;"",H234&lt;=I234),"أعد الطلب","متاح")))</f>
        <v/>
      </c>
    </row>
    <row r="235">
      <c r="A235" s="50" t="n"/>
      <c r="B235" s="49">
        <f>IF(A235="","",IFERROR(INDEX('أوامر التوريد'!$H$5:$H$304,MATCH(A235,'أوامر التوريد'!$G$5:$G$304,0)),""))</f>
        <v/>
      </c>
      <c r="C235" s="39">
        <f>IF(A235="","",IFERROR(INDEX('أوامر التوريد'!$C$5:$C$304,MATCH(A235,'أوامر التوريد'!$G$5:$G$304,0)),""))</f>
        <v/>
      </c>
      <c r="D235" s="39">
        <f>IF(A235="","",IFERROR(INDEX('أوامر التوريد'!$I$5:$I$304,MATCH(A235,'أوامر التوريد'!$G$5:$G$304,0)),""))</f>
        <v/>
      </c>
      <c r="E235" s="46">
        <f>IF(A235="","",SUMIFS('أوامر التوريد'!$J$5:$J$304,'أوامر التوريد'!$G$5:$G$304,A235))</f>
        <v/>
      </c>
      <c r="F235" s="46">
        <f>IF(A235="","",SUMIFS('استلام المواد'!$K$5:$K$304,'استلام المواد'!$F$5:$F$304,A235))</f>
        <v/>
      </c>
      <c r="G235" s="46">
        <f>IF(A235="","",SUMIFS('صرف المواد'!$G$5:$G$304,'صرف المواد'!$C$5:$C$304,A235))</f>
        <v/>
      </c>
      <c r="H235" s="46">
        <f>IF(A235="","",F235-G235)</f>
        <v/>
      </c>
      <c r="I235" s="41" t="n"/>
      <c r="J235" s="46">
        <f>IF(A235="","",IFERROR(SUMIFS('أوامر التوريد'!$L$5:$L$304,'أوامر التوريد'!$G$5:$G$304,A235)/E235,0))</f>
        <v/>
      </c>
      <c r="K235" s="46">
        <f>IF(A235="","",H235*J235)</f>
        <v/>
      </c>
      <c r="L235" s="49">
        <f>IF(A235="","",IF(H235&lt;0,"رصيد سالب!",IF(AND(I235&lt;&gt;"",H235&lt;=I235),"أعد الطلب","متاح")))</f>
        <v/>
      </c>
    </row>
    <row r="236">
      <c r="A236" s="50" t="n"/>
      <c r="B236" s="49">
        <f>IF(A236="","",IFERROR(INDEX('أوامر التوريد'!$H$5:$H$304,MATCH(A236,'أوامر التوريد'!$G$5:$G$304,0)),""))</f>
        <v/>
      </c>
      <c r="C236" s="39">
        <f>IF(A236="","",IFERROR(INDEX('أوامر التوريد'!$C$5:$C$304,MATCH(A236,'أوامر التوريد'!$G$5:$G$304,0)),""))</f>
        <v/>
      </c>
      <c r="D236" s="39">
        <f>IF(A236="","",IFERROR(INDEX('أوامر التوريد'!$I$5:$I$304,MATCH(A236,'أوامر التوريد'!$G$5:$G$304,0)),""))</f>
        <v/>
      </c>
      <c r="E236" s="46">
        <f>IF(A236="","",SUMIFS('أوامر التوريد'!$J$5:$J$304,'أوامر التوريد'!$G$5:$G$304,A236))</f>
        <v/>
      </c>
      <c r="F236" s="46">
        <f>IF(A236="","",SUMIFS('استلام المواد'!$K$5:$K$304,'استلام المواد'!$F$5:$F$304,A236))</f>
        <v/>
      </c>
      <c r="G236" s="46">
        <f>IF(A236="","",SUMIFS('صرف المواد'!$G$5:$G$304,'صرف المواد'!$C$5:$C$304,A236))</f>
        <v/>
      </c>
      <c r="H236" s="46">
        <f>IF(A236="","",F236-G236)</f>
        <v/>
      </c>
      <c r="I236" s="41" t="n"/>
      <c r="J236" s="46">
        <f>IF(A236="","",IFERROR(SUMIFS('أوامر التوريد'!$L$5:$L$304,'أوامر التوريد'!$G$5:$G$304,A236)/E236,0))</f>
        <v/>
      </c>
      <c r="K236" s="46">
        <f>IF(A236="","",H236*J236)</f>
        <v/>
      </c>
      <c r="L236" s="49">
        <f>IF(A236="","",IF(H236&lt;0,"رصيد سالب!",IF(AND(I236&lt;&gt;"",H236&lt;=I236),"أعد الطلب","متاح")))</f>
        <v/>
      </c>
    </row>
    <row r="237">
      <c r="A237" s="50" t="n"/>
      <c r="B237" s="49">
        <f>IF(A237="","",IFERROR(INDEX('أوامر التوريد'!$H$5:$H$304,MATCH(A237,'أوامر التوريد'!$G$5:$G$304,0)),""))</f>
        <v/>
      </c>
      <c r="C237" s="39">
        <f>IF(A237="","",IFERROR(INDEX('أوامر التوريد'!$C$5:$C$304,MATCH(A237,'أوامر التوريد'!$G$5:$G$304,0)),""))</f>
        <v/>
      </c>
      <c r="D237" s="39">
        <f>IF(A237="","",IFERROR(INDEX('أوامر التوريد'!$I$5:$I$304,MATCH(A237,'أوامر التوريد'!$G$5:$G$304,0)),""))</f>
        <v/>
      </c>
      <c r="E237" s="46">
        <f>IF(A237="","",SUMIFS('أوامر التوريد'!$J$5:$J$304,'أوامر التوريد'!$G$5:$G$304,A237))</f>
        <v/>
      </c>
      <c r="F237" s="46">
        <f>IF(A237="","",SUMIFS('استلام المواد'!$K$5:$K$304,'استلام المواد'!$F$5:$F$304,A237))</f>
        <v/>
      </c>
      <c r="G237" s="46">
        <f>IF(A237="","",SUMIFS('صرف المواد'!$G$5:$G$304,'صرف المواد'!$C$5:$C$304,A237))</f>
        <v/>
      </c>
      <c r="H237" s="46">
        <f>IF(A237="","",F237-G237)</f>
        <v/>
      </c>
      <c r="I237" s="41" t="n"/>
      <c r="J237" s="46">
        <f>IF(A237="","",IFERROR(SUMIFS('أوامر التوريد'!$L$5:$L$304,'أوامر التوريد'!$G$5:$G$304,A237)/E237,0))</f>
        <v/>
      </c>
      <c r="K237" s="46">
        <f>IF(A237="","",H237*J237)</f>
        <v/>
      </c>
      <c r="L237" s="49">
        <f>IF(A237="","",IF(H237&lt;0,"رصيد سالب!",IF(AND(I237&lt;&gt;"",H237&lt;=I237),"أعد الطلب","متاح")))</f>
        <v/>
      </c>
    </row>
    <row r="238">
      <c r="A238" s="50" t="n"/>
      <c r="B238" s="49">
        <f>IF(A238="","",IFERROR(INDEX('أوامر التوريد'!$H$5:$H$304,MATCH(A238,'أوامر التوريد'!$G$5:$G$304,0)),""))</f>
        <v/>
      </c>
      <c r="C238" s="39">
        <f>IF(A238="","",IFERROR(INDEX('أوامر التوريد'!$C$5:$C$304,MATCH(A238,'أوامر التوريد'!$G$5:$G$304,0)),""))</f>
        <v/>
      </c>
      <c r="D238" s="39">
        <f>IF(A238="","",IFERROR(INDEX('أوامر التوريد'!$I$5:$I$304,MATCH(A238,'أوامر التوريد'!$G$5:$G$304,0)),""))</f>
        <v/>
      </c>
      <c r="E238" s="46">
        <f>IF(A238="","",SUMIFS('أوامر التوريد'!$J$5:$J$304,'أوامر التوريد'!$G$5:$G$304,A238))</f>
        <v/>
      </c>
      <c r="F238" s="46">
        <f>IF(A238="","",SUMIFS('استلام المواد'!$K$5:$K$304,'استلام المواد'!$F$5:$F$304,A238))</f>
        <v/>
      </c>
      <c r="G238" s="46">
        <f>IF(A238="","",SUMIFS('صرف المواد'!$G$5:$G$304,'صرف المواد'!$C$5:$C$304,A238))</f>
        <v/>
      </c>
      <c r="H238" s="46">
        <f>IF(A238="","",F238-G238)</f>
        <v/>
      </c>
      <c r="I238" s="41" t="n"/>
      <c r="J238" s="46">
        <f>IF(A238="","",IFERROR(SUMIFS('أوامر التوريد'!$L$5:$L$304,'أوامر التوريد'!$G$5:$G$304,A238)/E238,0))</f>
        <v/>
      </c>
      <c r="K238" s="46">
        <f>IF(A238="","",H238*J238)</f>
        <v/>
      </c>
      <c r="L238" s="49">
        <f>IF(A238="","",IF(H238&lt;0,"رصيد سالب!",IF(AND(I238&lt;&gt;"",H238&lt;=I238),"أعد الطلب","متاح")))</f>
        <v/>
      </c>
    </row>
    <row r="239">
      <c r="A239" s="50" t="n"/>
      <c r="B239" s="49">
        <f>IF(A239="","",IFERROR(INDEX('أوامر التوريد'!$H$5:$H$304,MATCH(A239,'أوامر التوريد'!$G$5:$G$304,0)),""))</f>
        <v/>
      </c>
      <c r="C239" s="39">
        <f>IF(A239="","",IFERROR(INDEX('أوامر التوريد'!$C$5:$C$304,MATCH(A239,'أوامر التوريد'!$G$5:$G$304,0)),""))</f>
        <v/>
      </c>
      <c r="D239" s="39">
        <f>IF(A239="","",IFERROR(INDEX('أوامر التوريد'!$I$5:$I$304,MATCH(A239,'أوامر التوريد'!$G$5:$G$304,0)),""))</f>
        <v/>
      </c>
      <c r="E239" s="46">
        <f>IF(A239="","",SUMIFS('أوامر التوريد'!$J$5:$J$304,'أوامر التوريد'!$G$5:$G$304,A239))</f>
        <v/>
      </c>
      <c r="F239" s="46">
        <f>IF(A239="","",SUMIFS('استلام المواد'!$K$5:$K$304,'استلام المواد'!$F$5:$F$304,A239))</f>
        <v/>
      </c>
      <c r="G239" s="46">
        <f>IF(A239="","",SUMIFS('صرف المواد'!$G$5:$G$304,'صرف المواد'!$C$5:$C$304,A239))</f>
        <v/>
      </c>
      <c r="H239" s="46">
        <f>IF(A239="","",F239-G239)</f>
        <v/>
      </c>
      <c r="I239" s="41" t="n"/>
      <c r="J239" s="46">
        <f>IF(A239="","",IFERROR(SUMIFS('أوامر التوريد'!$L$5:$L$304,'أوامر التوريد'!$G$5:$G$304,A239)/E239,0))</f>
        <v/>
      </c>
      <c r="K239" s="46">
        <f>IF(A239="","",H239*J239)</f>
        <v/>
      </c>
      <c r="L239" s="49">
        <f>IF(A239="","",IF(H239&lt;0,"رصيد سالب!",IF(AND(I239&lt;&gt;"",H239&lt;=I239),"أعد الطلب","متاح")))</f>
        <v/>
      </c>
    </row>
    <row r="240">
      <c r="A240" s="50" t="n"/>
      <c r="B240" s="49">
        <f>IF(A240="","",IFERROR(INDEX('أوامر التوريد'!$H$5:$H$304,MATCH(A240,'أوامر التوريد'!$G$5:$G$304,0)),""))</f>
        <v/>
      </c>
      <c r="C240" s="39">
        <f>IF(A240="","",IFERROR(INDEX('أوامر التوريد'!$C$5:$C$304,MATCH(A240,'أوامر التوريد'!$G$5:$G$304,0)),""))</f>
        <v/>
      </c>
      <c r="D240" s="39">
        <f>IF(A240="","",IFERROR(INDEX('أوامر التوريد'!$I$5:$I$304,MATCH(A240,'أوامر التوريد'!$G$5:$G$304,0)),""))</f>
        <v/>
      </c>
      <c r="E240" s="46">
        <f>IF(A240="","",SUMIFS('أوامر التوريد'!$J$5:$J$304,'أوامر التوريد'!$G$5:$G$304,A240))</f>
        <v/>
      </c>
      <c r="F240" s="46">
        <f>IF(A240="","",SUMIFS('استلام المواد'!$K$5:$K$304,'استلام المواد'!$F$5:$F$304,A240))</f>
        <v/>
      </c>
      <c r="G240" s="46">
        <f>IF(A240="","",SUMIFS('صرف المواد'!$G$5:$G$304,'صرف المواد'!$C$5:$C$304,A240))</f>
        <v/>
      </c>
      <c r="H240" s="46">
        <f>IF(A240="","",F240-G240)</f>
        <v/>
      </c>
      <c r="I240" s="41" t="n"/>
      <c r="J240" s="46">
        <f>IF(A240="","",IFERROR(SUMIFS('أوامر التوريد'!$L$5:$L$304,'أوامر التوريد'!$G$5:$G$304,A240)/E240,0))</f>
        <v/>
      </c>
      <c r="K240" s="46">
        <f>IF(A240="","",H240*J240)</f>
        <v/>
      </c>
      <c r="L240" s="49">
        <f>IF(A240="","",IF(H240&lt;0,"رصيد سالب!",IF(AND(I240&lt;&gt;"",H240&lt;=I240),"أعد الطلب","متاح")))</f>
        <v/>
      </c>
    </row>
    <row r="241">
      <c r="A241" s="50" t="n"/>
      <c r="B241" s="49">
        <f>IF(A241="","",IFERROR(INDEX('أوامر التوريد'!$H$5:$H$304,MATCH(A241,'أوامر التوريد'!$G$5:$G$304,0)),""))</f>
        <v/>
      </c>
      <c r="C241" s="39">
        <f>IF(A241="","",IFERROR(INDEX('أوامر التوريد'!$C$5:$C$304,MATCH(A241,'أوامر التوريد'!$G$5:$G$304,0)),""))</f>
        <v/>
      </c>
      <c r="D241" s="39">
        <f>IF(A241="","",IFERROR(INDEX('أوامر التوريد'!$I$5:$I$304,MATCH(A241,'أوامر التوريد'!$G$5:$G$304,0)),""))</f>
        <v/>
      </c>
      <c r="E241" s="46">
        <f>IF(A241="","",SUMIFS('أوامر التوريد'!$J$5:$J$304,'أوامر التوريد'!$G$5:$G$304,A241))</f>
        <v/>
      </c>
      <c r="F241" s="46">
        <f>IF(A241="","",SUMIFS('استلام المواد'!$K$5:$K$304,'استلام المواد'!$F$5:$F$304,A241))</f>
        <v/>
      </c>
      <c r="G241" s="46">
        <f>IF(A241="","",SUMIFS('صرف المواد'!$G$5:$G$304,'صرف المواد'!$C$5:$C$304,A241))</f>
        <v/>
      </c>
      <c r="H241" s="46">
        <f>IF(A241="","",F241-G241)</f>
        <v/>
      </c>
      <c r="I241" s="41" t="n"/>
      <c r="J241" s="46">
        <f>IF(A241="","",IFERROR(SUMIFS('أوامر التوريد'!$L$5:$L$304,'أوامر التوريد'!$G$5:$G$304,A241)/E241,0))</f>
        <v/>
      </c>
      <c r="K241" s="46">
        <f>IF(A241="","",H241*J241)</f>
        <v/>
      </c>
      <c r="L241" s="49">
        <f>IF(A241="","",IF(H241&lt;0,"رصيد سالب!",IF(AND(I241&lt;&gt;"",H241&lt;=I241),"أعد الطلب","متاح")))</f>
        <v/>
      </c>
    </row>
    <row r="242">
      <c r="A242" s="50" t="n"/>
      <c r="B242" s="49">
        <f>IF(A242="","",IFERROR(INDEX('أوامر التوريد'!$H$5:$H$304,MATCH(A242,'أوامر التوريد'!$G$5:$G$304,0)),""))</f>
        <v/>
      </c>
      <c r="C242" s="39">
        <f>IF(A242="","",IFERROR(INDEX('أوامر التوريد'!$C$5:$C$304,MATCH(A242,'أوامر التوريد'!$G$5:$G$304,0)),""))</f>
        <v/>
      </c>
      <c r="D242" s="39">
        <f>IF(A242="","",IFERROR(INDEX('أوامر التوريد'!$I$5:$I$304,MATCH(A242,'أوامر التوريد'!$G$5:$G$304,0)),""))</f>
        <v/>
      </c>
      <c r="E242" s="46">
        <f>IF(A242="","",SUMIFS('أوامر التوريد'!$J$5:$J$304,'أوامر التوريد'!$G$5:$G$304,A242))</f>
        <v/>
      </c>
      <c r="F242" s="46">
        <f>IF(A242="","",SUMIFS('استلام المواد'!$K$5:$K$304,'استلام المواد'!$F$5:$F$304,A242))</f>
        <v/>
      </c>
      <c r="G242" s="46">
        <f>IF(A242="","",SUMIFS('صرف المواد'!$G$5:$G$304,'صرف المواد'!$C$5:$C$304,A242))</f>
        <v/>
      </c>
      <c r="H242" s="46">
        <f>IF(A242="","",F242-G242)</f>
        <v/>
      </c>
      <c r="I242" s="41" t="n"/>
      <c r="J242" s="46">
        <f>IF(A242="","",IFERROR(SUMIFS('أوامر التوريد'!$L$5:$L$304,'أوامر التوريد'!$G$5:$G$304,A242)/E242,0))</f>
        <v/>
      </c>
      <c r="K242" s="46">
        <f>IF(A242="","",H242*J242)</f>
        <v/>
      </c>
      <c r="L242" s="49">
        <f>IF(A242="","",IF(H242&lt;0,"رصيد سالب!",IF(AND(I242&lt;&gt;"",H242&lt;=I242),"أعد الطلب","متاح")))</f>
        <v/>
      </c>
    </row>
    <row r="243">
      <c r="A243" s="50" t="n"/>
      <c r="B243" s="49">
        <f>IF(A243="","",IFERROR(INDEX('أوامر التوريد'!$H$5:$H$304,MATCH(A243,'أوامر التوريد'!$G$5:$G$304,0)),""))</f>
        <v/>
      </c>
      <c r="C243" s="39">
        <f>IF(A243="","",IFERROR(INDEX('أوامر التوريد'!$C$5:$C$304,MATCH(A243,'أوامر التوريد'!$G$5:$G$304,0)),""))</f>
        <v/>
      </c>
      <c r="D243" s="39">
        <f>IF(A243="","",IFERROR(INDEX('أوامر التوريد'!$I$5:$I$304,MATCH(A243,'أوامر التوريد'!$G$5:$G$304,0)),""))</f>
        <v/>
      </c>
      <c r="E243" s="46">
        <f>IF(A243="","",SUMIFS('أوامر التوريد'!$J$5:$J$304,'أوامر التوريد'!$G$5:$G$304,A243))</f>
        <v/>
      </c>
      <c r="F243" s="46">
        <f>IF(A243="","",SUMIFS('استلام المواد'!$K$5:$K$304,'استلام المواد'!$F$5:$F$304,A243))</f>
        <v/>
      </c>
      <c r="G243" s="46">
        <f>IF(A243="","",SUMIFS('صرف المواد'!$G$5:$G$304,'صرف المواد'!$C$5:$C$304,A243))</f>
        <v/>
      </c>
      <c r="H243" s="46">
        <f>IF(A243="","",F243-G243)</f>
        <v/>
      </c>
      <c r="I243" s="41" t="n"/>
      <c r="J243" s="46">
        <f>IF(A243="","",IFERROR(SUMIFS('أوامر التوريد'!$L$5:$L$304,'أوامر التوريد'!$G$5:$G$304,A243)/E243,0))</f>
        <v/>
      </c>
      <c r="K243" s="46">
        <f>IF(A243="","",H243*J243)</f>
        <v/>
      </c>
      <c r="L243" s="49">
        <f>IF(A243="","",IF(H243&lt;0,"رصيد سالب!",IF(AND(I243&lt;&gt;"",H243&lt;=I243),"أعد الطلب","متاح")))</f>
        <v/>
      </c>
    </row>
    <row r="244">
      <c r="A244" s="50" t="n"/>
      <c r="B244" s="49">
        <f>IF(A244="","",IFERROR(INDEX('أوامر التوريد'!$H$5:$H$304,MATCH(A244,'أوامر التوريد'!$G$5:$G$304,0)),""))</f>
        <v/>
      </c>
      <c r="C244" s="39">
        <f>IF(A244="","",IFERROR(INDEX('أوامر التوريد'!$C$5:$C$304,MATCH(A244,'أوامر التوريد'!$G$5:$G$304,0)),""))</f>
        <v/>
      </c>
      <c r="D244" s="39">
        <f>IF(A244="","",IFERROR(INDEX('أوامر التوريد'!$I$5:$I$304,MATCH(A244,'أوامر التوريد'!$G$5:$G$304,0)),""))</f>
        <v/>
      </c>
      <c r="E244" s="46">
        <f>IF(A244="","",SUMIFS('أوامر التوريد'!$J$5:$J$304,'أوامر التوريد'!$G$5:$G$304,A244))</f>
        <v/>
      </c>
      <c r="F244" s="46">
        <f>IF(A244="","",SUMIFS('استلام المواد'!$K$5:$K$304,'استلام المواد'!$F$5:$F$304,A244))</f>
        <v/>
      </c>
      <c r="G244" s="46">
        <f>IF(A244="","",SUMIFS('صرف المواد'!$G$5:$G$304,'صرف المواد'!$C$5:$C$304,A244))</f>
        <v/>
      </c>
      <c r="H244" s="46">
        <f>IF(A244="","",F244-G244)</f>
        <v/>
      </c>
      <c r="I244" s="41" t="n"/>
      <c r="J244" s="46">
        <f>IF(A244="","",IFERROR(SUMIFS('أوامر التوريد'!$L$5:$L$304,'أوامر التوريد'!$G$5:$G$304,A244)/E244,0))</f>
        <v/>
      </c>
      <c r="K244" s="46">
        <f>IF(A244="","",H244*J244)</f>
        <v/>
      </c>
      <c r="L244" s="49">
        <f>IF(A244="","",IF(H244&lt;0,"رصيد سالب!",IF(AND(I244&lt;&gt;"",H244&lt;=I244),"أعد الطلب","متاح")))</f>
        <v/>
      </c>
    </row>
    <row r="245">
      <c r="A245" s="50" t="n"/>
      <c r="B245" s="49">
        <f>IF(A245="","",IFERROR(INDEX('أوامر التوريد'!$H$5:$H$304,MATCH(A245,'أوامر التوريد'!$G$5:$G$304,0)),""))</f>
        <v/>
      </c>
      <c r="C245" s="39">
        <f>IF(A245="","",IFERROR(INDEX('أوامر التوريد'!$C$5:$C$304,MATCH(A245,'أوامر التوريد'!$G$5:$G$304,0)),""))</f>
        <v/>
      </c>
      <c r="D245" s="39">
        <f>IF(A245="","",IFERROR(INDEX('أوامر التوريد'!$I$5:$I$304,MATCH(A245,'أوامر التوريد'!$G$5:$G$304,0)),""))</f>
        <v/>
      </c>
      <c r="E245" s="46">
        <f>IF(A245="","",SUMIFS('أوامر التوريد'!$J$5:$J$304,'أوامر التوريد'!$G$5:$G$304,A245))</f>
        <v/>
      </c>
      <c r="F245" s="46">
        <f>IF(A245="","",SUMIFS('استلام المواد'!$K$5:$K$304,'استلام المواد'!$F$5:$F$304,A245))</f>
        <v/>
      </c>
      <c r="G245" s="46">
        <f>IF(A245="","",SUMIFS('صرف المواد'!$G$5:$G$304,'صرف المواد'!$C$5:$C$304,A245))</f>
        <v/>
      </c>
      <c r="H245" s="46">
        <f>IF(A245="","",F245-G245)</f>
        <v/>
      </c>
      <c r="I245" s="41" t="n"/>
      <c r="J245" s="46">
        <f>IF(A245="","",IFERROR(SUMIFS('أوامر التوريد'!$L$5:$L$304,'أوامر التوريد'!$G$5:$G$304,A245)/E245,0))</f>
        <v/>
      </c>
      <c r="K245" s="46">
        <f>IF(A245="","",H245*J245)</f>
        <v/>
      </c>
      <c r="L245" s="49">
        <f>IF(A245="","",IF(H245&lt;0,"رصيد سالب!",IF(AND(I245&lt;&gt;"",H245&lt;=I245),"أعد الطلب","متاح")))</f>
        <v/>
      </c>
    </row>
    <row r="246">
      <c r="A246" s="50" t="n"/>
      <c r="B246" s="49">
        <f>IF(A246="","",IFERROR(INDEX('أوامر التوريد'!$H$5:$H$304,MATCH(A246,'أوامر التوريد'!$G$5:$G$304,0)),""))</f>
        <v/>
      </c>
      <c r="C246" s="39">
        <f>IF(A246="","",IFERROR(INDEX('أوامر التوريد'!$C$5:$C$304,MATCH(A246,'أوامر التوريد'!$G$5:$G$304,0)),""))</f>
        <v/>
      </c>
      <c r="D246" s="39">
        <f>IF(A246="","",IFERROR(INDEX('أوامر التوريد'!$I$5:$I$304,MATCH(A246,'أوامر التوريد'!$G$5:$G$304,0)),""))</f>
        <v/>
      </c>
      <c r="E246" s="46">
        <f>IF(A246="","",SUMIFS('أوامر التوريد'!$J$5:$J$304,'أوامر التوريد'!$G$5:$G$304,A246))</f>
        <v/>
      </c>
      <c r="F246" s="46">
        <f>IF(A246="","",SUMIFS('استلام المواد'!$K$5:$K$304,'استلام المواد'!$F$5:$F$304,A246))</f>
        <v/>
      </c>
      <c r="G246" s="46">
        <f>IF(A246="","",SUMIFS('صرف المواد'!$G$5:$G$304,'صرف المواد'!$C$5:$C$304,A246))</f>
        <v/>
      </c>
      <c r="H246" s="46">
        <f>IF(A246="","",F246-G246)</f>
        <v/>
      </c>
      <c r="I246" s="41" t="n"/>
      <c r="J246" s="46">
        <f>IF(A246="","",IFERROR(SUMIFS('أوامر التوريد'!$L$5:$L$304,'أوامر التوريد'!$G$5:$G$304,A246)/E246,0))</f>
        <v/>
      </c>
      <c r="K246" s="46">
        <f>IF(A246="","",H246*J246)</f>
        <v/>
      </c>
      <c r="L246" s="49">
        <f>IF(A246="","",IF(H246&lt;0,"رصيد سالب!",IF(AND(I246&lt;&gt;"",H246&lt;=I246),"أعد الطلب","متاح")))</f>
        <v/>
      </c>
    </row>
    <row r="247">
      <c r="A247" s="50" t="n"/>
      <c r="B247" s="49">
        <f>IF(A247="","",IFERROR(INDEX('أوامر التوريد'!$H$5:$H$304,MATCH(A247,'أوامر التوريد'!$G$5:$G$304,0)),""))</f>
        <v/>
      </c>
      <c r="C247" s="39">
        <f>IF(A247="","",IFERROR(INDEX('أوامر التوريد'!$C$5:$C$304,MATCH(A247,'أوامر التوريد'!$G$5:$G$304,0)),""))</f>
        <v/>
      </c>
      <c r="D247" s="39">
        <f>IF(A247="","",IFERROR(INDEX('أوامر التوريد'!$I$5:$I$304,MATCH(A247,'أوامر التوريد'!$G$5:$G$304,0)),""))</f>
        <v/>
      </c>
      <c r="E247" s="46">
        <f>IF(A247="","",SUMIFS('أوامر التوريد'!$J$5:$J$304,'أوامر التوريد'!$G$5:$G$304,A247))</f>
        <v/>
      </c>
      <c r="F247" s="46">
        <f>IF(A247="","",SUMIFS('استلام المواد'!$K$5:$K$304,'استلام المواد'!$F$5:$F$304,A247))</f>
        <v/>
      </c>
      <c r="G247" s="46">
        <f>IF(A247="","",SUMIFS('صرف المواد'!$G$5:$G$304,'صرف المواد'!$C$5:$C$304,A247))</f>
        <v/>
      </c>
      <c r="H247" s="46">
        <f>IF(A247="","",F247-G247)</f>
        <v/>
      </c>
      <c r="I247" s="41" t="n"/>
      <c r="J247" s="46">
        <f>IF(A247="","",IFERROR(SUMIFS('أوامر التوريد'!$L$5:$L$304,'أوامر التوريد'!$G$5:$G$304,A247)/E247,0))</f>
        <v/>
      </c>
      <c r="K247" s="46">
        <f>IF(A247="","",H247*J247)</f>
        <v/>
      </c>
      <c r="L247" s="49">
        <f>IF(A247="","",IF(H247&lt;0,"رصيد سالب!",IF(AND(I247&lt;&gt;"",H247&lt;=I247),"أعد الطلب","متاح")))</f>
        <v/>
      </c>
    </row>
    <row r="248">
      <c r="A248" s="50" t="n"/>
      <c r="B248" s="49">
        <f>IF(A248="","",IFERROR(INDEX('أوامر التوريد'!$H$5:$H$304,MATCH(A248,'أوامر التوريد'!$G$5:$G$304,0)),""))</f>
        <v/>
      </c>
      <c r="C248" s="39">
        <f>IF(A248="","",IFERROR(INDEX('أوامر التوريد'!$C$5:$C$304,MATCH(A248,'أوامر التوريد'!$G$5:$G$304,0)),""))</f>
        <v/>
      </c>
      <c r="D248" s="39">
        <f>IF(A248="","",IFERROR(INDEX('أوامر التوريد'!$I$5:$I$304,MATCH(A248,'أوامر التوريد'!$G$5:$G$304,0)),""))</f>
        <v/>
      </c>
      <c r="E248" s="46">
        <f>IF(A248="","",SUMIFS('أوامر التوريد'!$J$5:$J$304,'أوامر التوريد'!$G$5:$G$304,A248))</f>
        <v/>
      </c>
      <c r="F248" s="46">
        <f>IF(A248="","",SUMIFS('استلام المواد'!$K$5:$K$304,'استلام المواد'!$F$5:$F$304,A248))</f>
        <v/>
      </c>
      <c r="G248" s="46">
        <f>IF(A248="","",SUMIFS('صرف المواد'!$G$5:$G$304,'صرف المواد'!$C$5:$C$304,A248))</f>
        <v/>
      </c>
      <c r="H248" s="46">
        <f>IF(A248="","",F248-G248)</f>
        <v/>
      </c>
      <c r="I248" s="41" t="n"/>
      <c r="J248" s="46">
        <f>IF(A248="","",IFERROR(SUMIFS('أوامر التوريد'!$L$5:$L$304,'أوامر التوريد'!$G$5:$G$304,A248)/E248,0))</f>
        <v/>
      </c>
      <c r="K248" s="46">
        <f>IF(A248="","",H248*J248)</f>
        <v/>
      </c>
      <c r="L248" s="49">
        <f>IF(A248="","",IF(H248&lt;0,"رصيد سالب!",IF(AND(I248&lt;&gt;"",H248&lt;=I248),"أعد الطلب","متاح")))</f>
        <v/>
      </c>
    </row>
    <row r="249">
      <c r="A249" s="50" t="n"/>
      <c r="B249" s="49">
        <f>IF(A249="","",IFERROR(INDEX('أوامر التوريد'!$H$5:$H$304,MATCH(A249,'أوامر التوريد'!$G$5:$G$304,0)),""))</f>
        <v/>
      </c>
      <c r="C249" s="39">
        <f>IF(A249="","",IFERROR(INDEX('أوامر التوريد'!$C$5:$C$304,MATCH(A249,'أوامر التوريد'!$G$5:$G$304,0)),""))</f>
        <v/>
      </c>
      <c r="D249" s="39">
        <f>IF(A249="","",IFERROR(INDEX('أوامر التوريد'!$I$5:$I$304,MATCH(A249,'أوامر التوريد'!$G$5:$G$304,0)),""))</f>
        <v/>
      </c>
      <c r="E249" s="46">
        <f>IF(A249="","",SUMIFS('أوامر التوريد'!$J$5:$J$304,'أوامر التوريد'!$G$5:$G$304,A249))</f>
        <v/>
      </c>
      <c r="F249" s="46">
        <f>IF(A249="","",SUMIFS('استلام المواد'!$K$5:$K$304,'استلام المواد'!$F$5:$F$304,A249))</f>
        <v/>
      </c>
      <c r="G249" s="46">
        <f>IF(A249="","",SUMIFS('صرف المواد'!$G$5:$G$304,'صرف المواد'!$C$5:$C$304,A249))</f>
        <v/>
      </c>
      <c r="H249" s="46">
        <f>IF(A249="","",F249-G249)</f>
        <v/>
      </c>
      <c r="I249" s="41" t="n"/>
      <c r="J249" s="46">
        <f>IF(A249="","",IFERROR(SUMIFS('أوامر التوريد'!$L$5:$L$304,'أوامر التوريد'!$G$5:$G$304,A249)/E249,0))</f>
        <v/>
      </c>
      <c r="K249" s="46">
        <f>IF(A249="","",H249*J249)</f>
        <v/>
      </c>
      <c r="L249" s="49">
        <f>IF(A249="","",IF(H249&lt;0,"رصيد سالب!",IF(AND(I249&lt;&gt;"",H249&lt;=I249),"أعد الطلب","متاح")))</f>
        <v/>
      </c>
    </row>
    <row r="250">
      <c r="A250" s="50" t="n"/>
      <c r="B250" s="49">
        <f>IF(A250="","",IFERROR(INDEX('أوامر التوريد'!$H$5:$H$304,MATCH(A250,'أوامر التوريد'!$G$5:$G$304,0)),""))</f>
        <v/>
      </c>
      <c r="C250" s="39">
        <f>IF(A250="","",IFERROR(INDEX('أوامر التوريد'!$C$5:$C$304,MATCH(A250,'أوامر التوريد'!$G$5:$G$304,0)),""))</f>
        <v/>
      </c>
      <c r="D250" s="39">
        <f>IF(A250="","",IFERROR(INDEX('أوامر التوريد'!$I$5:$I$304,MATCH(A250,'أوامر التوريد'!$G$5:$G$304,0)),""))</f>
        <v/>
      </c>
      <c r="E250" s="46">
        <f>IF(A250="","",SUMIFS('أوامر التوريد'!$J$5:$J$304,'أوامر التوريد'!$G$5:$G$304,A250))</f>
        <v/>
      </c>
      <c r="F250" s="46">
        <f>IF(A250="","",SUMIFS('استلام المواد'!$K$5:$K$304,'استلام المواد'!$F$5:$F$304,A250))</f>
        <v/>
      </c>
      <c r="G250" s="46">
        <f>IF(A250="","",SUMIFS('صرف المواد'!$G$5:$G$304,'صرف المواد'!$C$5:$C$304,A250))</f>
        <v/>
      </c>
      <c r="H250" s="46">
        <f>IF(A250="","",F250-G250)</f>
        <v/>
      </c>
      <c r="I250" s="41" t="n"/>
      <c r="J250" s="46">
        <f>IF(A250="","",IFERROR(SUMIFS('أوامر التوريد'!$L$5:$L$304,'أوامر التوريد'!$G$5:$G$304,A250)/E250,0))</f>
        <v/>
      </c>
      <c r="K250" s="46">
        <f>IF(A250="","",H250*J250)</f>
        <v/>
      </c>
      <c r="L250" s="49">
        <f>IF(A250="","",IF(H250&lt;0,"رصيد سالب!",IF(AND(I250&lt;&gt;"",H250&lt;=I250),"أعد الطلب","متاح")))</f>
        <v/>
      </c>
    </row>
    <row r="251">
      <c r="A251" s="50" t="n"/>
      <c r="B251" s="49">
        <f>IF(A251="","",IFERROR(INDEX('أوامر التوريد'!$H$5:$H$304,MATCH(A251,'أوامر التوريد'!$G$5:$G$304,0)),""))</f>
        <v/>
      </c>
      <c r="C251" s="39">
        <f>IF(A251="","",IFERROR(INDEX('أوامر التوريد'!$C$5:$C$304,MATCH(A251,'أوامر التوريد'!$G$5:$G$304,0)),""))</f>
        <v/>
      </c>
      <c r="D251" s="39">
        <f>IF(A251="","",IFERROR(INDEX('أوامر التوريد'!$I$5:$I$304,MATCH(A251,'أوامر التوريد'!$G$5:$G$304,0)),""))</f>
        <v/>
      </c>
      <c r="E251" s="46">
        <f>IF(A251="","",SUMIFS('أوامر التوريد'!$J$5:$J$304,'أوامر التوريد'!$G$5:$G$304,A251))</f>
        <v/>
      </c>
      <c r="F251" s="46">
        <f>IF(A251="","",SUMIFS('استلام المواد'!$K$5:$K$304,'استلام المواد'!$F$5:$F$304,A251))</f>
        <v/>
      </c>
      <c r="G251" s="46">
        <f>IF(A251="","",SUMIFS('صرف المواد'!$G$5:$G$304,'صرف المواد'!$C$5:$C$304,A251))</f>
        <v/>
      </c>
      <c r="H251" s="46">
        <f>IF(A251="","",F251-G251)</f>
        <v/>
      </c>
      <c r="I251" s="41" t="n"/>
      <c r="J251" s="46">
        <f>IF(A251="","",IFERROR(SUMIFS('أوامر التوريد'!$L$5:$L$304,'أوامر التوريد'!$G$5:$G$304,A251)/E251,0))</f>
        <v/>
      </c>
      <c r="K251" s="46">
        <f>IF(A251="","",H251*J251)</f>
        <v/>
      </c>
      <c r="L251" s="49">
        <f>IF(A251="","",IF(H251&lt;0,"رصيد سالب!",IF(AND(I251&lt;&gt;"",H251&lt;=I251),"أعد الطلب","متاح")))</f>
        <v/>
      </c>
    </row>
    <row r="252">
      <c r="A252" s="50" t="n"/>
      <c r="B252" s="49">
        <f>IF(A252="","",IFERROR(INDEX('أوامر التوريد'!$H$5:$H$304,MATCH(A252,'أوامر التوريد'!$G$5:$G$304,0)),""))</f>
        <v/>
      </c>
      <c r="C252" s="39">
        <f>IF(A252="","",IFERROR(INDEX('أوامر التوريد'!$C$5:$C$304,MATCH(A252,'أوامر التوريد'!$G$5:$G$304,0)),""))</f>
        <v/>
      </c>
      <c r="D252" s="39">
        <f>IF(A252="","",IFERROR(INDEX('أوامر التوريد'!$I$5:$I$304,MATCH(A252,'أوامر التوريد'!$G$5:$G$304,0)),""))</f>
        <v/>
      </c>
      <c r="E252" s="46">
        <f>IF(A252="","",SUMIFS('أوامر التوريد'!$J$5:$J$304,'أوامر التوريد'!$G$5:$G$304,A252))</f>
        <v/>
      </c>
      <c r="F252" s="46">
        <f>IF(A252="","",SUMIFS('استلام المواد'!$K$5:$K$304,'استلام المواد'!$F$5:$F$304,A252))</f>
        <v/>
      </c>
      <c r="G252" s="46">
        <f>IF(A252="","",SUMIFS('صرف المواد'!$G$5:$G$304,'صرف المواد'!$C$5:$C$304,A252))</f>
        <v/>
      </c>
      <c r="H252" s="46">
        <f>IF(A252="","",F252-G252)</f>
        <v/>
      </c>
      <c r="I252" s="41" t="n"/>
      <c r="J252" s="46">
        <f>IF(A252="","",IFERROR(SUMIFS('أوامر التوريد'!$L$5:$L$304,'أوامر التوريد'!$G$5:$G$304,A252)/E252,0))</f>
        <v/>
      </c>
      <c r="K252" s="46">
        <f>IF(A252="","",H252*J252)</f>
        <v/>
      </c>
      <c r="L252" s="49">
        <f>IF(A252="","",IF(H252&lt;0,"رصيد سالب!",IF(AND(I252&lt;&gt;"",H252&lt;=I252),"أعد الطلب","متاح")))</f>
        <v/>
      </c>
    </row>
    <row r="253">
      <c r="A253" s="50" t="n"/>
      <c r="B253" s="49">
        <f>IF(A253="","",IFERROR(INDEX('أوامر التوريد'!$H$5:$H$304,MATCH(A253,'أوامر التوريد'!$G$5:$G$304,0)),""))</f>
        <v/>
      </c>
      <c r="C253" s="39">
        <f>IF(A253="","",IFERROR(INDEX('أوامر التوريد'!$C$5:$C$304,MATCH(A253,'أوامر التوريد'!$G$5:$G$304,0)),""))</f>
        <v/>
      </c>
      <c r="D253" s="39">
        <f>IF(A253="","",IFERROR(INDEX('أوامر التوريد'!$I$5:$I$304,MATCH(A253,'أوامر التوريد'!$G$5:$G$304,0)),""))</f>
        <v/>
      </c>
      <c r="E253" s="46">
        <f>IF(A253="","",SUMIFS('أوامر التوريد'!$J$5:$J$304,'أوامر التوريد'!$G$5:$G$304,A253))</f>
        <v/>
      </c>
      <c r="F253" s="46">
        <f>IF(A253="","",SUMIFS('استلام المواد'!$K$5:$K$304,'استلام المواد'!$F$5:$F$304,A253))</f>
        <v/>
      </c>
      <c r="G253" s="46">
        <f>IF(A253="","",SUMIFS('صرف المواد'!$G$5:$G$304,'صرف المواد'!$C$5:$C$304,A253))</f>
        <v/>
      </c>
      <c r="H253" s="46">
        <f>IF(A253="","",F253-G253)</f>
        <v/>
      </c>
      <c r="I253" s="41" t="n"/>
      <c r="J253" s="46">
        <f>IF(A253="","",IFERROR(SUMIFS('أوامر التوريد'!$L$5:$L$304,'أوامر التوريد'!$G$5:$G$304,A253)/E253,0))</f>
        <v/>
      </c>
      <c r="K253" s="46">
        <f>IF(A253="","",H253*J253)</f>
        <v/>
      </c>
      <c r="L253" s="49">
        <f>IF(A253="","",IF(H253&lt;0,"رصيد سالب!",IF(AND(I253&lt;&gt;"",H253&lt;=I253),"أعد الطلب","متاح")))</f>
        <v/>
      </c>
    </row>
    <row r="254">
      <c r="A254" s="50" t="n"/>
      <c r="B254" s="49">
        <f>IF(A254="","",IFERROR(INDEX('أوامر التوريد'!$H$5:$H$304,MATCH(A254,'أوامر التوريد'!$G$5:$G$304,0)),""))</f>
        <v/>
      </c>
      <c r="C254" s="39">
        <f>IF(A254="","",IFERROR(INDEX('أوامر التوريد'!$C$5:$C$304,MATCH(A254,'أوامر التوريد'!$G$5:$G$304,0)),""))</f>
        <v/>
      </c>
      <c r="D254" s="39">
        <f>IF(A254="","",IFERROR(INDEX('أوامر التوريد'!$I$5:$I$304,MATCH(A254,'أوامر التوريد'!$G$5:$G$304,0)),""))</f>
        <v/>
      </c>
      <c r="E254" s="46">
        <f>IF(A254="","",SUMIFS('أوامر التوريد'!$J$5:$J$304,'أوامر التوريد'!$G$5:$G$304,A254))</f>
        <v/>
      </c>
      <c r="F254" s="46">
        <f>IF(A254="","",SUMIFS('استلام المواد'!$K$5:$K$304,'استلام المواد'!$F$5:$F$304,A254))</f>
        <v/>
      </c>
      <c r="G254" s="46">
        <f>IF(A254="","",SUMIFS('صرف المواد'!$G$5:$G$304,'صرف المواد'!$C$5:$C$304,A254))</f>
        <v/>
      </c>
      <c r="H254" s="46">
        <f>IF(A254="","",F254-G254)</f>
        <v/>
      </c>
      <c r="I254" s="41" t="n"/>
      <c r="J254" s="46">
        <f>IF(A254="","",IFERROR(SUMIFS('أوامر التوريد'!$L$5:$L$304,'أوامر التوريد'!$G$5:$G$304,A254)/E254,0))</f>
        <v/>
      </c>
      <c r="K254" s="46">
        <f>IF(A254="","",H254*J254)</f>
        <v/>
      </c>
      <c r="L254" s="49">
        <f>IF(A254="","",IF(H254&lt;0,"رصيد سالب!",IF(AND(I254&lt;&gt;"",H254&lt;=I254),"أعد الطلب","متاح")))</f>
        <v/>
      </c>
    </row>
    <row r="255">
      <c r="A255" s="50" t="n"/>
      <c r="B255" s="49">
        <f>IF(A255="","",IFERROR(INDEX('أوامر التوريد'!$H$5:$H$304,MATCH(A255,'أوامر التوريد'!$G$5:$G$304,0)),""))</f>
        <v/>
      </c>
      <c r="C255" s="39">
        <f>IF(A255="","",IFERROR(INDEX('أوامر التوريد'!$C$5:$C$304,MATCH(A255,'أوامر التوريد'!$G$5:$G$304,0)),""))</f>
        <v/>
      </c>
      <c r="D255" s="39">
        <f>IF(A255="","",IFERROR(INDEX('أوامر التوريد'!$I$5:$I$304,MATCH(A255,'أوامر التوريد'!$G$5:$G$304,0)),""))</f>
        <v/>
      </c>
      <c r="E255" s="46">
        <f>IF(A255="","",SUMIFS('أوامر التوريد'!$J$5:$J$304,'أوامر التوريد'!$G$5:$G$304,A255))</f>
        <v/>
      </c>
      <c r="F255" s="46">
        <f>IF(A255="","",SUMIFS('استلام المواد'!$K$5:$K$304,'استلام المواد'!$F$5:$F$304,A255))</f>
        <v/>
      </c>
      <c r="G255" s="46">
        <f>IF(A255="","",SUMIFS('صرف المواد'!$G$5:$G$304,'صرف المواد'!$C$5:$C$304,A255))</f>
        <v/>
      </c>
      <c r="H255" s="46">
        <f>IF(A255="","",F255-G255)</f>
        <v/>
      </c>
      <c r="I255" s="41" t="n"/>
      <c r="J255" s="46">
        <f>IF(A255="","",IFERROR(SUMIFS('أوامر التوريد'!$L$5:$L$304,'أوامر التوريد'!$G$5:$G$304,A255)/E255,0))</f>
        <v/>
      </c>
      <c r="K255" s="46">
        <f>IF(A255="","",H255*J255)</f>
        <v/>
      </c>
      <c r="L255" s="49">
        <f>IF(A255="","",IF(H255&lt;0,"رصيد سالب!",IF(AND(I255&lt;&gt;"",H255&lt;=I255),"أعد الطلب","متاح")))</f>
        <v/>
      </c>
    </row>
    <row r="256">
      <c r="A256" s="50" t="n"/>
      <c r="B256" s="49">
        <f>IF(A256="","",IFERROR(INDEX('أوامر التوريد'!$H$5:$H$304,MATCH(A256,'أوامر التوريد'!$G$5:$G$304,0)),""))</f>
        <v/>
      </c>
      <c r="C256" s="39">
        <f>IF(A256="","",IFERROR(INDEX('أوامر التوريد'!$C$5:$C$304,MATCH(A256,'أوامر التوريد'!$G$5:$G$304,0)),""))</f>
        <v/>
      </c>
      <c r="D256" s="39">
        <f>IF(A256="","",IFERROR(INDEX('أوامر التوريد'!$I$5:$I$304,MATCH(A256,'أوامر التوريد'!$G$5:$G$304,0)),""))</f>
        <v/>
      </c>
      <c r="E256" s="46">
        <f>IF(A256="","",SUMIFS('أوامر التوريد'!$J$5:$J$304,'أوامر التوريد'!$G$5:$G$304,A256))</f>
        <v/>
      </c>
      <c r="F256" s="46">
        <f>IF(A256="","",SUMIFS('استلام المواد'!$K$5:$K$304,'استلام المواد'!$F$5:$F$304,A256))</f>
        <v/>
      </c>
      <c r="G256" s="46">
        <f>IF(A256="","",SUMIFS('صرف المواد'!$G$5:$G$304,'صرف المواد'!$C$5:$C$304,A256))</f>
        <v/>
      </c>
      <c r="H256" s="46">
        <f>IF(A256="","",F256-G256)</f>
        <v/>
      </c>
      <c r="I256" s="41" t="n"/>
      <c r="J256" s="46">
        <f>IF(A256="","",IFERROR(SUMIFS('أوامر التوريد'!$L$5:$L$304,'أوامر التوريد'!$G$5:$G$304,A256)/E256,0))</f>
        <v/>
      </c>
      <c r="K256" s="46">
        <f>IF(A256="","",H256*J256)</f>
        <v/>
      </c>
      <c r="L256" s="49">
        <f>IF(A256="","",IF(H256&lt;0,"رصيد سالب!",IF(AND(I256&lt;&gt;"",H256&lt;=I256),"أعد الطلب","متاح")))</f>
        <v/>
      </c>
    </row>
    <row r="257">
      <c r="A257" s="50" t="n"/>
      <c r="B257" s="49">
        <f>IF(A257="","",IFERROR(INDEX('أوامر التوريد'!$H$5:$H$304,MATCH(A257,'أوامر التوريد'!$G$5:$G$304,0)),""))</f>
        <v/>
      </c>
      <c r="C257" s="39">
        <f>IF(A257="","",IFERROR(INDEX('أوامر التوريد'!$C$5:$C$304,MATCH(A257,'أوامر التوريد'!$G$5:$G$304,0)),""))</f>
        <v/>
      </c>
      <c r="D257" s="39">
        <f>IF(A257="","",IFERROR(INDEX('أوامر التوريد'!$I$5:$I$304,MATCH(A257,'أوامر التوريد'!$G$5:$G$304,0)),""))</f>
        <v/>
      </c>
      <c r="E257" s="46">
        <f>IF(A257="","",SUMIFS('أوامر التوريد'!$J$5:$J$304,'أوامر التوريد'!$G$5:$G$304,A257))</f>
        <v/>
      </c>
      <c r="F257" s="46">
        <f>IF(A257="","",SUMIFS('استلام المواد'!$K$5:$K$304,'استلام المواد'!$F$5:$F$304,A257))</f>
        <v/>
      </c>
      <c r="G257" s="46">
        <f>IF(A257="","",SUMIFS('صرف المواد'!$G$5:$G$304,'صرف المواد'!$C$5:$C$304,A257))</f>
        <v/>
      </c>
      <c r="H257" s="46">
        <f>IF(A257="","",F257-G257)</f>
        <v/>
      </c>
      <c r="I257" s="41" t="n"/>
      <c r="J257" s="46">
        <f>IF(A257="","",IFERROR(SUMIFS('أوامر التوريد'!$L$5:$L$304,'أوامر التوريد'!$G$5:$G$304,A257)/E257,0))</f>
        <v/>
      </c>
      <c r="K257" s="46">
        <f>IF(A257="","",H257*J257)</f>
        <v/>
      </c>
      <c r="L257" s="49">
        <f>IF(A257="","",IF(H257&lt;0,"رصيد سالب!",IF(AND(I257&lt;&gt;"",H257&lt;=I257),"أعد الطلب","متاح")))</f>
        <v/>
      </c>
    </row>
    <row r="258">
      <c r="A258" s="50" t="n"/>
      <c r="B258" s="49">
        <f>IF(A258="","",IFERROR(INDEX('أوامر التوريد'!$H$5:$H$304,MATCH(A258,'أوامر التوريد'!$G$5:$G$304,0)),""))</f>
        <v/>
      </c>
      <c r="C258" s="39">
        <f>IF(A258="","",IFERROR(INDEX('أوامر التوريد'!$C$5:$C$304,MATCH(A258,'أوامر التوريد'!$G$5:$G$304,0)),""))</f>
        <v/>
      </c>
      <c r="D258" s="39">
        <f>IF(A258="","",IFERROR(INDEX('أوامر التوريد'!$I$5:$I$304,MATCH(A258,'أوامر التوريد'!$G$5:$G$304,0)),""))</f>
        <v/>
      </c>
      <c r="E258" s="46">
        <f>IF(A258="","",SUMIFS('أوامر التوريد'!$J$5:$J$304,'أوامر التوريد'!$G$5:$G$304,A258))</f>
        <v/>
      </c>
      <c r="F258" s="46">
        <f>IF(A258="","",SUMIFS('استلام المواد'!$K$5:$K$304,'استلام المواد'!$F$5:$F$304,A258))</f>
        <v/>
      </c>
      <c r="G258" s="46">
        <f>IF(A258="","",SUMIFS('صرف المواد'!$G$5:$G$304,'صرف المواد'!$C$5:$C$304,A258))</f>
        <v/>
      </c>
      <c r="H258" s="46">
        <f>IF(A258="","",F258-G258)</f>
        <v/>
      </c>
      <c r="I258" s="41" t="n"/>
      <c r="J258" s="46">
        <f>IF(A258="","",IFERROR(SUMIFS('أوامر التوريد'!$L$5:$L$304,'أوامر التوريد'!$G$5:$G$304,A258)/E258,0))</f>
        <v/>
      </c>
      <c r="K258" s="46">
        <f>IF(A258="","",H258*J258)</f>
        <v/>
      </c>
      <c r="L258" s="49">
        <f>IF(A258="","",IF(H258&lt;0,"رصيد سالب!",IF(AND(I258&lt;&gt;"",H258&lt;=I258),"أعد الطلب","متاح")))</f>
        <v/>
      </c>
    </row>
    <row r="259">
      <c r="A259" s="50" t="n"/>
      <c r="B259" s="49">
        <f>IF(A259="","",IFERROR(INDEX('أوامر التوريد'!$H$5:$H$304,MATCH(A259,'أوامر التوريد'!$G$5:$G$304,0)),""))</f>
        <v/>
      </c>
      <c r="C259" s="39">
        <f>IF(A259="","",IFERROR(INDEX('أوامر التوريد'!$C$5:$C$304,MATCH(A259,'أوامر التوريد'!$G$5:$G$304,0)),""))</f>
        <v/>
      </c>
      <c r="D259" s="39">
        <f>IF(A259="","",IFERROR(INDEX('أوامر التوريد'!$I$5:$I$304,MATCH(A259,'أوامر التوريد'!$G$5:$G$304,0)),""))</f>
        <v/>
      </c>
      <c r="E259" s="46">
        <f>IF(A259="","",SUMIFS('أوامر التوريد'!$J$5:$J$304,'أوامر التوريد'!$G$5:$G$304,A259))</f>
        <v/>
      </c>
      <c r="F259" s="46">
        <f>IF(A259="","",SUMIFS('استلام المواد'!$K$5:$K$304,'استلام المواد'!$F$5:$F$304,A259))</f>
        <v/>
      </c>
      <c r="G259" s="46">
        <f>IF(A259="","",SUMIFS('صرف المواد'!$G$5:$G$304,'صرف المواد'!$C$5:$C$304,A259))</f>
        <v/>
      </c>
      <c r="H259" s="46">
        <f>IF(A259="","",F259-G259)</f>
        <v/>
      </c>
      <c r="I259" s="41" t="n"/>
      <c r="J259" s="46">
        <f>IF(A259="","",IFERROR(SUMIFS('أوامر التوريد'!$L$5:$L$304,'أوامر التوريد'!$G$5:$G$304,A259)/E259,0))</f>
        <v/>
      </c>
      <c r="K259" s="46">
        <f>IF(A259="","",H259*J259)</f>
        <v/>
      </c>
      <c r="L259" s="49">
        <f>IF(A259="","",IF(H259&lt;0,"رصيد سالب!",IF(AND(I259&lt;&gt;"",H259&lt;=I259),"أعد الطلب","متاح")))</f>
        <v/>
      </c>
    </row>
    <row r="260">
      <c r="A260" s="50" t="n"/>
      <c r="B260" s="49">
        <f>IF(A260="","",IFERROR(INDEX('أوامر التوريد'!$H$5:$H$304,MATCH(A260,'أوامر التوريد'!$G$5:$G$304,0)),""))</f>
        <v/>
      </c>
      <c r="C260" s="39">
        <f>IF(A260="","",IFERROR(INDEX('أوامر التوريد'!$C$5:$C$304,MATCH(A260,'أوامر التوريد'!$G$5:$G$304,0)),""))</f>
        <v/>
      </c>
      <c r="D260" s="39">
        <f>IF(A260="","",IFERROR(INDEX('أوامر التوريد'!$I$5:$I$304,MATCH(A260,'أوامر التوريد'!$G$5:$G$304,0)),""))</f>
        <v/>
      </c>
      <c r="E260" s="46">
        <f>IF(A260="","",SUMIFS('أوامر التوريد'!$J$5:$J$304,'أوامر التوريد'!$G$5:$G$304,A260))</f>
        <v/>
      </c>
      <c r="F260" s="46">
        <f>IF(A260="","",SUMIFS('استلام المواد'!$K$5:$K$304,'استلام المواد'!$F$5:$F$304,A260))</f>
        <v/>
      </c>
      <c r="G260" s="46">
        <f>IF(A260="","",SUMIFS('صرف المواد'!$G$5:$G$304,'صرف المواد'!$C$5:$C$304,A260))</f>
        <v/>
      </c>
      <c r="H260" s="46">
        <f>IF(A260="","",F260-G260)</f>
        <v/>
      </c>
      <c r="I260" s="41" t="n"/>
      <c r="J260" s="46">
        <f>IF(A260="","",IFERROR(SUMIFS('أوامر التوريد'!$L$5:$L$304,'أوامر التوريد'!$G$5:$G$304,A260)/E260,0))</f>
        <v/>
      </c>
      <c r="K260" s="46">
        <f>IF(A260="","",H260*J260)</f>
        <v/>
      </c>
      <c r="L260" s="49">
        <f>IF(A260="","",IF(H260&lt;0,"رصيد سالب!",IF(AND(I260&lt;&gt;"",H260&lt;=I260),"أعد الطلب","متاح")))</f>
        <v/>
      </c>
    </row>
    <row r="261">
      <c r="A261" s="50" t="n"/>
      <c r="B261" s="49">
        <f>IF(A261="","",IFERROR(INDEX('أوامر التوريد'!$H$5:$H$304,MATCH(A261,'أوامر التوريد'!$G$5:$G$304,0)),""))</f>
        <v/>
      </c>
      <c r="C261" s="39">
        <f>IF(A261="","",IFERROR(INDEX('أوامر التوريد'!$C$5:$C$304,MATCH(A261,'أوامر التوريد'!$G$5:$G$304,0)),""))</f>
        <v/>
      </c>
      <c r="D261" s="39">
        <f>IF(A261="","",IFERROR(INDEX('أوامر التوريد'!$I$5:$I$304,MATCH(A261,'أوامر التوريد'!$G$5:$G$304,0)),""))</f>
        <v/>
      </c>
      <c r="E261" s="46">
        <f>IF(A261="","",SUMIFS('أوامر التوريد'!$J$5:$J$304,'أوامر التوريد'!$G$5:$G$304,A261))</f>
        <v/>
      </c>
      <c r="F261" s="46">
        <f>IF(A261="","",SUMIFS('استلام المواد'!$K$5:$K$304,'استلام المواد'!$F$5:$F$304,A261))</f>
        <v/>
      </c>
      <c r="G261" s="46">
        <f>IF(A261="","",SUMIFS('صرف المواد'!$G$5:$G$304,'صرف المواد'!$C$5:$C$304,A261))</f>
        <v/>
      </c>
      <c r="H261" s="46">
        <f>IF(A261="","",F261-G261)</f>
        <v/>
      </c>
      <c r="I261" s="41" t="n"/>
      <c r="J261" s="46">
        <f>IF(A261="","",IFERROR(SUMIFS('أوامر التوريد'!$L$5:$L$304,'أوامر التوريد'!$G$5:$G$304,A261)/E261,0))</f>
        <v/>
      </c>
      <c r="K261" s="46">
        <f>IF(A261="","",H261*J261)</f>
        <v/>
      </c>
      <c r="L261" s="49">
        <f>IF(A261="","",IF(H261&lt;0,"رصيد سالب!",IF(AND(I261&lt;&gt;"",H261&lt;=I261),"أعد الطلب","متاح")))</f>
        <v/>
      </c>
    </row>
    <row r="262">
      <c r="A262" s="50" t="n"/>
      <c r="B262" s="49">
        <f>IF(A262="","",IFERROR(INDEX('أوامر التوريد'!$H$5:$H$304,MATCH(A262,'أوامر التوريد'!$G$5:$G$304,0)),""))</f>
        <v/>
      </c>
      <c r="C262" s="39">
        <f>IF(A262="","",IFERROR(INDEX('أوامر التوريد'!$C$5:$C$304,MATCH(A262,'أوامر التوريد'!$G$5:$G$304,0)),""))</f>
        <v/>
      </c>
      <c r="D262" s="39">
        <f>IF(A262="","",IFERROR(INDEX('أوامر التوريد'!$I$5:$I$304,MATCH(A262,'أوامر التوريد'!$G$5:$G$304,0)),""))</f>
        <v/>
      </c>
      <c r="E262" s="46">
        <f>IF(A262="","",SUMIFS('أوامر التوريد'!$J$5:$J$304,'أوامر التوريد'!$G$5:$G$304,A262))</f>
        <v/>
      </c>
      <c r="F262" s="46">
        <f>IF(A262="","",SUMIFS('استلام المواد'!$K$5:$K$304,'استلام المواد'!$F$5:$F$304,A262))</f>
        <v/>
      </c>
      <c r="G262" s="46">
        <f>IF(A262="","",SUMIFS('صرف المواد'!$G$5:$G$304,'صرف المواد'!$C$5:$C$304,A262))</f>
        <v/>
      </c>
      <c r="H262" s="46">
        <f>IF(A262="","",F262-G262)</f>
        <v/>
      </c>
      <c r="I262" s="41" t="n"/>
      <c r="J262" s="46">
        <f>IF(A262="","",IFERROR(SUMIFS('أوامر التوريد'!$L$5:$L$304,'أوامر التوريد'!$G$5:$G$304,A262)/E262,0))</f>
        <v/>
      </c>
      <c r="K262" s="46">
        <f>IF(A262="","",H262*J262)</f>
        <v/>
      </c>
      <c r="L262" s="49">
        <f>IF(A262="","",IF(H262&lt;0,"رصيد سالب!",IF(AND(I262&lt;&gt;"",H262&lt;=I262),"أعد الطلب","متاح")))</f>
        <v/>
      </c>
    </row>
    <row r="263">
      <c r="A263" s="50" t="n"/>
      <c r="B263" s="49">
        <f>IF(A263="","",IFERROR(INDEX('أوامر التوريد'!$H$5:$H$304,MATCH(A263,'أوامر التوريد'!$G$5:$G$304,0)),""))</f>
        <v/>
      </c>
      <c r="C263" s="39">
        <f>IF(A263="","",IFERROR(INDEX('أوامر التوريد'!$C$5:$C$304,MATCH(A263,'أوامر التوريد'!$G$5:$G$304,0)),""))</f>
        <v/>
      </c>
      <c r="D263" s="39">
        <f>IF(A263="","",IFERROR(INDEX('أوامر التوريد'!$I$5:$I$304,MATCH(A263,'أوامر التوريد'!$G$5:$G$304,0)),""))</f>
        <v/>
      </c>
      <c r="E263" s="46">
        <f>IF(A263="","",SUMIFS('أوامر التوريد'!$J$5:$J$304,'أوامر التوريد'!$G$5:$G$304,A263))</f>
        <v/>
      </c>
      <c r="F263" s="46">
        <f>IF(A263="","",SUMIFS('استلام المواد'!$K$5:$K$304,'استلام المواد'!$F$5:$F$304,A263))</f>
        <v/>
      </c>
      <c r="G263" s="46">
        <f>IF(A263="","",SUMIFS('صرف المواد'!$G$5:$G$304,'صرف المواد'!$C$5:$C$304,A263))</f>
        <v/>
      </c>
      <c r="H263" s="46">
        <f>IF(A263="","",F263-G263)</f>
        <v/>
      </c>
      <c r="I263" s="41" t="n"/>
      <c r="J263" s="46">
        <f>IF(A263="","",IFERROR(SUMIFS('أوامر التوريد'!$L$5:$L$304,'أوامر التوريد'!$G$5:$G$304,A263)/E263,0))</f>
        <v/>
      </c>
      <c r="K263" s="46">
        <f>IF(A263="","",H263*J263)</f>
        <v/>
      </c>
      <c r="L263" s="49">
        <f>IF(A263="","",IF(H263&lt;0,"رصيد سالب!",IF(AND(I263&lt;&gt;"",H263&lt;=I263),"أعد الطلب","متاح")))</f>
        <v/>
      </c>
    </row>
    <row r="264">
      <c r="A264" s="50" t="n"/>
      <c r="B264" s="49">
        <f>IF(A264="","",IFERROR(INDEX('أوامر التوريد'!$H$5:$H$304,MATCH(A264,'أوامر التوريد'!$G$5:$G$304,0)),""))</f>
        <v/>
      </c>
      <c r="C264" s="39">
        <f>IF(A264="","",IFERROR(INDEX('أوامر التوريد'!$C$5:$C$304,MATCH(A264,'أوامر التوريد'!$G$5:$G$304,0)),""))</f>
        <v/>
      </c>
      <c r="D264" s="39">
        <f>IF(A264="","",IFERROR(INDEX('أوامر التوريد'!$I$5:$I$304,MATCH(A264,'أوامر التوريد'!$G$5:$G$304,0)),""))</f>
        <v/>
      </c>
      <c r="E264" s="46">
        <f>IF(A264="","",SUMIFS('أوامر التوريد'!$J$5:$J$304,'أوامر التوريد'!$G$5:$G$304,A264))</f>
        <v/>
      </c>
      <c r="F264" s="46">
        <f>IF(A264="","",SUMIFS('استلام المواد'!$K$5:$K$304,'استلام المواد'!$F$5:$F$304,A264))</f>
        <v/>
      </c>
      <c r="G264" s="46">
        <f>IF(A264="","",SUMIFS('صرف المواد'!$G$5:$G$304,'صرف المواد'!$C$5:$C$304,A264))</f>
        <v/>
      </c>
      <c r="H264" s="46">
        <f>IF(A264="","",F264-G264)</f>
        <v/>
      </c>
      <c r="I264" s="41" t="n"/>
      <c r="J264" s="46">
        <f>IF(A264="","",IFERROR(SUMIFS('أوامر التوريد'!$L$5:$L$304,'أوامر التوريد'!$G$5:$G$304,A264)/E264,0))</f>
        <v/>
      </c>
      <c r="K264" s="46">
        <f>IF(A264="","",H264*J264)</f>
        <v/>
      </c>
      <c r="L264" s="49">
        <f>IF(A264="","",IF(H264&lt;0,"رصيد سالب!",IF(AND(I264&lt;&gt;"",H264&lt;=I264),"أعد الطلب","متاح")))</f>
        <v/>
      </c>
    </row>
    <row r="265">
      <c r="A265" s="50" t="n"/>
      <c r="B265" s="49">
        <f>IF(A265="","",IFERROR(INDEX('أوامر التوريد'!$H$5:$H$304,MATCH(A265,'أوامر التوريد'!$G$5:$G$304,0)),""))</f>
        <v/>
      </c>
      <c r="C265" s="39">
        <f>IF(A265="","",IFERROR(INDEX('أوامر التوريد'!$C$5:$C$304,MATCH(A265,'أوامر التوريد'!$G$5:$G$304,0)),""))</f>
        <v/>
      </c>
      <c r="D265" s="39">
        <f>IF(A265="","",IFERROR(INDEX('أوامر التوريد'!$I$5:$I$304,MATCH(A265,'أوامر التوريد'!$G$5:$G$304,0)),""))</f>
        <v/>
      </c>
      <c r="E265" s="46">
        <f>IF(A265="","",SUMIFS('أوامر التوريد'!$J$5:$J$304,'أوامر التوريد'!$G$5:$G$304,A265))</f>
        <v/>
      </c>
      <c r="F265" s="46">
        <f>IF(A265="","",SUMIFS('استلام المواد'!$K$5:$K$304,'استلام المواد'!$F$5:$F$304,A265))</f>
        <v/>
      </c>
      <c r="G265" s="46">
        <f>IF(A265="","",SUMIFS('صرف المواد'!$G$5:$G$304,'صرف المواد'!$C$5:$C$304,A265))</f>
        <v/>
      </c>
      <c r="H265" s="46">
        <f>IF(A265="","",F265-G265)</f>
        <v/>
      </c>
      <c r="I265" s="41" t="n"/>
      <c r="J265" s="46">
        <f>IF(A265="","",IFERROR(SUMIFS('أوامر التوريد'!$L$5:$L$304,'أوامر التوريد'!$G$5:$G$304,A265)/E265,0))</f>
        <v/>
      </c>
      <c r="K265" s="46">
        <f>IF(A265="","",H265*J265)</f>
        <v/>
      </c>
      <c r="L265" s="49">
        <f>IF(A265="","",IF(H265&lt;0,"رصيد سالب!",IF(AND(I265&lt;&gt;"",H265&lt;=I265),"أعد الطلب","متاح")))</f>
        <v/>
      </c>
    </row>
    <row r="266">
      <c r="A266" s="50" t="n"/>
      <c r="B266" s="49">
        <f>IF(A266="","",IFERROR(INDEX('أوامر التوريد'!$H$5:$H$304,MATCH(A266,'أوامر التوريد'!$G$5:$G$304,0)),""))</f>
        <v/>
      </c>
      <c r="C266" s="39">
        <f>IF(A266="","",IFERROR(INDEX('أوامر التوريد'!$C$5:$C$304,MATCH(A266,'أوامر التوريد'!$G$5:$G$304,0)),""))</f>
        <v/>
      </c>
      <c r="D266" s="39">
        <f>IF(A266="","",IFERROR(INDEX('أوامر التوريد'!$I$5:$I$304,MATCH(A266,'أوامر التوريد'!$G$5:$G$304,0)),""))</f>
        <v/>
      </c>
      <c r="E266" s="46">
        <f>IF(A266="","",SUMIFS('أوامر التوريد'!$J$5:$J$304,'أوامر التوريد'!$G$5:$G$304,A266))</f>
        <v/>
      </c>
      <c r="F266" s="46">
        <f>IF(A266="","",SUMIFS('استلام المواد'!$K$5:$K$304,'استلام المواد'!$F$5:$F$304,A266))</f>
        <v/>
      </c>
      <c r="G266" s="46">
        <f>IF(A266="","",SUMIFS('صرف المواد'!$G$5:$G$304,'صرف المواد'!$C$5:$C$304,A266))</f>
        <v/>
      </c>
      <c r="H266" s="46">
        <f>IF(A266="","",F266-G266)</f>
        <v/>
      </c>
      <c r="I266" s="41" t="n"/>
      <c r="J266" s="46">
        <f>IF(A266="","",IFERROR(SUMIFS('أوامر التوريد'!$L$5:$L$304,'أوامر التوريد'!$G$5:$G$304,A266)/E266,0))</f>
        <v/>
      </c>
      <c r="K266" s="46">
        <f>IF(A266="","",H266*J266)</f>
        <v/>
      </c>
      <c r="L266" s="49">
        <f>IF(A266="","",IF(H266&lt;0,"رصيد سالب!",IF(AND(I266&lt;&gt;"",H266&lt;=I266),"أعد الطلب","متاح")))</f>
        <v/>
      </c>
    </row>
    <row r="267">
      <c r="A267" s="50" t="n"/>
      <c r="B267" s="49">
        <f>IF(A267="","",IFERROR(INDEX('أوامر التوريد'!$H$5:$H$304,MATCH(A267,'أوامر التوريد'!$G$5:$G$304,0)),""))</f>
        <v/>
      </c>
      <c r="C267" s="39">
        <f>IF(A267="","",IFERROR(INDEX('أوامر التوريد'!$C$5:$C$304,MATCH(A267,'أوامر التوريد'!$G$5:$G$304,0)),""))</f>
        <v/>
      </c>
      <c r="D267" s="39">
        <f>IF(A267="","",IFERROR(INDEX('أوامر التوريد'!$I$5:$I$304,MATCH(A267,'أوامر التوريد'!$G$5:$G$304,0)),""))</f>
        <v/>
      </c>
      <c r="E267" s="46">
        <f>IF(A267="","",SUMIFS('أوامر التوريد'!$J$5:$J$304,'أوامر التوريد'!$G$5:$G$304,A267))</f>
        <v/>
      </c>
      <c r="F267" s="46">
        <f>IF(A267="","",SUMIFS('استلام المواد'!$K$5:$K$304,'استلام المواد'!$F$5:$F$304,A267))</f>
        <v/>
      </c>
      <c r="G267" s="46">
        <f>IF(A267="","",SUMIFS('صرف المواد'!$G$5:$G$304,'صرف المواد'!$C$5:$C$304,A267))</f>
        <v/>
      </c>
      <c r="H267" s="46">
        <f>IF(A267="","",F267-G267)</f>
        <v/>
      </c>
      <c r="I267" s="41" t="n"/>
      <c r="J267" s="46">
        <f>IF(A267="","",IFERROR(SUMIFS('أوامر التوريد'!$L$5:$L$304,'أوامر التوريد'!$G$5:$G$304,A267)/E267,0))</f>
        <v/>
      </c>
      <c r="K267" s="46">
        <f>IF(A267="","",H267*J267)</f>
        <v/>
      </c>
      <c r="L267" s="49">
        <f>IF(A267="","",IF(H267&lt;0,"رصيد سالب!",IF(AND(I267&lt;&gt;"",H267&lt;=I267),"أعد الطلب","متاح")))</f>
        <v/>
      </c>
    </row>
    <row r="268">
      <c r="A268" s="50" t="n"/>
      <c r="B268" s="49">
        <f>IF(A268="","",IFERROR(INDEX('أوامر التوريد'!$H$5:$H$304,MATCH(A268,'أوامر التوريد'!$G$5:$G$304,0)),""))</f>
        <v/>
      </c>
      <c r="C268" s="39">
        <f>IF(A268="","",IFERROR(INDEX('أوامر التوريد'!$C$5:$C$304,MATCH(A268,'أوامر التوريد'!$G$5:$G$304,0)),""))</f>
        <v/>
      </c>
      <c r="D268" s="39">
        <f>IF(A268="","",IFERROR(INDEX('أوامر التوريد'!$I$5:$I$304,MATCH(A268,'أوامر التوريد'!$G$5:$G$304,0)),""))</f>
        <v/>
      </c>
      <c r="E268" s="46">
        <f>IF(A268="","",SUMIFS('أوامر التوريد'!$J$5:$J$304,'أوامر التوريد'!$G$5:$G$304,A268))</f>
        <v/>
      </c>
      <c r="F268" s="46">
        <f>IF(A268="","",SUMIFS('استلام المواد'!$K$5:$K$304,'استلام المواد'!$F$5:$F$304,A268))</f>
        <v/>
      </c>
      <c r="G268" s="46">
        <f>IF(A268="","",SUMIFS('صرف المواد'!$G$5:$G$304,'صرف المواد'!$C$5:$C$304,A268))</f>
        <v/>
      </c>
      <c r="H268" s="46">
        <f>IF(A268="","",F268-G268)</f>
        <v/>
      </c>
      <c r="I268" s="41" t="n"/>
      <c r="J268" s="46">
        <f>IF(A268="","",IFERROR(SUMIFS('أوامر التوريد'!$L$5:$L$304,'أوامر التوريد'!$G$5:$G$304,A268)/E268,0))</f>
        <v/>
      </c>
      <c r="K268" s="46">
        <f>IF(A268="","",H268*J268)</f>
        <v/>
      </c>
      <c r="L268" s="49">
        <f>IF(A268="","",IF(H268&lt;0,"رصيد سالب!",IF(AND(I268&lt;&gt;"",H268&lt;=I268),"أعد الطلب","متاح")))</f>
        <v/>
      </c>
    </row>
    <row r="269">
      <c r="A269" s="50" t="n"/>
      <c r="B269" s="49">
        <f>IF(A269="","",IFERROR(INDEX('أوامر التوريد'!$H$5:$H$304,MATCH(A269,'أوامر التوريد'!$G$5:$G$304,0)),""))</f>
        <v/>
      </c>
      <c r="C269" s="39">
        <f>IF(A269="","",IFERROR(INDEX('أوامر التوريد'!$C$5:$C$304,MATCH(A269,'أوامر التوريد'!$G$5:$G$304,0)),""))</f>
        <v/>
      </c>
      <c r="D269" s="39">
        <f>IF(A269="","",IFERROR(INDEX('أوامر التوريد'!$I$5:$I$304,MATCH(A269,'أوامر التوريد'!$G$5:$G$304,0)),""))</f>
        <v/>
      </c>
      <c r="E269" s="46">
        <f>IF(A269="","",SUMIFS('أوامر التوريد'!$J$5:$J$304,'أوامر التوريد'!$G$5:$G$304,A269))</f>
        <v/>
      </c>
      <c r="F269" s="46">
        <f>IF(A269="","",SUMIFS('استلام المواد'!$K$5:$K$304,'استلام المواد'!$F$5:$F$304,A269))</f>
        <v/>
      </c>
      <c r="G269" s="46">
        <f>IF(A269="","",SUMIFS('صرف المواد'!$G$5:$G$304,'صرف المواد'!$C$5:$C$304,A269))</f>
        <v/>
      </c>
      <c r="H269" s="46">
        <f>IF(A269="","",F269-G269)</f>
        <v/>
      </c>
      <c r="I269" s="41" t="n"/>
      <c r="J269" s="46">
        <f>IF(A269="","",IFERROR(SUMIFS('أوامر التوريد'!$L$5:$L$304,'أوامر التوريد'!$G$5:$G$304,A269)/E269,0))</f>
        <v/>
      </c>
      <c r="K269" s="46">
        <f>IF(A269="","",H269*J269)</f>
        <v/>
      </c>
      <c r="L269" s="49">
        <f>IF(A269="","",IF(H269&lt;0,"رصيد سالب!",IF(AND(I269&lt;&gt;"",H269&lt;=I269),"أعد الطلب","متاح")))</f>
        <v/>
      </c>
    </row>
    <row r="270">
      <c r="A270" s="50" t="n"/>
      <c r="B270" s="49">
        <f>IF(A270="","",IFERROR(INDEX('أوامر التوريد'!$H$5:$H$304,MATCH(A270,'أوامر التوريد'!$G$5:$G$304,0)),""))</f>
        <v/>
      </c>
      <c r="C270" s="39">
        <f>IF(A270="","",IFERROR(INDEX('أوامر التوريد'!$C$5:$C$304,MATCH(A270,'أوامر التوريد'!$G$5:$G$304,0)),""))</f>
        <v/>
      </c>
      <c r="D270" s="39">
        <f>IF(A270="","",IFERROR(INDEX('أوامر التوريد'!$I$5:$I$304,MATCH(A270,'أوامر التوريد'!$G$5:$G$304,0)),""))</f>
        <v/>
      </c>
      <c r="E270" s="46">
        <f>IF(A270="","",SUMIFS('أوامر التوريد'!$J$5:$J$304,'أوامر التوريد'!$G$5:$G$304,A270))</f>
        <v/>
      </c>
      <c r="F270" s="46">
        <f>IF(A270="","",SUMIFS('استلام المواد'!$K$5:$K$304,'استلام المواد'!$F$5:$F$304,A270))</f>
        <v/>
      </c>
      <c r="G270" s="46">
        <f>IF(A270="","",SUMIFS('صرف المواد'!$G$5:$G$304,'صرف المواد'!$C$5:$C$304,A270))</f>
        <v/>
      </c>
      <c r="H270" s="46">
        <f>IF(A270="","",F270-G270)</f>
        <v/>
      </c>
      <c r="I270" s="41" t="n"/>
      <c r="J270" s="46">
        <f>IF(A270="","",IFERROR(SUMIFS('أوامر التوريد'!$L$5:$L$304,'أوامر التوريد'!$G$5:$G$304,A270)/E270,0))</f>
        <v/>
      </c>
      <c r="K270" s="46">
        <f>IF(A270="","",H270*J270)</f>
        <v/>
      </c>
      <c r="L270" s="49">
        <f>IF(A270="","",IF(H270&lt;0,"رصيد سالب!",IF(AND(I270&lt;&gt;"",H270&lt;=I270),"أعد الطلب","متاح")))</f>
        <v/>
      </c>
    </row>
    <row r="271">
      <c r="A271" s="50" t="n"/>
      <c r="B271" s="49">
        <f>IF(A271="","",IFERROR(INDEX('أوامر التوريد'!$H$5:$H$304,MATCH(A271,'أوامر التوريد'!$G$5:$G$304,0)),""))</f>
        <v/>
      </c>
      <c r="C271" s="39">
        <f>IF(A271="","",IFERROR(INDEX('أوامر التوريد'!$C$5:$C$304,MATCH(A271,'أوامر التوريد'!$G$5:$G$304,0)),""))</f>
        <v/>
      </c>
      <c r="D271" s="39">
        <f>IF(A271="","",IFERROR(INDEX('أوامر التوريد'!$I$5:$I$304,MATCH(A271,'أوامر التوريد'!$G$5:$G$304,0)),""))</f>
        <v/>
      </c>
      <c r="E271" s="46">
        <f>IF(A271="","",SUMIFS('أوامر التوريد'!$J$5:$J$304,'أوامر التوريد'!$G$5:$G$304,A271))</f>
        <v/>
      </c>
      <c r="F271" s="46">
        <f>IF(A271="","",SUMIFS('استلام المواد'!$K$5:$K$304,'استلام المواد'!$F$5:$F$304,A271))</f>
        <v/>
      </c>
      <c r="G271" s="46">
        <f>IF(A271="","",SUMIFS('صرف المواد'!$G$5:$G$304,'صرف المواد'!$C$5:$C$304,A271))</f>
        <v/>
      </c>
      <c r="H271" s="46">
        <f>IF(A271="","",F271-G271)</f>
        <v/>
      </c>
      <c r="I271" s="41" t="n"/>
      <c r="J271" s="46">
        <f>IF(A271="","",IFERROR(SUMIFS('أوامر التوريد'!$L$5:$L$304,'أوامر التوريد'!$G$5:$G$304,A271)/E271,0))</f>
        <v/>
      </c>
      <c r="K271" s="46">
        <f>IF(A271="","",H271*J271)</f>
        <v/>
      </c>
      <c r="L271" s="49">
        <f>IF(A271="","",IF(H271&lt;0,"رصيد سالب!",IF(AND(I271&lt;&gt;"",H271&lt;=I271),"أعد الطلب","متاح")))</f>
        <v/>
      </c>
    </row>
    <row r="272">
      <c r="A272" s="50" t="n"/>
      <c r="B272" s="49">
        <f>IF(A272="","",IFERROR(INDEX('أوامر التوريد'!$H$5:$H$304,MATCH(A272,'أوامر التوريد'!$G$5:$G$304,0)),""))</f>
        <v/>
      </c>
      <c r="C272" s="39">
        <f>IF(A272="","",IFERROR(INDEX('أوامر التوريد'!$C$5:$C$304,MATCH(A272,'أوامر التوريد'!$G$5:$G$304,0)),""))</f>
        <v/>
      </c>
      <c r="D272" s="39">
        <f>IF(A272="","",IFERROR(INDEX('أوامر التوريد'!$I$5:$I$304,MATCH(A272,'أوامر التوريد'!$G$5:$G$304,0)),""))</f>
        <v/>
      </c>
      <c r="E272" s="46">
        <f>IF(A272="","",SUMIFS('أوامر التوريد'!$J$5:$J$304,'أوامر التوريد'!$G$5:$G$304,A272))</f>
        <v/>
      </c>
      <c r="F272" s="46">
        <f>IF(A272="","",SUMIFS('استلام المواد'!$K$5:$K$304,'استلام المواد'!$F$5:$F$304,A272))</f>
        <v/>
      </c>
      <c r="G272" s="46">
        <f>IF(A272="","",SUMIFS('صرف المواد'!$G$5:$G$304,'صرف المواد'!$C$5:$C$304,A272))</f>
        <v/>
      </c>
      <c r="H272" s="46">
        <f>IF(A272="","",F272-G272)</f>
        <v/>
      </c>
      <c r="I272" s="41" t="n"/>
      <c r="J272" s="46">
        <f>IF(A272="","",IFERROR(SUMIFS('أوامر التوريد'!$L$5:$L$304,'أوامر التوريد'!$G$5:$G$304,A272)/E272,0))</f>
        <v/>
      </c>
      <c r="K272" s="46">
        <f>IF(A272="","",H272*J272)</f>
        <v/>
      </c>
      <c r="L272" s="49">
        <f>IF(A272="","",IF(H272&lt;0,"رصيد سالب!",IF(AND(I272&lt;&gt;"",H272&lt;=I272),"أعد الطلب","متاح")))</f>
        <v/>
      </c>
    </row>
    <row r="273">
      <c r="A273" s="50" t="n"/>
      <c r="B273" s="49">
        <f>IF(A273="","",IFERROR(INDEX('أوامر التوريد'!$H$5:$H$304,MATCH(A273,'أوامر التوريد'!$G$5:$G$304,0)),""))</f>
        <v/>
      </c>
      <c r="C273" s="39">
        <f>IF(A273="","",IFERROR(INDEX('أوامر التوريد'!$C$5:$C$304,MATCH(A273,'أوامر التوريد'!$G$5:$G$304,0)),""))</f>
        <v/>
      </c>
      <c r="D273" s="39">
        <f>IF(A273="","",IFERROR(INDEX('أوامر التوريد'!$I$5:$I$304,MATCH(A273,'أوامر التوريد'!$G$5:$G$304,0)),""))</f>
        <v/>
      </c>
      <c r="E273" s="46">
        <f>IF(A273="","",SUMIFS('أوامر التوريد'!$J$5:$J$304,'أوامر التوريد'!$G$5:$G$304,A273))</f>
        <v/>
      </c>
      <c r="F273" s="46">
        <f>IF(A273="","",SUMIFS('استلام المواد'!$K$5:$K$304,'استلام المواد'!$F$5:$F$304,A273))</f>
        <v/>
      </c>
      <c r="G273" s="46">
        <f>IF(A273="","",SUMIFS('صرف المواد'!$G$5:$G$304,'صرف المواد'!$C$5:$C$304,A273))</f>
        <v/>
      </c>
      <c r="H273" s="46">
        <f>IF(A273="","",F273-G273)</f>
        <v/>
      </c>
      <c r="I273" s="41" t="n"/>
      <c r="J273" s="46">
        <f>IF(A273="","",IFERROR(SUMIFS('أوامر التوريد'!$L$5:$L$304,'أوامر التوريد'!$G$5:$G$304,A273)/E273,0))</f>
        <v/>
      </c>
      <c r="K273" s="46">
        <f>IF(A273="","",H273*J273)</f>
        <v/>
      </c>
      <c r="L273" s="49">
        <f>IF(A273="","",IF(H273&lt;0,"رصيد سالب!",IF(AND(I273&lt;&gt;"",H273&lt;=I273),"أعد الطلب","متاح")))</f>
        <v/>
      </c>
    </row>
    <row r="274">
      <c r="A274" s="50" t="n"/>
      <c r="B274" s="49">
        <f>IF(A274="","",IFERROR(INDEX('أوامر التوريد'!$H$5:$H$304,MATCH(A274,'أوامر التوريد'!$G$5:$G$304,0)),""))</f>
        <v/>
      </c>
      <c r="C274" s="39">
        <f>IF(A274="","",IFERROR(INDEX('أوامر التوريد'!$C$5:$C$304,MATCH(A274,'أوامر التوريد'!$G$5:$G$304,0)),""))</f>
        <v/>
      </c>
      <c r="D274" s="39">
        <f>IF(A274="","",IFERROR(INDEX('أوامر التوريد'!$I$5:$I$304,MATCH(A274,'أوامر التوريد'!$G$5:$G$304,0)),""))</f>
        <v/>
      </c>
      <c r="E274" s="46">
        <f>IF(A274="","",SUMIFS('أوامر التوريد'!$J$5:$J$304,'أوامر التوريد'!$G$5:$G$304,A274))</f>
        <v/>
      </c>
      <c r="F274" s="46">
        <f>IF(A274="","",SUMIFS('استلام المواد'!$K$5:$K$304,'استلام المواد'!$F$5:$F$304,A274))</f>
        <v/>
      </c>
      <c r="G274" s="46">
        <f>IF(A274="","",SUMIFS('صرف المواد'!$G$5:$G$304,'صرف المواد'!$C$5:$C$304,A274))</f>
        <v/>
      </c>
      <c r="H274" s="46">
        <f>IF(A274="","",F274-G274)</f>
        <v/>
      </c>
      <c r="I274" s="41" t="n"/>
      <c r="J274" s="46">
        <f>IF(A274="","",IFERROR(SUMIFS('أوامر التوريد'!$L$5:$L$304,'أوامر التوريد'!$G$5:$G$304,A274)/E274,0))</f>
        <v/>
      </c>
      <c r="K274" s="46">
        <f>IF(A274="","",H274*J274)</f>
        <v/>
      </c>
      <c r="L274" s="49">
        <f>IF(A274="","",IF(H274&lt;0,"رصيد سالب!",IF(AND(I274&lt;&gt;"",H274&lt;=I274),"أعد الطلب","متاح")))</f>
        <v/>
      </c>
    </row>
    <row r="275">
      <c r="A275" s="50" t="n"/>
      <c r="B275" s="49">
        <f>IF(A275="","",IFERROR(INDEX('أوامر التوريد'!$H$5:$H$304,MATCH(A275,'أوامر التوريد'!$G$5:$G$304,0)),""))</f>
        <v/>
      </c>
      <c r="C275" s="39">
        <f>IF(A275="","",IFERROR(INDEX('أوامر التوريد'!$C$5:$C$304,MATCH(A275,'أوامر التوريد'!$G$5:$G$304,0)),""))</f>
        <v/>
      </c>
      <c r="D275" s="39">
        <f>IF(A275="","",IFERROR(INDEX('أوامر التوريد'!$I$5:$I$304,MATCH(A275,'أوامر التوريد'!$G$5:$G$304,0)),""))</f>
        <v/>
      </c>
      <c r="E275" s="46">
        <f>IF(A275="","",SUMIFS('أوامر التوريد'!$J$5:$J$304,'أوامر التوريد'!$G$5:$G$304,A275))</f>
        <v/>
      </c>
      <c r="F275" s="46">
        <f>IF(A275="","",SUMIFS('استلام المواد'!$K$5:$K$304,'استلام المواد'!$F$5:$F$304,A275))</f>
        <v/>
      </c>
      <c r="G275" s="46">
        <f>IF(A275="","",SUMIFS('صرف المواد'!$G$5:$G$304,'صرف المواد'!$C$5:$C$304,A275))</f>
        <v/>
      </c>
      <c r="H275" s="46">
        <f>IF(A275="","",F275-G275)</f>
        <v/>
      </c>
      <c r="I275" s="41" t="n"/>
      <c r="J275" s="46">
        <f>IF(A275="","",IFERROR(SUMIFS('أوامر التوريد'!$L$5:$L$304,'أوامر التوريد'!$G$5:$G$304,A275)/E275,0))</f>
        <v/>
      </c>
      <c r="K275" s="46">
        <f>IF(A275="","",H275*J275)</f>
        <v/>
      </c>
      <c r="L275" s="49">
        <f>IF(A275="","",IF(H275&lt;0,"رصيد سالب!",IF(AND(I275&lt;&gt;"",H275&lt;=I275),"أعد الطلب","متاح")))</f>
        <v/>
      </c>
    </row>
    <row r="276">
      <c r="A276" s="50" t="n"/>
      <c r="B276" s="49">
        <f>IF(A276="","",IFERROR(INDEX('أوامر التوريد'!$H$5:$H$304,MATCH(A276,'أوامر التوريد'!$G$5:$G$304,0)),""))</f>
        <v/>
      </c>
      <c r="C276" s="39">
        <f>IF(A276="","",IFERROR(INDEX('أوامر التوريد'!$C$5:$C$304,MATCH(A276,'أوامر التوريد'!$G$5:$G$304,0)),""))</f>
        <v/>
      </c>
      <c r="D276" s="39">
        <f>IF(A276="","",IFERROR(INDEX('أوامر التوريد'!$I$5:$I$304,MATCH(A276,'أوامر التوريد'!$G$5:$G$304,0)),""))</f>
        <v/>
      </c>
      <c r="E276" s="46">
        <f>IF(A276="","",SUMIFS('أوامر التوريد'!$J$5:$J$304,'أوامر التوريد'!$G$5:$G$304,A276))</f>
        <v/>
      </c>
      <c r="F276" s="46">
        <f>IF(A276="","",SUMIFS('استلام المواد'!$K$5:$K$304,'استلام المواد'!$F$5:$F$304,A276))</f>
        <v/>
      </c>
      <c r="G276" s="46">
        <f>IF(A276="","",SUMIFS('صرف المواد'!$G$5:$G$304,'صرف المواد'!$C$5:$C$304,A276))</f>
        <v/>
      </c>
      <c r="H276" s="46">
        <f>IF(A276="","",F276-G276)</f>
        <v/>
      </c>
      <c r="I276" s="41" t="n"/>
      <c r="J276" s="46">
        <f>IF(A276="","",IFERROR(SUMIFS('أوامر التوريد'!$L$5:$L$304,'أوامر التوريد'!$G$5:$G$304,A276)/E276,0))</f>
        <v/>
      </c>
      <c r="K276" s="46">
        <f>IF(A276="","",H276*J276)</f>
        <v/>
      </c>
      <c r="L276" s="49">
        <f>IF(A276="","",IF(H276&lt;0,"رصيد سالب!",IF(AND(I276&lt;&gt;"",H276&lt;=I276),"أعد الطلب","متاح")))</f>
        <v/>
      </c>
    </row>
    <row r="277">
      <c r="A277" s="50" t="n"/>
      <c r="B277" s="49">
        <f>IF(A277="","",IFERROR(INDEX('أوامر التوريد'!$H$5:$H$304,MATCH(A277,'أوامر التوريد'!$G$5:$G$304,0)),""))</f>
        <v/>
      </c>
      <c r="C277" s="39">
        <f>IF(A277="","",IFERROR(INDEX('أوامر التوريد'!$C$5:$C$304,MATCH(A277,'أوامر التوريد'!$G$5:$G$304,0)),""))</f>
        <v/>
      </c>
      <c r="D277" s="39">
        <f>IF(A277="","",IFERROR(INDEX('أوامر التوريد'!$I$5:$I$304,MATCH(A277,'أوامر التوريد'!$G$5:$G$304,0)),""))</f>
        <v/>
      </c>
      <c r="E277" s="46">
        <f>IF(A277="","",SUMIFS('أوامر التوريد'!$J$5:$J$304,'أوامر التوريد'!$G$5:$G$304,A277))</f>
        <v/>
      </c>
      <c r="F277" s="46">
        <f>IF(A277="","",SUMIFS('استلام المواد'!$K$5:$K$304,'استلام المواد'!$F$5:$F$304,A277))</f>
        <v/>
      </c>
      <c r="G277" s="46">
        <f>IF(A277="","",SUMIFS('صرف المواد'!$G$5:$G$304,'صرف المواد'!$C$5:$C$304,A277))</f>
        <v/>
      </c>
      <c r="H277" s="46">
        <f>IF(A277="","",F277-G277)</f>
        <v/>
      </c>
      <c r="I277" s="41" t="n"/>
      <c r="J277" s="46">
        <f>IF(A277="","",IFERROR(SUMIFS('أوامر التوريد'!$L$5:$L$304,'أوامر التوريد'!$G$5:$G$304,A277)/E277,0))</f>
        <v/>
      </c>
      <c r="K277" s="46">
        <f>IF(A277="","",H277*J277)</f>
        <v/>
      </c>
      <c r="L277" s="49">
        <f>IF(A277="","",IF(H277&lt;0,"رصيد سالب!",IF(AND(I277&lt;&gt;"",H277&lt;=I277),"أعد الطلب","متاح")))</f>
        <v/>
      </c>
    </row>
    <row r="278">
      <c r="A278" s="50" t="n"/>
      <c r="B278" s="49">
        <f>IF(A278="","",IFERROR(INDEX('أوامر التوريد'!$H$5:$H$304,MATCH(A278,'أوامر التوريد'!$G$5:$G$304,0)),""))</f>
        <v/>
      </c>
      <c r="C278" s="39">
        <f>IF(A278="","",IFERROR(INDEX('أوامر التوريد'!$C$5:$C$304,MATCH(A278,'أوامر التوريد'!$G$5:$G$304,0)),""))</f>
        <v/>
      </c>
      <c r="D278" s="39">
        <f>IF(A278="","",IFERROR(INDEX('أوامر التوريد'!$I$5:$I$304,MATCH(A278,'أوامر التوريد'!$G$5:$G$304,0)),""))</f>
        <v/>
      </c>
      <c r="E278" s="46">
        <f>IF(A278="","",SUMIFS('أوامر التوريد'!$J$5:$J$304,'أوامر التوريد'!$G$5:$G$304,A278))</f>
        <v/>
      </c>
      <c r="F278" s="46">
        <f>IF(A278="","",SUMIFS('استلام المواد'!$K$5:$K$304,'استلام المواد'!$F$5:$F$304,A278))</f>
        <v/>
      </c>
      <c r="G278" s="46">
        <f>IF(A278="","",SUMIFS('صرف المواد'!$G$5:$G$304,'صرف المواد'!$C$5:$C$304,A278))</f>
        <v/>
      </c>
      <c r="H278" s="46">
        <f>IF(A278="","",F278-G278)</f>
        <v/>
      </c>
      <c r="I278" s="41" t="n"/>
      <c r="J278" s="46">
        <f>IF(A278="","",IFERROR(SUMIFS('أوامر التوريد'!$L$5:$L$304,'أوامر التوريد'!$G$5:$G$304,A278)/E278,0))</f>
        <v/>
      </c>
      <c r="K278" s="46">
        <f>IF(A278="","",H278*J278)</f>
        <v/>
      </c>
      <c r="L278" s="49">
        <f>IF(A278="","",IF(H278&lt;0,"رصيد سالب!",IF(AND(I278&lt;&gt;"",H278&lt;=I278),"أعد الطلب","متاح")))</f>
        <v/>
      </c>
    </row>
    <row r="279">
      <c r="A279" s="50" t="n"/>
      <c r="B279" s="49">
        <f>IF(A279="","",IFERROR(INDEX('أوامر التوريد'!$H$5:$H$304,MATCH(A279,'أوامر التوريد'!$G$5:$G$304,0)),""))</f>
        <v/>
      </c>
      <c r="C279" s="39">
        <f>IF(A279="","",IFERROR(INDEX('أوامر التوريد'!$C$5:$C$304,MATCH(A279,'أوامر التوريد'!$G$5:$G$304,0)),""))</f>
        <v/>
      </c>
      <c r="D279" s="39">
        <f>IF(A279="","",IFERROR(INDEX('أوامر التوريد'!$I$5:$I$304,MATCH(A279,'أوامر التوريد'!$G$5:$G$304,0)),""))</f>
        <v/>
      </c>
      <c r="E279" s="46">
        <f>IF(A279="","",SUMIFS('أوامر التوريد'!$J$5:$J$304,'أوامر التوريد'!$G$5:$G$304,A279))</f>
        <v/>
      </c>
      <c r="F279" s="46">
        <f>IF(A279="","",SUMIFS('استلام المواد'!$K$5:$K$304,'استلام المواد'!$F$5:$F$304,A279))</f>
        <v/>
      </c>
      <c r="G279" s="46">
        <f>IF(A279="","",SUMIFS('صرف المواد'!$G$5:$G$304,'صرف المواد'!$C$5:$C$304,A279))</f>
        <v/>
      </c>
      <c r="H279" s="46">
        <f>IF(A279="","",F279-G279)</f>
        <v/>
      </c>
      <c r="I279" s="41" t="n"/>
      <c r="J279" s="46">
        <f>IF(A279="","",IFERROR(SUMIFS('أوامر التوريد'!$L$5:$L$304,'أوامر التوريد'!$G$5:$G$304,A279)/E279,0))</f>
        <v/>
      </c>
      <c r="K279" s="46">
        <f>IF(A279="","",H279*J279)</f>
        <v/>
      </c>
      <c r="L279" s="49">
        <f>IF(A279="","",IF(H279&lt;0,"رصيد سالب!",IF(AND(I279&lt;&gt;"",H279&lt;=I279),"أعد الطلب","متاح")))</f>
        <v/>
      </c>
    </row>
    <row r="280">
      <c r="A280" s="50" t="n"/>
      <c r="B280" s="49">
        <f>IF(A280="","",IFERROR(INDEX('أوامر التوريد'!$H$5:$H$304,MATCH(A280,'أوامر التوريد'!$G$5:$G$304,0)),""))</f>
        <v/>
      </c>
      <c r="C280" s="39">
        <f>IF(A280="","",IFERROR(INDEX('أوامر التوريد'!$C$5:$C$304,MATCH(A280,'أوامر التوريد'!$G$5:$G$304,0)),""))</f>
        <v/>
      </c>
      <c r="D280" s="39">
        <f>IF(A280="","",IFERROR(INDEX('أوامر التوريد'!$I$5:$I$304,MATCH(A280,'أوامر التوريد'!$G$5:$G$304,0)),""))</f>
        <v/>
      </c>
      <c r="E280" s="46">
        <f>IF(A280="","",SUMIFS('أوامر التوريد'!$J$5:$J$304,'أوامر التوريد'!$G$5:$G$304,A280))</f>
        <v/>
      </c>
      <c r="F280" s="46">
        <f>IF(A280="","",SUMIFS('استلام المواد'!$K$5:$K$304,'استلام المواد'!$F$5:$F$304,A280))</f>
        <v/>
      </c>
      <c r="G280" s="46">
        <f>IF(A280="","",SUMIFS('صرف المواد'!$G$5:$G$304,'صرف المواد'!$C$5:$C$304,A280))</f>
        <v/>
      </c>
      <c r="H280" s="46">
        <f>IF(A280="","",F280-G280)</f>
        <v/>
      </c>
      <c r="I280" s="41" t="n"/>
      <c r="J280" s="46">
        <f>IF(A280="","",IFERROR(SUMIFS('أوامر التوريد'!$L$5:$L$304,'أوامر التوريد'!$G$5:$G$304,A280)/E280,0))</f>
        <v/>
      </c>
      <c r="K280" s="46">
        <f>IF(A280="","",H280*J280)</f>
        <v/>
      </c>
      <c r="L280" s="49">
        <f>IF(A280="","",IF(H280&lt;0,"رصيد سالب!",IF(AND(I280&lt;&gt;"",H280&lt;=I280),"أعد الطلب","متاح")))</f>
        <v/>
      </c>
    </row>
    <row r="281">
      <c r="A281" s="50" t="n"/>
      <c r="B281" s="49">
        <f>IF(A281="","",IFERROR(INDEX('أوامر التوريد'!$H$5:$H$304,MATCH(A281,'أوامر التوريد'!$G$5:$G$304,0)),""))</f>
        <v/>
      </c>
      <c r="C281" s="39">
        <f>IF(A281="","",IFERROR(INDEX('أوامر التوريد'!$C$5:$C$304,MATCH(A281,'أوامر التوريد'!$G$5:$G$304,0)),""))</f>
        <v/>
      </c>
      <c r="D281" s="39">
        <f>IF(A281="","",IFERROR(INDEX('أوامر التوريد'!$I$5:$I$304,MATCH(A281,'أوامر التوريد'!$G$5:$G$304,0)),""))</f>
        <v/>
      </c>
      <c r="E281" s="46">
        <f>IF(A281="","",SUMIFS('أوامر التوريد'!$J$5:$J$304,'أوامر التوريد'!$G$5:$G$304,A281))</f>
        <v/>
      </c>
      <c r="F281" s="46">
        <f>IF(A281="","",SUMIFS('استلام المواد'!$K$5:$K$304,'استلام المواد'!$F$5:$F$304,A281))</f>
        <v/>
      </c>
      <c r="G281" s="46">
        <f>IF(A281="","",SUMIFS('صرف المواد'!$G$5:$G$304,'صرف المواد'!$C$5:$C$304,A281))</f>
        <v/>
      </c>
      <c r="H281" s="46">
        <f>IF(A281="","",F281-G281)</f>
        <v/>
      </c>
      <c r="I281" s="41" t="n"/>
      <c r="J281" s="46">
        <f>IF(A281="","",IFERROR(SUMIFS('أوامر التوريد'!$L$5:$L$304,'أوامر التوريد'!$G$5:$G$304,A281)/E281,0))</f>
        <v/>
      </c>
      <c r="K281" s="46">
        <f>IF(A281="","",H281*J281)</f>
        <v/>
      </c>
      <c r="L281" s="49">
        <f>IF(A281="","",IF(H281&lt;0,"رصيد سالب!",IF(AND(I281&lt;&gt;"",H281&lt;=I281),"أعد الطلب","متاح")))</f>
        <v/>
      </c>
    </row>
    <row r="282">
      <c r="A282" s="50" t="n"/>
      <c r="B282" s="49">
        <f>IF(A282="","",IFERROR(INDEX('أوامر التوريد'!$H$5:$H$304,MATCH(A282,'أوامر التوريد'!$G$5:$G$304,0)),""))</f>
        <v/>
      </c>
      <c r="C282" s="39">
        <f>IF(A282="","",IFERROR(INDEX('أوامر التوريد'!$C$5:$C$304,MATCH(A282,'أوامر التوريد'!$G$5:$G$304,0)),""))</f>
        <v/>
      </c>
      <c r="D282" s="39">
        <f>IF(A282="","",IFERROR(INDEX('أوامر التوريد'!$I$5:$I$304,MATCH(A282,'أوامر التوريد'!$G$5:$G$304,0)),""))</f>
        <v/>
      </c>
      <c r="E282" s="46">
        <f>IF(A282="","",SUMIFS('أوامر التوريد'!$J$5:$J$304,'أوامر التوريد'!$G$5:$G$304,A282))</f>
        <v/>
      </c>
      <c r="F282" s="46">
        <f>IF(A282="","",SUMIFS('استلام المواد'!$K$5:$K$304,'استلام المواد'!$F$5:$F$304,A282))</f>
        <v/>
      </c>
      <c r="G282" s="46">
        <f>IF(A282="","",SUMIFS('صرف المواد'!$G$5:$G$304,'صرف المواد'!$C$5:$C$304,A282))</f>
        <v/>
      </c>
      <c r="H282" s="46">
        <f>IF(A282="","",F282-G282)</f>
        <v/>
      </c>
      <c r="I282" s="41" t="n"/>
      <c r="J282" s="46">
        <f>IF(A282="","",IFERROR(SUMIFS('أوامر التوريد'!$L$5:$L$304,'أوامر التوريد'!$G$5:$G$304,A282)/E282,0))</f>
        <v/>
      </c>
      <c r="K282" s="46">
        <f>IF(A282="","",H282*J282)</f>
        <v/>
      </c>
      <c r="L282" s="49">
        <f>IF(A282="","",IF(H282&lt;0,"رصيد سالب!",IF(AND(I282&lt;&gt;"",H282&lt;=I282),"أعد الطلب","متاح")))</f>
        <v/>
      </c>
    </row>
    <row r="283">
      <c r="A283" s="50" t="n"/>
      <c r="B283" s="49">
        <f>IF(A283="","",IFERROR(INDEX('أوامر التوريد'!$H$5:$H$304,MATCH(A283,'أوامر التوريد'!$G$5:$G$304,0)),""))</f>
        <v/>
      </c>
      <c r="C283" s="39">
        <f>IF(A283="","",IFERROR(INDEX('أوامر التوريد'!$C$5:$C$304,MATCH(A283,'أوامر التوريد'!$G$5:$G$304,0)),""))</f>
        <v/>
      </c>
      <c r="D283" s="39">
        <f>IF(A283="","",IFERROR(INDEX('أوامر التوريد'!$I$5:$I$304,MATCH(A283,'أوامر التوريد'!$G$5:$G$304,0)),""))</f>
        <v/>
      </c>
      <c r="E283" s="46">
        <f>IF(A283="","",SUMIFS('أوامر التوريد'!$J$5:$J$304,'أوامر التوريد'!$G$5:$G$304,A283))</f>
        <v/>
      </c>
      <c r="F283" s="46">
        <f>IF(A283="","",SUMIFS('استلام المواد'!$K$5:$K$304,'استلام المواد'!$F$5:$F$304,A283))</f>
        <v/>
      </c>
      <c r="G283" s="46">
        <f>IF(A283="","",SUMIFS('صرف المواد'!$G$5:$G$304,'صرف المواد'!$C$5:$C$304,A283))</f>
        <v/>
      </c>
      <c r="H283" s="46">
        <f>IF(A283="","",F283-G283)</f>
        <v/>
      </c>
      <c r="I283" s="41" t="n"/>
      <c r="J283" s="46">
        <f>IF(A283="","",IFERROR(SUMIFS('أوامر التوريد'!$L$5:$L$304,'أوامر التوريد'!$G$5:$G$304,A283)/E283,0))</f>
        <v/>
      </c>
      <c r="K283" s="46">
        <f>IF(A283="","",H283*J283)</f>
        <v/>
      </c>
      <c r="L283" s="49">
        <f>IF(A283="","",IF(H283&lt;0,"رصيد سالب!",IF(AND(I283&lt;&gt;"",H283&lt;=I283),"أعد الطلب","متاح")))</f>
        <v/>
      </c>
    </row>
    <row r="284">
      <c r="A284" s="50" t="n"/>
      <c r="B284" s="49">
        <f>IF(A284="","",IFERROR(INDEX('أوامر التوريد'!$H$5:$H$304,MATCH(A284,'أوامر التوريد'!$G$5:$G$304,0)),""))</f>
        <v/>
      </c>
      <c r="C284" s="39">
        <f>IF(A284="","",IFERROR(INDEX('أوامر التوريد'!$C$5:$C$304,MATCH(A284,'أوامر التوريد'!$G$5:$G$304,0)),""))</f>
        <v/>
      </c>
      <c r="D284" s="39">
        <f>IF(A284="","",IFERROR(INDEX('أوامر التوريد'!$I$5:$I$304,MATCH(A284,'أوامر التوريد'!$G$5:$G$304,0)),""))</f>
        <v/>
      </c>
      <c r="E284" s="46">
        <f>IF(A284="","",SUMIFS('أوامر التوريد'!$J$5:$J$304,'أوامر التوريد'!$G$5:$G$304,A284))</f>
        <v/>
      </c>
      <c r="F284" s="46">
        <f>IF(A284="","",SUMIFS('استلام المواد'!$K$5:$K$304,'استلام المواد'!$F$5:$F$304,A284))</f>
        <v/>
      </c>
      <c r="G284" s="46">
        <f>IF(A284="","",SUMIFS('صرف المواد'!$G$5:$G$304,'صرف المواد'!$C$5:$C$304,A284))</f>
        <v/>
      </c>
      <c r="H284" s="46">
        <f>IF(A284="","",F284-G284)</f>
        <v/>
      </c>
      <c r="I284" s="41" t="n"/>
      <c r="J284" s="46">
        <f>IF(A284="","",IFERROR(SUMIFS('أوامر التوريد'!$L$5:$L$304,'أوامر التوريد'!$G$5:$G$304,A284)/E284,0))</f>
        <v/>
      </c>
      <c r="K284" s="46">
        <f>IF(A284="","",H284*J284)</f>
        <v/>
      </c>
      <c r="L284" s="49">
        <f>IF(A284="","",IF(H284&lt;0,"رصيد سالب!",IF(AND(I284&lt;&gt;"",H284&lt;=I284),"أعد الطلب","متاح")))</f>
        <v/>
      </c>
    </row>
    <row r="285">
      <c r="A285" s="50" t="n"/>
      <c r="B285" s="49">
        <f>IF(A285="","",IFERROR(INDEX('أوامر التوريد'!$H$5:$H$304,MATCH(A285,'أوامر التوريد'!$G$5:$G$304,0)),""))</f>
        <v/>
      </c>
      <c r="C285" s="39">
        <f>IF(A285="","",IFERROR(INDEX('أوامر التوريد'!$C$5:$C$304,MATCH(A285,'أوامر التوريد'!$G$5:$G$304,0)),""))</f>
        <v/>
      </c>
      <c r="D285" s="39">
        <f>IF(A285="","",IFERROR(INDEX('أوامر التوريد'!$I$5:$I$304,MATCH(A285,'أوامر التوريد'!$G$5:$G$304,0)),""))</f>
        <v/>
      </c>
      <c r="E285" s="46">
        <f>IF(A285="","",SUMIFS('أوامر التوريد'!$J$5:$J$304,'أوامر التوريد'!$G$5:$G$304,A285))</f>
        <v/>
      </c>
      <c r="F285" s="46">
        <f>IF(A285="","",SUMIFS('استلام المواد'!$K$5:$K$304,'استلام المواد'!$F$5:$F$304,A285))</f>
        <v/>
      </c>
      <c r="G285" s="46">
        <f>IF(A285="","",SUMIFS('صرف المواد'!$G$5:$G$304,'صرف المواد'!$C$5:$C$304,A285))</f>
        <v/>
      </c>
      <c r="H285" s="46">
        <f>IF(A285="","",F285-G285)</f>
        <v/>
      </c>
      <c r="I285" s="41" t="n"/>
      <c r="J285" s="46">
        <f>IF(A285="","",IFERROR(SUMIFS('أوامر التوريد'!$L$5:$L$304,'أوامر التوريد'!$G$5:$G$304,A285)/E285,0))</f>
        <v/>
      </c>
      <c r="K285" s="46">
        <f>IF(A285="","",H285*J285)</f>
        <v/>
      </c>
      <c r="L285" s="49">
        <f>IF(A285="","",IF(H285&lt;0,"رصيد سالب!",IF(AND(I285&lt;&gt;"",H285&lt;=I285),"أعد الطلب","متاح")))</f>
        <v/>
      </c>
    </row>
    <row r="286">
      <c r="A286" s="50" t="n"/>
      <c r="B286" s="49">
        <f>IF(A286="","",IFERROR(INDEX('أوامر التوريد'!$H$5:$H$304,MATCH(A286,'أوامر التوريد'!$G$5:$G$304,0)),""))</f>
        <v/>
      </c>
      <c r="C286" s="39">
        <f>IF(A286="","",IFERROR(INDEX('أوامر التوريد'!$C$5:$C$304,MATCH(A286,'أوامر التوريد'!$G$5:$G$304,0)),""))</f>
        <v/>
      </c>
      <c r="D286" s="39">
        <f>IF(A286="","",IFERROR(INDEX('أوامر التوريد'!$I$5:$I$304,MATCH(A286,'أوامر التوريد'!$G$5:$G$304,0)),""))</f>
        <v/>
      </c>
      <c r="E286" s="46">
        <f>IF(A286="","",SUMIFS('أوامر التوريد'!$J$5:$J$304,'أوامر التوريد'!$G$5:$G$304,A286))</f>
        <v/>
      </c>
      <c r="F286" s="46">
        <f>IF(A286="","",SUMIFS('استلام المواد'!$K$5:$K$304,'استلام المواد'!$F$5:$F$304,A286))</f>
        <v/>
      </c>
      <c r="G286" s="46">
        <f>IF(A286="","",SUMIFS('صرف المواد'!$G$5:$G$304,'صرف المواد'!$C$5:$C$304,A286))</f>
        <v/>
      </c>
      <c r="H286" s="46">
        <f>IF(A286="","",F286-G286)</f>
        <v/>
      </c>
      <c r="I286" s="41" t="n"/>
      <c r="J286" s="46">
        <f>IF(A286="","",IFERROR(SUMIFS('أوامر التوريد'!$L$5:$L$304,'أوامر التوريد'!$G$5:$G$304,A286)/E286,0))</f>
        <v/>
      </c>
      <c r="K286" s="46">
        <f>IF(A286="","",H286*J286)</f>
        <v/>
      </c>
      <c r="L286" s="49">
        <f>IF(A286="","",IF(H286&lt;0,"رصيد سالب!",IF(AND(I286&lt;&gt;"",H286&lt;=I286),"أعد الطلب","متاح")))</f>
        <v/>
      </c>
    </row>
    <row r="287">
      <c r="A287" s="50" t="n"/>
      <c r="B287" s="49">
        <f>IF(A287="","",IFERROR(INDEX('أوامر التوريد'!$H$5:$H$304,MATCH(A287,'أوامر التوريد'!$G$5:$G$304,0)),""))</f>
        <v/>
      </c>
      <c r="C287" s="39">
        <f>IF(A287="","",IFERROR(INDEX('أوامر التوريد'!$C$5:$C$304,MATCH(A287,'أوامر التوريد'!$G$5:$G$304,0)),""))</f>
        <v/>
      </c>
      <c r="D287" s="39">
        <f>IF(A287="","",IFERROR(INDEX('أوامر التوريد'!$I$5:$I$304,MATCH(A287,'أوامر التوريد'!$G$5:$G$304,0)),""))</f>
        <v/>
      </c>
      <c r="E287" s="46">
        <f>IF(A287="","",SUMIFS('أوامر التوريد'!$J$5:$J$304,'أوامر التوريد'!$G$5:$G$304,A287))</f>
        <v/>
      </c>
      <c r="F287" s="46">
        <f>IF(A287="","",SUMIFS('استلام المواد'!$K$5:$K$304,'استلام المواد'!$F$5:$F$304,A287))</f>
        <v/>
      </c>
      <c r="G287" s="46">
        <f>IF(A287="","",SUMIFS('صرف المواد'!$G$5:$G$304,'صرف المواد'!$C$5:$C$304,A287))</f>
        <v/>
      </c>
      <c r="H287" s="46">
        <f>IF(A287="","",F287-G287)</f>
        <v/>
      </c>
      <c r="I287" s="41" t="n"/>
      <c r="J287" s="46">
        <f>IF(A287="","",IFERROR(SUMIFS('أوامر التوريد'!$L$5:$L$304,'أوامر التوريد'!$G$5:$G$304,A287)/E287,0))</f>
        <v/>
      </c>
      <c r="K287" s="46">
        <f>IF(A287="","",H287*J287)</f>
        <v/>
      </c>
      <c r="L287" s="49">
        <f>IF(A287="","",IF(H287&lt;0,"رصيد سالب!",IF(AND(I287&lt;&gt;"",H287&lt;=I287),"أعد الطلب","متاح")))</f>
        <v/>
      </c>
    </row>
    <row r="288">
      <c r="A288" s="50" t="n"/>
      <c r="B288" s="49">
        <f>IF(A288="","",IFERROR(INDEX('أوامر التوريد'!$H$5:$H$304,MATCH(A288,'أوامر التوريد'!$G$5:$G$304,0)),""))</f>
        <v/>
      </c>
      <c r="C288" s="39">
        <f>IF(A288="","",IFERROR(INDEX('أوامر التوريد'!$C$5:$C$304,MATCH(A288,'أوامر التوريد'!$G$5:$G$304,0)),""))</f>
        <v/>
      </c>
      <c r="D288" s="39">
        <f>IF(A288="","",IFERROR(INDEX('أوامر التوريد'!$I$5:$I$304,MATCH(A288,'أوامر التوريد'!$G$5:$G$304,0)),""))</f>
        <v/>
      </c>
      <c r="E288" s="46">
        <f>IF(A288="","",SUMIFS('أوامر التوريد'!$J$5:$J$304,'أوامر التوريد'!$G$5:$G$304,A288))</f>
        <v/>
      </c>
      <c r="F288" s="46">
        <f>IF(A288="","",SUMIFS('استلام المواد'!$K$5:$K$304,'استلام المواد'!$F$5:$F$304,A288))</f>
        <v/>
      </c>
      <c r="G288" s="46">
        <f>IF(A288="","",SUMIFS('صرف المواد'!$G$5:$G$304,'صرف المواد'!$C$5:$C$304,A288))</f>
        <v/>
      </c>
      <c r="H288" s="46">
        <f>IF(A288="","",F288-G288)</f>
        <v/>
      </c>
      <c r="I288" s="41" t="n"/>
      <c r="J288" s="46">
        <f>IF(A288="","",IFERROR(SUMIFS('أوامر التوريد'!$L$5:$L$304,'أوامر التوريد'!$G$5:$G$304,A288)/E288,0))</f>
        <v/>
      </c>
      <c r="K288" s="46">
        <f>IF(A288="","",H288*J288)</f>
        <v/>
      </c>
      <c r="L288" s="49">
        <f>IF(A288="","",IF(H288&lt;0,"رصيد سالب!",IF(AND(I288&lt;&gt;"",H288&lt;=I288),"أعد الطلب","متاح")))</f>
        <v/>
      </c>
    </row>
    <row r="289">
      <c r="A289" s="50" t="n"/>
      <c r="B289" s="49">
        <f>IF(A289="","",IFERROR(INDEX('أوامر التوريد'!$H$5:$H$304,MATCH(A289,'أوامر التوريد'!$G$5:$G$304,0)),""))</f>
        <v/>
      </c>
      <c r="C289" s="39">
        <f>IF(A289="","",IFERROR(INDEX('أوامر التوريد'!$C$5:$C$304,MATCH(A289,'أوامر التوريد'!$G$5:$G$304,0)),""))</f>
        <v/>
      </c>
      <c r="D289" s="39">
        <f>IF(A289="","",IFERROR(INDEX('أوامر التوريد'!$I$5:$I$304,MATCH(A289,'أوامر التوريد'!$G$5:$G$304,0)),""))</f>
        <v/>
      </c>
      <c r="E289" s="46">
        <f>IF(A289="","",SUMIFS('أوامر التوريد'!$J$5:$J$304,'أوامر التوريد'!$G$5:$G$304,A289))</f>
        <v/>
      </c>
      <c r="F289" s="46">
        <f>IF(A289="","",SUMIFS('استلام المواد'!$K$5:$K$304,'استلام المواد'!$F$5:$F$304,A289))</f>
        <v/>
      </c>
      <c r="G289" s="46">
        <f>IF(A289="","",SUMIFS('صرف المواد'!$G$5:$G$304,'صرف المواد'!$C$5:$C$304,A289))</f>
        <v/>
      </c>
      <c r="H289" s="46">
        <f>IF(A289="","",F289-G289)</f>
        <v/>
      </c>
      <c r="I289" s="41" t="n"/>
      <c r="J289" s="46">
        <f>IF(A289="","",IFERROR(SUMIFS('أوامر التوريد'!$L$5:$L$304,'أوامر التوريد'!$G$5:$G$304,A289)/E289,0))</f>
        <v/>
      </c>
      <c r="K289" s="46">
        <f>IF(A289="","",H289*J289)</f>
        <v/>
      </c>
      <c r="L289" s="49">
        <f>IF(A289="","",IF(H289&lt;0,"رصيد سالب!",IF(AND(I289&lt;&gt;"",H289&lt;=I289),"أعد الطلب","متاح")))</f>
        <v/>
      </c>
    </row>
    <row r="290">
      <c r="A290" s="50" t="n"/>
      <c r="B290" s="49">
        <f>IF(A290="","",IFERROR(INDEX('أوامر التوريد'!$H$5:$H$304,MATCH(A290,'أوامر التوريد'!$G$5:$G$304,0)),""))</f>
        <v/>
      </c>
      <c r="C290" s="39">
        <f>IF(A290="","",IFERROR(INDEX('أوامر التوريد'!$C$5:$C$304,MATCH(A290,'أوامر التوريد'!$G$5:$G$304,0)),""))</f>
        <v/>
      </c>
      <c r="D290" s="39">
        <f>IF(A290="","",IFERROR(INDEX('أوامر التوريد'!$I$5:$I$304,MATCH(A290,'أوامر التوريد'!$G$5:$G$304,0)),""))</f>
        <v/>
      </c>
      <c r="E290" s="46">
        <f>IF(A290="","",SUMIFS('أوامر التوريد'!$J$5:$J$304,'أوامر التوريد'!$G$5:$G$304,A290))</f>
        <v/>
      </c>
      <c r="F290" s="46">
        <f>IF(A290="","",SUMIFS('استلام المواد'!$K$5:$K$304,'استلام المواد'!$F$5:$F$304,A290))</f>
        <v/>
      </c>
      <c r="G290" s="46">
        <f>IF(A290="","",SUMIFS('صرف المواد'!$G$5:$G$304,'صرف المواد'!$C$5:$C$304,A290))</f>
        <v/>
      </c>
      <c r="H290" s="46">
        <f>IF(A290="","",F290-G290)</f>
        <v/>
      </c>
      <c r="I290" s="41" t="n"/>
      <c r="J290" s="46">
        <f>IF(A290="","",IFERROR(SUMIFS('أوامر التوريد'!$L$5:$L$304,'أوامر التوريد'!$G$5:$G$304,A290)/E290,0))</f>
        <v/>
      </c>
      <c r="K290" s="46">
        <f>IF(A290="","",H290*J290)</f>
        <v/>
      </c>
      <c r="L290" s="49">
        <f>IF(A290="","",IF(H290&lt;0,"رصيد سالب!",IF(AND(I290&lt;&gt;"",H290&lt;=I290),"أعد الطلب","متاح")))</f>
        <v/>
      </c>
    </row>
    <row r="291">
      <c r="A291" s="50" t="n"/>
      <c r="B291" s="49">
        <f>IF(A291="","",IFERROR(INDEX('أوامر التوريد'!$H$5:$H$304,MATCH(A291,'أوامر التوريد'!$G$5:$G$304,0)),""))</f>
        <v/>
      </c>
      <c r="C291" s="39">
        <f>IF(A291="","",IFERROR(INDEX('أوامر التوريد'!$C$5:$C$304,MATCH(A291,'أوامر التوريد'!$G$5:$G$304,0)),""))</f>
        <v/>
      </c>
      <c r="D291" s="39">
        <f>IF(A291="","",IFERROR(INDEX('أوامر التوريد'!$I$5:$I$304,MATCH(A291,'أوامر التوريد'!$G$5:$G$304,0)),""))</f>
        <v/>
      </c>
      <c r="E291" s="46">
        <f>IF(A291="","",SUMIFS('أوامر التوريد'!$J$5:$J$304,'أوامر التوريد'!$G$5:$G$304,A291))</f>
        <v/>
      </c>
      <c r="F291" s="46">
        <f>IF(A291="","",SUMIFS('استلام المواد'!$K$5:$K$304,'استلام المواد'!$F$5:$F$304,A291))</f>
        <v/>
      </c>
      <c r="G291" s="46">
        <f>IF(A291="","",SUMIFS('صرف المواد'!$G$5:$G$304,'صرف المواد'!$C$5:$C$304,A291))</f>
        <v/>
      </c>
      <c r="H291" s="46">
        <f>IF(A291="","",F291-G291)</f>
        <v/>
      </c>
      <c r="I291" s="41" t="n"/>
      <c r="J291" s="46">
        <f>IF(A291="","",IFERROR(SUMIFS('أوامر التوريد'!$L$5:$L$304,'أوامر التوريد'!$G$5:$G$304,A291)/E291,0))</f>
        <v/>
      </c>
      <c r="K291" s="46">
        <f>IF(A291="","",H291*J291)</f>
        <v/>
      </c>
      <c r="L291" s="49">
        <f>IF(A291="","",IF(H291&lt;0,"رصيد سالب!",IF(AND(I291&lt;&gt;"",H291&lt;=I291),"أعد الطلب","متاح")))</f>
        <v/>
      </c>
    </row>
    <row r="292">
      <c r="A292" s="50" t="n"/>
      <c r="B292" s="49">
        <f>IF(A292="","",IFERROR(INDEX('أوامر التوريد'!$H$5:$H$304,MATCH(A292,'أوامر التوريد'!$G$5:$G$304,0)),""))</f>
        <v/>
      </c>
      <c r="C292" s="39">
        <f>IF(A292="","",IFERROR(INDEX('أوامر التوريد'!$C$5:$C$304,MATCH(A292,'أوامر التوريد'!$G$5:$G$304,0)),""))</f>
        <v/>
      </c>
      <c r="D292" s="39">
        <f>IF(A292="","",IFERROR(INDEX('أوامر التوريد'!$I$5:$I$304,MATCH(A292,'أوامر التوريد'!$G$5:$G$304,0)),""))</f>
        <v/>
      </c>
      <c r="E292" s="46">
        <f>IF(A292="","",SUMIFS('أوامر التوريد'!$J$5:$J$304,'أوامر التوريد'!$G$5:$G$304,A292))</f>
        <v/>
      </c>
      <c r="F292" s="46">
        <f>IF(A292="","",SUMIFS('استلام المواد'!$K$5:$K$304,'استلام المواد'!$F$5:$F$304,A292))</f>
        <v/>
      </c>
      <c r="G292" s="46">
        <f>IF(A292="","",SUMIFS('صرف المواد'!$G$5:$G$304,'صرف المواد'!$C$5:$C$304,A292))</f>
        <v/>
      </c>
      <c r="H292" s="46">
        <f>IF(A292="","",F292-G292)</f>
        <v/>
      </c>
      <c r="I292" s="41" t="n"/>
      <c r="J292" s="46">
        <f>IF(A292="","",IFERROR(SUMIFS('أوامر التوريد'!$L$5:$L$304,'أوامر التوريد'!$G$5:$G$304,A292)/E292,0))</f>
        <v/>
      </c>
      <c r="K292" s="46">
        <f>IF(A292="","",H292*J292)</f>
        <v/>
      </c>
      <c r="L292" s="49">
        <f>IF(A292="","",IF(H292&lt;0,"رصيد سالب!",IF(AND(I292&lt;&gt;"",H292&lt;=I292),"أعد الطلب","متاح")))</f>
        <v/>
      </c>
    </row>
    <row r="293">
      <c r="A293" s="50" t="n"/>
      <c r="B293" s="49">
        <f>IF(A293="","",IFERROR(INDEX('أوامر التوريد'!$H$5:$H$304,MATCH(A293,'أوامر التوريد'!$G$5:$G$304,0)),""))</f>
        <v/>
      </c>
      <c r="C293" s="39">
        <f>IF(A293="","",IFERROR(INDEX('أوامر التوريد'!$C$5:$C$304,MATCH(A293,'أوامر التوريد'!$G$5:$G$304,0)),""))</f>
        <v/>
      </c>
      <c r="D293" s="39">
        <f>IF(A293="","",IFERROR(INDEX('أوامر التوريد'!$I$5:$I$304,MATCH(A293,'أوامر التوريد'!$G$5:$G$304,0)),""))</f>
        <v/>
      </c>
      <c r="E293" s="46">
        <f>IF(A293="","",SUMIFS('أوامر التوريد'!$J$5:$J$304,'أوامر التوريد'!$G$5:$G$304,A293))</f>
        <v/>
      </c>
      <c r="F293" s="46">
        <f>IF(A293="","",SUMIFS('استلام المواد'!$K$5:$K$304,'استلام المواد'!$F$5:$F$304,A293))</f>
        <v/>
      </c>
      <c r="G293" s="46">
        <f>IF(A293="","",SUMIFS('صرف المواد'!$G$5:$G$304,'صرف المواد'!$C$5:$C$304,A293))</f>
        <v/>
      </c>
      <c r="H293" s="46">
        <f>IF(A293="","",F293-G293)</f>
        <v/>
      </c>
      <c r="I293" s="41" t="n"/>
      <c r="J293" s="46">
        <f>IF(A293="","",IFERROR(SUMIFS('أوامر التوريد'!$L$5:$L$304,'أوامر التوريد'!$G$5:$G$304,A293)/E293,0))</f>
        <v/>
      </c>
      <c r="K293" s="46">
        <f>IF(A293="","",H293*J293)</f>
        <v/>
      </c>
      <c r="L293" s="49">
        <f>IF(A293="","",IF(H293&lt;0,"رصيد سالب!",IF(AND(I293&lt;&gt;"",H293&lt;=I293),"أعد الطلب","متاح")))</f>
        <v/>
      </c>
    </row>
    <row r="294">
      <c r="A294" s="50" t="n"/>
      <c r="B294" s="49">
        <f>IF(A294="","",IFERROR(INDEX('أوامر التوريد'!$H$5:$H$304,MATCH(A294,'أوامر التوريد'!$G$5:$G$304,0)),""))</f>
        <v/>
      </c>
      <c r="C294" s="39">
        <f>IF(A294="","",IFERROR(INDEX('أوامر التوريد'!$C$5:$C$304,MATCH(A294,'أوامر التوريد'!$G$5:$G$304,0)),""))</f>
        <v/>
      </c>
      <c r="D294" s="39">
        <f>IF(A294="","",IFERROR(INDEX('أوامر التوريد'!$I$5:$I$304,MATCH(A294,'أوامر التوريد'!$G$5:$G$304,0)),""))</f>
        <v/>
      </c>
      <c r="E294" s="46">
        <f>IF(A294="","",SUMIFS('أوامر التوريد'!$J$5:$J$304,'أوامر التوريد'!$G$5:$G$304,A294))</f>
        <v/>
      </c>
      <c r="F294" s="46">
        <f>IF(A294="","",SUMIFS('استلام المواد'!$K$5:$K$304,'استلام المواد'!$F$5:$F$304,A294))</f>
        <v/>
      </c>
      <c r="G294" s="46">
        <f>IF(A294="","",SUMIFS('صرف المواد'!$G$5:$G$304,'صرف المواد'!$C$5:$C$304,A294))</f>
        <v/>
      </c>
      <c r="H294" s="46">
        <f>IF(A294="","",F294-G294)</f>
        <v/>
      </c>
      <c r="I294" s="41" t="n"/>
      <c r="J294" s="46">
        <f>IF(A294="","",IFERROR(SUMIFS('أوامر التوريد'!$L$5:$L$304,'أوامر التوريد'!$G$5:$G$304,A294)/E294,0))</f>
        <v/>
      </c>
      <c r="K294" s="46">
        <f>IF(A294="","",H294*J294)</f>
        <v/>
      </c>
      <c r="L294" s="49">
        <f>IF(A294="","",IF(H294&lt;0,"رصيد سالب!",IF(AND(I294&lt;&gt;"",H294&lt;=I294),"أعد الطلب","متاح")))</f>
        <v/>
      </c>
    </row>
    <row r="295">
      <c r="A295" s="50" t="n"/>
      <c r="B295" s="49">
        <f>IF(A295="","",IFERROR(INDEX('أوامر التوريد'!$H$5:$H$304,MATCH(A295,'أوامر التوريد'!$G$5:$G$304,0)),""))</f>
        <v/>
      </c>
      <c r="C295" s="39">
        <f>IF(A295="","",IFERROR(INDEX('أوامر التوريد'!$C$5:$C$304,MATCH(A295,'أوامر التوريد'!$G$5:$G$304,0)),""))</f>
        <v/>
      </c>
      <c r="D295" s="39">
        <f>IF(A295="","",IFERROR(INDEX('أوامر التوريد'!$I$5:$I$304,MATCH(A295,'أوامر التوريد'!$G$5:$G$304,0)),""))</f>
        <v/>
      </c>
      <c r="E295" s="46">
        <f>IF(A295="","",SUMIFS('أوامر التوريد'!$J$5:$J$304,'أوامر التوريد'!$G$5:$G$304,A295))</f>
        <v/>
      </c>
      <c r="F295" s="46">
        <f>IF(A295="","",SUMIFS('استلام المواد'!$K$5:$K$304,'استلام المواد'!$F$5:$F$304,A295))</f>
        <v/>
      </c>
      <c r="G295" s="46">
        <f>IF(A295="","",SUMIFS('صرف المواد'!$G$5:$G$304,'صرف المواد'!$C$5:$C$304,A295))</f>
        <v/>
      </c>
      <c r="H295" s="46">
        <f>IF(A295="","",F295-G295)</f>
        <v/>
      </c>
      <c r="I295" s="41" t="n"/>
      <c r="J295" s="46">
        <f>IF(A295="","",IFERROR(SUMIFS('أوامر التوريد'!$L$5:$L$304,'أوامر التوريد'!$G$5:$G$304,A295)/E295,0))</f>
        <v/>
      </c>
      <c r="K295" s="46">
        <f>IF(A295="","",H295*J295)</f>
        <v/>
      </c>
      <c r="L295" s="49">
        <f>IF(A295="","",IF(H295&lt;0,"رصيد سالب!",IF(AND(I295&lt;&gt;"",H295&lt;=I295),"أعد الطلب","متاح")))</f>
        <v/>
      </c>
    </row>
    <row r="296">
      <c r="A296" s="50" t="n"/>
      <c r="B296" s="49">
        <f>IF(A296="","",IFERROR(INDEX('أوامر التوريد'!$H$5:$H$304,MATCH(A296,'أوامر التوريد'!$G$5:$G$304,0)),""))</f>
        <v/>
      </c>
      <c r="C296" s="39">
        <f>IF(A296="","",IFERROR(INDEX('أوامر التوريد'!$C$5:$C$304,MATCH(A296,'أوامر التوريد'!$G$5:$G$304,0)),""))</f>
        <v/>
      </c>
      <c r="D296" s="39">
        <f>IF(A296="","",IFERROR(INDEX('أوامر التوريد'!$I$5:$I$304,MATCH(A296,'أوامر التوريد'!$G$5:$G$304,0)),""))</f>
        <v/>
      </c>
      <c r="E296" s="46">
        <f>IF(A296="","",SUMIFS('أوامر التوريد'!$J$5:$J$304,'أوامر التوريد'!$G$5:$G$304,A296))</f>
        <v/>
      </c>
      <c r="F296" s="46">
        <f>IF(A296="","",SUMIFS('استلام المواد'!$K$5:$K$304,'استلام المواد'!$F$5:$F$304,A296))</f>
        <v/>
      </c>
      <c r="G296" s="46">
        <f>IF(A296="","",SUMIFS('صرف المواد'!$G$5:$G$304,'صرف المواد'!$C$5:$C$304,A296))</f>
        <v/>
      </c>
      <c r="H296" s="46">
        <f>IF(A296="","",F296-G296)</f>
        <v/>
      </c>
      <c r="I296" s="41" t="n"/>
      <c r="J296" s="46">
        <f>IF(A296="","",IFERROR(SUMIFS('أوامر التوريد'!$L$5:$L$304,'أوامر التوريد'!$G$5:$G$304,A296)/E296,0))</f>
        <v/>
      </c>
      <c r="K296" s="46">
        <f>IF(A296="","",H296*J296)</f>
        <v/>
      </c>
      <c r="L296" s="49">
        <f>IF(A296="","",IF(H296&lt;0,"رصيد سالب!",IF(AND(I296&lt;&gt;"",H296&lt;=I296),"أعد الطلب","متاح")))</f>
        <v/>
      </c>
    </row>
    <row r="297">
      <c r="A297" s="50" t="n"/>
      <c r="B297" s="49">
        <f>IF(A297="","",IFERROR(INDEX('أوامر التوريد'!$H$5:$H$304,MATCH(A297,'أوامر التوريد'!$G$5:$G$304,0)),""))</f>
        <v/>
      </c>
      <c r="C297" s="39">
        <f>IF(A297="","",IFERROR(INDEX('أوامر التوريد'!$C$5:$C$304,MATCH(A297,'أوامر التوريد'!$G$5:$G$304,0)),""))</f>
        <v/>
      </c>
      <c r="D297" s="39">
        <f>IF(A297="","",IFERROR(INDEX('أوامر التوريد'!$I$5:$I$304,MATCH(A297,'أوامر التوريد'!$G$5:$G$304,0)),""))</f>
        <v/>
      </c>
      <c r="E297" s="46">
        <f>IF(A297="","",SUMIFS('أوامر التوريد'!$J$5:$J$304,'أوامر التوريد'!$G$5:$G$304,A297))</f>
        <v/>
      </c>
      <c r="F297" s="46">
        <f>IF(A297="","",SUMIFS('استلام المواد'!$K$5:$K$304,'استلام المواد'!$F$5:$F$304,A297))</f>
        <v/>
      </c>
      <c r="G297" s="46">
        <f>IF(A297="","",SUMIFS('صرف المواد'!$G$5:$G$304,'صرف المواد'!$C$5:$C$304,A297))</f>
        <v/>
      </c>
      <c r="H297" s="46">
        <f>IF(A297="","",F297-G297)</f>
        <v/>
      </c>
      <c r="I297" s="41" t="n"/>
      <c r="J297" s="46">
        <f>IF(A297="","",IFERROR(SUMIFS('أوامر التوريد'!$L$5:$L$304,'أوامر التوريد'!$G$5:$G$304,A297)/E297,0))</f>
        <v/>
      </c>
      <c r="K297" s="46">
        <f>IF(A297="","",H297*J297)</f>
        <v/>
      </c>
      <c r="L297" s="49">
        <f>IF(A297="","",IF(H297&lt;0,"رصيد سالب!",IF(AND(I297&lt;&gt;"",H297&lt;=I297),"أعد الطلب","متاح")))</f>
        <v/>
      </c>
    </row>
    <row r="298">
      <c r="A298" s="50" t="n"/>
      <c r="B298" s="49">
        <f>IF(A298="","",IFERROR(INDEX('أوامر التوريد'!$H$5:$H$304,MATCH(A298,'أوامر التوريد'!$G$5:$G$304,0)),""))</f>
        <v/>
      </c>
      <c r="C298" s="39">
        <f>IF(A298="","",IFERROR(INDEX('أوامر التوريد'!$C$5:$C$304,MATCH(A298,'أوامر التوريد'!$G$5:$G$304,0)),""))</f>
        <v/>
      </c>
      <c r="D298" s="39">
        <f>IF(A298="","",IFERROR(INDEX('أوامر التوريد'!$I$5:$I$304,MATCH(A298,'أوامر التوريد'!$G$5:$G$304,0)),""))</f>
        <v/>
      </c>
      <c r="E298" s="46">
        <f>IF(A298="","",SUMIFS('أوامر التوريد'!$J$5:$J$304,'أوامر التوريد'!$G$5:$G$304,A298))</f>
        <v/>
      </c>
      <c r="F298" s="46">
        <f>IF(A298="","",SUMIFS('استلام المواد'!$K$5:$K$304,'استلام المواد'!$F$5:$F$304,A298))</f>
        <v/>
      </c>
      <c r="G298" s="46">
        <f>IF(A298="","",SUMIFS('صرف المواد'!$G$5:$G$304,'صرف المواد'!$C$5:$C$304,A298))</f>
        <v/>
      </c>
      <c r="H298" s="46">
        <f>IF(A298="","",F298-G298)</f>
        <v/>
      </c>
      <c r="I298" s="41" t="n"/>
      <c r="J298" s="46">
        <f>IF(A298="","",IFERROR(SUMIFS('أوامر التوريد'!$L$5:$L$304,'أوامر التوريد'!$G$5:$G$304,A298)/E298,0))</f>
        <v/>
      </c>
      <c r="K298" s="46">
        <f>IF(A298="","",H298*J298)</f>
        <v/>
      </c>
      <c r="L298" s="49">
        <f>IF(A298="","",IF(H298&lt;0,"رصيد سالب!",IF(AND(I298&lt;&gt;"",H298&lt;=I298),"أعد الطلب","متاح")))</f>
        <v/>
      </c>
    </row>
    <row r="299">
      <c r="A299" s="50" t="n"/>
      <c r="B299" s="49">
        <f>IF(A299="","",IFERROR(INDEX('أوامر التوريد'!$H$5:$H$304,MATCH(A299,'أوامر التوريد'!$G$5:$G$304,0)),""))</f>
        <v/>
      </c>
      <c r="C299" s="39">
        <f>IF(A299="","",IFERROR(INDEX('أوامر التوريد'!$C$5:$C$304,MATCH(A299,'أوامر التوريد'!$G$5:$G$304,0)),""))</f>
        <v/>
      </c>
      <c r="D299" s="39">
        <f>IF(A299="","",IFERROR(INDEX('أوامر التوريد'!$I$5:$I$304,MATCH(A299,'أوامر التوريد'!$G$5:$G$304,0)),""))</f>
        <v/>
      </c>
      <c r="E299" s="46">
        <f>IF(A299="","",SUMIFS('أوامر التوريد'!$J$5:$J$304,'أوامر التوريد'!$G$5:$G$304,A299))</f>
        <v/>
      </c>
      <c r="F299" s="46">
        <f>IF(A299="","",SUMIFS('استلام المواد'!$K$5:$K$304,'استلام المواد'!$F$5:$F$304,A299))</f>
        <v/>
      </c>
      <c r="G299" s="46">
        <f>IF(A299="","",SUMIFS('صرف المواد'!$G$5:$G$304,'صرف المواد'!$C$5:$C$304,A299))</f>
        <v/>
      </c>
      <c r="H299" s="46">
        <f>IF(A299="","",F299-G299)</f>
        <v/>
      </c>
      <c r="I299" s="41" t="n"/>
      <c r="J299" s="46">
        <f>IF(A299="","",IFERROR(SUMIFS('أوامر التوريد'!$L$5:$L$304,'أوامر التوريد'!$G$5:$G$304,A299)/E299,0))</f>
        <v/>
      </c>
      <c r="K299" s="46">
        <f>IF(A299="","",H299*J299)</f>
        <v/>
      </c>
      <c r="L299" s="49">
        <f>IF(A299="","",IF(H299&lt;0,"رصيد سالب!",IF(AND(I299&lt;&gt;"",H299&lt;=I299),"أعد الطلب","متاح")))</f>
        <v/>
      </c>
    </row>
    <row r="300">
      <c r="A300" s="50" t="n"/>
      <c r="B300" s="49">
        <f>IF(A300="","",IFERROR(INDEX('أوامر التوريد'!$H$5:$H$304,MATCH(A300,'أوامر التوريد'!$G$5:$G$304,0)),""))</f>
        <v/>
      </c>
      <c r="C300" s="39">
        <f>IF(A300="","",IFERROR(INDEX('أوامر التوريد'!$C$5:$C$304,MATCH(A300,'أوامر التوريد'!$G$5:$G$304,0)),""))</f>
        <v/>
      </c>
      <c r="D300" s="39">
        <f>IF(A300="","",IFERROR(INDEX('أوامر التوريد'!$I$5:$I$304,MATCH(A300,'أوامر التوريد'!$G$5:$G$304,0)),""))</f>
        <v/>
      </c>
      <c r="E300" s="46">
        <f>IF(A300="","",SUMIFS('أوامر التوريد'!$J$5:$J$304,'أوامر التوريد'!$G$5:$G$304,A300))</f>
        <v/>
      </c>
      <c r="F300" s="46">
        <f>IF(A300="","",SUMIFS('استلام المواد'!$K$5:$K$304,'استلام المواد'!$F$5:$F$304,A300))</f>
        <v/>
      </c>
      <c r="G300" s="46">
        <f>IF(A300="","",SUMIFS('صرف المواد'!$G$5:$G$304,'صرف المواد'!$C$5:$C$304,A300))</f>
        <v/>
      </c>
      <c r="H300" s="46">
        <f>IF(A300="","",F300-G300)</f>
        <v/>
      </c>
      <c r="I300" s="41" t="n"/>
      <c r="J300" s="46">
        <f>IF(A300="","",IFERROR(SUMIFS('أوامر التوريد'!$L$5:$L$304,'أوامر التوريد'!$G$5:$G$304,A300)/E300,0))</f>
        <v/>
      </c>
      <c r="K300" s="46">
        <f>IF(A300="","",H300*J300)</f>
        <v/>
      </c>
      <c r="L300" s="49">
        <f>IF(A300="","",IF(H300&lt;0,"رصيد سالب!",IF(AND(I300&lt;&gt;"",H300&lt;=I300),"أعد الطلب","متاح")))</f>
        <v/>
      </c>
    </row>
    <row r="301">
      <c r="A301" s="50" t="n"/>
      <c r="B301" s="49">
        <f>IF(A301="","",IFERROR(INDEX('أوامر التوريد'!$H$5:$H$304,MATCH(A301,'أوامر التوريد'!$G$5:$G$304,0)),""))</f>
        <v/>
      </c>
      <c r="C301" s="39">
        <f>IF(A301="","",IFERROR(INDEX('أوامر التوريد'!$C$5:$C$304,MATCH(A301,'أوامر التوريد'!$G$5:$G$304,0)),""))</f>
        <v/>
      </c>
      <c r="D301" s="39">
        <f>IF(A301="","",IFERROR(INDEX('أوامر التوريد'!$I$5:$I$304,MATCH(A301,'أوامر التوريد'!$G$5:$G$304,0)),""))</f>
        <v/>
      </c>
      <c r="E301" s="46">
        <f>IF(A301="","",SUMIFS('أوامر التوريد'!$J$5:$J$304,'أوامر التوريد'!$G$5:$G$304,A301))</f>
        <v/>
      </c>
      <c r="F301" s="46">
        <f>IF(A301="","",SUMIFS('استلام المواد'!$K$5:$K$304,'استلام المواد'!$F$5:$F$304,A301))</f>
        <v/>
      </c>
      <c r="G301" s="46">
        <f>IF(A301="","",SUMIFS('صرف المواد'!$G$5:$G$304,'صرف المواد'!$C$5:$C$304,A301))</f>
        <v/>
      </c>
      <c r="H301" s="46">
        <f>IF(A301="","",F301-G301)</f>
        <v/>
      </c>
      <c r="I301" s="41" t="n"/>
      <c r="J301" s="46">
        <f>IF(A301="","",IFERROR(SUMIFS('أوامر التوريد'!$L$5:$L$304,'أوامر التوريد'!$G$5:$G$304,A301)/E301,0))</f>
        <v/>
      </c>
      <c r="K301" s="46">
        <f>IF(A301="","",H301*J301)</f>
        <v/>
      </c>
      <c r="L301" s="49">
        <f>IF(A301="","",IF(H301&lt;0,"رصيد سالب!",IF(AND(I301&lt;&gt;"",H301&lt;=I301),"أعد الطلب","متاح")))</f>
        <v/>
      </c>
    </row>
    <row r="302">
      <c r="A302" s="50" t="n"/>
      <c r="B302" s="49">
        <f>IF(A302="","",IFERROR(INDEX('أوامر التوريد'!$H$5:$H$304,MATCH(A302,'أوامر التوريد'!$G$5:$G$304,0)),""))</f>
        <v/>
      </c>
      <c r="C302" s="39">
        <f>IF(A302="","",IFERROR(INDEX('أوامر التوريد'!$C$5:$C$304,MATCH(A302,'أوامر التوريد'!$G$5:$G$304,0)),""))</f>
        <v/>
      </c>
      <c r="D302" s="39">
        <f>IF(A302="","",IFERROR(INDEX('أوامر التوريد'!$I$5:$I$304,MATCH(A302,'أوامر التوريد'!$G$5:$G$304,0)),""))</f>
        <v/>
      </c>
      <c r="E302" s="46">
        <f>IF(A302="","",SUMIFS('أوامر التوريد'!$J$5:$J$304,'أوامر التوريد'!$G$5:$G$304,A302))</f>
        <v/>
      </c>
      <c r="F302" s="46">
        <f>IF(A302="","",SUMIFS('استلام المواد'!$K$5:$K$304,'استلام المواد'!$F$5:$F$304,A302))</f>
        <v/>
      </c>
      <c r="G302" s="46">
        <f>IF(A302="","",SUMIFS('صرف المواد'!$G$5:$G$304,'صرف المواد'!$C$5:$C$304,A302))</f>
        <v/>
      </c>
      <c r="H302" s="46">
        <f>IF(A302="","",F302-G302)</f>
        <v/>
      </c>
      <c r="I302" s="41" t="n"/>
      <c r="J302" s="46">
        <f>IF(A302="","",IFERROR(SUMIFS('أوامر التوريد'!$L$5:$L$304,'أوامر التوريد'!$G$5:$G$304,A302)/E302,0))</f>
        <v/>
      </c>
      <c r="K302" s="46">
        <f>IF(A302="","",H302*J302)</f>
        <v/>
      </c>
      <c r="L302" s="49">
        <f>IF(A302="","",IF(H302&lt;0,"رصيد سالب!",IF(AND(I302&lt;&gt;"",H302&lt;=I302),"أعد الطلب","متاح")))</f>
        <v/>
      </c>
    </row>
    <row r="303">
      <c r="A303" s="50" t="n"/>
      <c r="B303" s="49">
        <f>IF(A303="","",IFERROR(INDEX('أوامر التوريد'!$H$5:$H$304,MATCH(A303,'أوامر التوريد'!$G$5:$G$304,0)),""))</f>
        <v/>
      </c>
      <c r="C303" s="39">
        <f>IF(A303="","",IFERROR(INDEX('أوامر التوريد'!$C$5:$C$304,MATCH(A303,'أوامر التوريد'!$G$5:$G$304,0)),""))</f>
        <v/>
      </c>
      <c r="D303" s="39">
        <f>IF(A303="","",IFERROR(INDEX('أوامر التوريد'!$I$5:$I$304,MATCH(A303,'أوامر التوريد'!$G$5:$G$304,0)),""))</f>
        <v/>
      </c>
      <c r="E303" s="46">
        <f>IF(A303="","",SUMIFS('أوامر التوريد'!$J$5:$J$304,'أوامر التوريد'!$G$5:$G$304,A303))</f>
        <v/>
      </c>
      <c r="F303" s="46">
        <f>IF(A303="","",SUMIFS('استلام المواد'!$K$5:$K$304,'استلام المواد'!$F$5:$F$304,A303))</f>
        <v/>
      </c>
      <c r="G303" s="46">
        <f>IF(A303="","",SUMIFS('صرف المواد'!$G$5:$G$304,'صرف المواد'!$C$5:$C$304,A303))</f>
        <v/>
      </c>
      <c r="H303" s="46">
        <f>IF(A303="","",F303-G303)</f>
        <v/>
      </c>
      <c r="I303" s="41" t="n"/>
      <c r="J303" s="46">
        <f>IF(A303="","",IFERROR(SUMIFS('أوامر التوريد'!$L$5:$L$304,'أوامر التوريد'!$G$5:$G$304,A303)/E303,0))</f>
        <v/>
      </c>
      <c r="K303" s="46">
        <f>IF(A303="","",H303*J303)</f>
        <v/>
      </c>
      <c r="L303" s="49">
        <f>IF(A303="","",IF(H303&lt;0,"رصيد سالب!",IF(AND(I303&lt;&gt;"",H303&lt;=I303),"أعد الطلب","متاح")))</f>
        <v/>
      </c>
    </row>
    <row r="304">
      <c r="A304" s="50" t="n"/>
      <c r="B304" s="49">
        <f>IF(A304="","",IFERROR(INDEX('أوامر التوريد'!$H$5:$H$304,MATCH(A304,'أوامر التوريد'!$G$5:$G$304,0)),""))</f>
        <v/>
      </c>
      <c r="C304" s="39">
        <f>IF(A304="","",IFERROR(INDEX('أوامر التوريد'!$C$5:$C$304,MATCH(A304,'أوامر التوريد'!$G$5:$G$304,0)),""))</f>
        <v/>
      </c>
      <c r="D304" s="39">
        <f>IF(A304="","",IFERROR(INDEX('أوامر التوريد'!$I$5:$I$304,MATCH(A304,'أوامر التوريد'!$G$5:$G$304,0)),""))</f>
        <v/>
      </c>
      <c r="E304" s="46">
        <f>IF(A304="","",SUMIFS('أوامر التوريد'!$J$5:$J$304,'أوامر التوريد'!$G$5:$G$304,A304))</f>
        <v/>
      </c>
      <c r="F304" s="46">
        <f>IF(A304="","",SUMIFS('استلام المواد'!$K$5:$K$304,'استلام المواد'!$F$5:$F$304,A304))</f>
        <v/>
      </c>
      <c r="G304" s="46">
        <f>IF(A304="","",SUMIFS('صرف المواد'!$G$5:$G$304,'صرف المواد'!$C$5:$C$304,A304))</f>
        <v/>
      </c>
      <c r="H304" s="46">
        <f>IF(A304="","",F304-G304)</f>
        <v/>
      </c>
      <c r="I304" s="41" t="n"/>
      <c r="J304" s="46">
        <f>IF(A304="","",IFERROR(SUMIFS('أوامر التوريد'!$L$5:$L$304,'أوامر التوريد'!$G$5:$G$304,A304)/E304,0))</f>
        <v/>
      </c>
      <c r="K304" s="46">
        <f>IF(A304="","",H304*J304)</f>
        <v/>
      </c>
      <c r="L304" s="49">
        <f>IF(A304="","",IF(H304&lt;0,"رصيد سالب!",IF(AND(I304&lt;&gt;"",H304&lt;=I304),"أعد الطلب","متاح")))</f>
        <v/>
      </c>
    </row>
  </sheetData>
  <autoFilter ref="A4:L304"/>
  <mergeCells count="2">
    <mergeCell ref="A2:L2"/>
    <mergeCell ref="A1:L1"/>
  </mergeCells>
  <conditionalFormatting sqref="L5:L304">
    <cfRule type="expression" priority="1" dxfId="0" stopIfTrue="1">
      <formula>OR(ISNUMBER(SEARCH("متأخر",L5)),ISNUMBER(SEARCH("مرفوض",L5)),ISNUMBER(SEARCH("غير معتمدة",L5)),ISNUMBER(SEARCH("غير محصّل",L5)),ISNUMBER(SEARCH("سالب",L5)),ISNUMBER(SEARCH("أكثر من الرصيد",L5)),ISNUMBER(SEARCH("بتحفظات",L5)))</formula>
    </cfRule>
    <cfRule type="expression" priority="2" dxfId="1" stopIfTrue="1">
      <formula>OR(ISNUMBER(SEARCH("قيد",L5)),ISNUMBER(SEARCH("جزئي",L5)),ISNUMBER(SEARCH("بانتظار",L5)),ISNUMBER(SEARCH("مفتوح",L5)),ISNUMBER(SEARCH("أعد الطلب",L5)),ISNUMBER(SEARCH("لم يُورد",L5)),ISNUMBER(SEARCH("فترة الضمان",L5)),ISNUMBER(SEARCH("مُقدم",L5)))</formula>
    </cfRule>
    <cfRule type="expression" priority="3" dxfId="2" stopIfTrue="1">
      <formula>OR(ISNUMBER(SEARCH("معتمد",L5)),ISNUMBER(SEARCH("مقبول",L5)),ISNUMBER(SEARCH("مكتمل",L5)),ISNUMBER(SEARCH("مغلق",L5)),ISNUMBER(SEARCH("بالكامل",L5)),ISNUMBER(SEARCH("مسلّم",L5)),ISNUMBER(SEARCH("كامل",L5)),ISNUMBER(SEARCH("متاح",L5)),ISNUMBER(SEARCH("جاري",L5)))</formula>
    </cfRule>
  </conditionalFormatting>
  <hyperlinks>
    <hyperlink xmlns:r="http://schemas.openxmlformats.org/officeDocument/2006/relationships" ref="A3" r:id="rId1"/>
  </hyperlinks>
  <printOptions horizontalCentered="1"/>
  <pageMargins left="0.75" right="0.75" top="1" bottom="1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tabColor rgb="002E7D7A"/>
    <outlinePr summaryBelow="1" summaryRight="1"/>
    <pageSetUpPr fitToPage="1"/>
  </sheetPr>
  <dimension ref="A1:K304"/>
  <sheetViews>
    <sheetView showGridLines="0" rightToLeft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24" customWidth="1" min="4" max="4"/>
    <col width="11" customWidth="1" min="5" max="5"/>
    <col width="8" customWidth="1" min="6" max="6"/>
    <col width="11" customWidth="1" min="7" max="7"/>
    <col width="20" customWidth="1" min="8" max="8"/>
    <col width="20" customWidth="1" min="9" max="9"/>
    <col width="12" customWidth="1" min="10" max="10"/>
    <col width="14" customWidth="1" min="11" max="11"/>
  </cols>
  <sheetData>
    <row r="1" ht="32" customHeight="1">
      <c r="A1" s="34">
        <f>S_Company&amp;"  |  صرف المواد"</f>
        <v/>
      </c>
    </row>
    <row r="2">
      <c r="A2" s="35" t="inlineStr">
        <is>
          <t>أذونات صرف المواد من مخزن الموقع (QF-MI-06)</t>
        </is>
      </c>
    </row>
    <row r="3">
      <c r="A3" s="33" t="inlineStr">
        <is>
          <t>↩ الرئيسية</t>
        </is>
      </c>
      <c r="B3" s="36" t="inlineStr">
        <is>
          <t xml:space="preserve">   ■ أصفر = إدخال يدوي    ■ رمادي = معادلة تلقائية (لا تكتب فيها)    — الصفوف الأولى أمثلة توضيحية؛ احذف قيم الإدخال واستبدلها ببياناتك</t>
        </is>
      </c>
    </row>
    <row r="4" ht="42" customHeight="1">
      <c r="A4" s="37" t="inlineStr">
        <is>
          <t>رقم الإذن</t>
        </is>
      </c>
      <c r="B4" s="38" t="inlineStr">
        <is>
          <t>التاريخ</t>
        </is>
      </c>
      <c r="C4" s="38" t="inlineStr">
        <is>
          <t>كود الصنف</t>
        </is>
      </c>
      <c r="D4" s="37" t="inlineStr">
        <is>
          <t>الصنف</t>
        </is>
      </c>
      <c r="E4" s="37" t="inlineStr">
        <is>
          <t>كود المشروع</t>
        </is>
      </c>
      <c r="F4" s="37" t="inlineStr">
        <is>
          <t>الوحدة</t>
        </is>
      </c>
      <c r="G4" s="38" t="inlineStr">
        <is>
          <t>الكمية المنصرفة</t>
        </is>
      </c>
      <c r="H4" s="38" t="inlineStr">
        <is>
          <t>الجهة / مقاول الباطن المستلم</t>
        </is>
      </c>
      <c r="I4" s="38" t="inlineStr">
        <is>
          <t>بند الأعمال / الموقع</t>
        </is>
      </c>
      <c r="J4" s="37" t="inlineStr">
        <is>
          <t>الرصيد بعد الصرف</t>
        </is>
      </c>
      <c r="K4" s="37" t="inlineStr">
        <is>
          <t>تنبيه</t>
        </is>
      </c>
    </row>
    <row r="5">
      <c r="A5" s="39">
        <f>IF(C5="","","ISS-"&amp;TEXT(ROW()-4,"0000"))</f>
        <v/>
      </c>
      <c r="B5" s="47" t="n">
        <v>46006</v>
      </c>
      <c r="C5" s="50" t="inlineStr">
        <is>
          <t>STL-16</t>
        </is>
      </c>
      <c r="D5" s="49">
        <f>IF(C5="","",IFERROR(INDEX('رصيد المخزن'!$B$5:$B$304,MATCH(C5,'رصيد المخزن'!$A$5:$A$304,0)),""))</f>
        <v/>
      </c>
      <c r="E5" s="39">
        <f>IF(C5="","",IFERROR(INDEX('رصيد المخزن'!$C$5:$C$304,MATCH(C5,'رصيد المخزن'!$A$5:$A$304,0)),""))</f>
        <v/>
      </c>
      <c r="F5" s="39">
        <f>IF(C5="","",IFERROR(INDEX('رصيد المخزن'!$D$5:$D$304,MATCH(C5,'رصيد المخزن'!$A$5:$A$304,0)),""))</f>
        <v/>
      </c>
      <c r="G5" s="41" t="n">
        <v>65</v>
      </c>
      <c r="H5" s="40" t="inlineStr">
        <is>
          <t>مقاول باطن الحدادة</t>
        </is>
      </c>
      <c r="I5" s="40" t="inlineStr">
        <is>
          <t>أساسات – المحاور A-D</t>
        </is>
      </c>
      <c r="J5" s="46">
        <f>IF(C5="","",IFERROR(INDEX('رصيد المخزن'!$H$5:$H$304,MATCH(C5,'رصيد المخزن'!$A$5:$A$304,0)),""))</f>
        <v/>
      </c>
      <c r="K5" s="49">
        <f>IF(C5="","",IF(N(J5)&lt;0,"صرف أكثر من الرصيد!",""))</f>
        <v/>
      </c>
    </row>
    <row r="6">
      <c r="A6" s="39">
        <f>IF(C6="","","ISS-"&amp;TEXT(ROW()-4,"0000"))</f>
        <v/>
      </c>
      <c r="B6" s="47" t="n">
        <v>46007</v>
      </c>
      <c r="C6" s="50" t="inlineStr">
        <is>
          <t>CEM-425</t>
        </is>
      </c>
      <c r="D6" s="49">
        <f>IF(C6="","",IFERROR(INDEX('رصيد المخزن'!$B$5:$B$304,MATCH(C6,'رصيد المخزن'!$A$5:$A$304,0)),""))</f>
        <v/>
      </c>
      <c r="E6" s="39">
        <f>IF(C6="","",IFERROR(INDEX('رصيد المخزن'!$C$5:$C$304,MATCH(C6,'رصيد المخزن'!$A$5:$A$304,0)),""))</f>
        <v/>
      </c>
      <c r="F6" s="39">
        <f>IF(C6="","",IFERROR(INDEX('رصيد المخزن'!$D$5:$D$304,MATCH(C6,'رصيد المخزن'!$A$5:$A$304,0)),""))</f>
        <v/>
      </c>
      <c r="G6" s="41" t="n">
        <v>3700</v>
      </c>
      <c r="H6" s="40" t="inlineStr">
        <is>
          <t>فريق الخرسانة</t>
        </is>
      </c>
      <c r="I6" s="40" t="inlineStr">
        <is>
          <t>لبشة الأساسات</t>
        </is>
      </c>
      <c r="J6" s="46">
        <f>IF(C6="","",IFERROR(INDEX('رصيد المخزن'!$H$5:$H$304,MATCH(C6,'رصيد المخزن'!$A$5:$A$304,0)),""))</f>
        <v/>
      </c>
      <c r="K6" s="49">
        <f>IF(C6="","",IF(N(J6)&lt;0,"صرف أكثر من الرصيد!",""))</f>
        <v/>
      </c>
    </row>
    <row r="7">
      <c r="A7" s="39">
        <f>IF(C7="","","ISS-"&amp;TEXT(ROW()-4,"0000"))</f>
        <v/>
      </c>
      <c r="B7" s="47" t="n">
        <v>46193</v>
      </c>
      <c r="C7" s="50" t="inlineStr">
        <is>
          <t>RMC-C30</t>
        </is>
      </c>
      <c r="D7" s="49">
        <f>IF(C7="","",IFERROR(INDEX('رصيد المخزن'!$B$5:$B$304,MATCH(C7,'رصيد المخزن'!$A$5:$A$304,0)),""))</f>
        <v/>
      </c>
      <c r="E7" s="39">
        <f>IF(C7="","",IFERROR(INDEX('رصيد المخزن'!$C$5:$C$304,MATCH(C7,'رصيد المخزن'!$A$5:$A$304,0)),""))</f>
        <v/>
      </c>
      <c r="F7" s="39">
        <f>IF(C7="","",IFERROR(INDEX('رصيد المخزن'!$D$5:$D$304,MATCH(C7,'رصيد المخزن'!$A$5:$A$304,0)),""))</f>
        <v/>
      </c>
      <c r="G7" s="41" t="n">
        <v>320</v>
      </c>
      <c r="H7" s="40" t="inlineStr">
        <is>
          <t>فريق الخرسانة</t>
        </is>
      </c>
      <c r="I7" s="40" t="inlineStr">
        <is>
          <t>قواعد المبنى A</t>
        </is>
      </c>
      <c r="J7" s="46">
        <f>IF(C7="","",IFERROR(INDEX('رصيد المخزن'!$H$5:$H$304,MATCH(C7,'رصيد المخزن'!$A$5:$A$304,0)),""))</f>
        <v/>
      </c>
      <c r="K7" s="49">
        <f>IF(C7="","",IF(N(J7)&lt;0,"صرف أكثر من الرصيد!",""))</f>
        <v/>
      </c>
    </row>
    <row r="8">
      <c r="A8" s="39">
        <f>IF(C8="","","ISS-"&amp;TEXT(ROW()-4,"0000"))</f>
        <v/>
      </c>
      <c r="B8" s="47" t="n"/>
      <c r="C8" s="50" t="n"/>
      <c r="D8" s="49">
        <f>IF(C8="","",IFERROR(INDEX('رصيد المخزن'!$B$5:$B$304,MATCH(C8,'رصيد المخزن'!$A$5:$A$304,0)),""))</f>
        <v/>
      </c>
      <c r="E8" s="39">
        <f>IF(C8="","",IFERROR(INDEX('رصيد المخزن'!$C$5:$C$304,MATCH(C8,'رصيد المخزن'!$A$5:$A$304,0)),""))</f>
        <v/>
      </c>
      <c r="F8" s="39">
        <f>IF(C8="","",IFERROR(INDEX('رصيد المخزن'!$D$5:$D$304,MATCH(C8,'رصيد المخزن'!$A$5:$A$304,0)),""))</f>
        <v/>
      </c>
      <c r="G8" s="41" t="n"/>
      <c r="H8" s="40" t="n"/>
      <c r="I8" s="40" t="n"/>
      <c r="J8" s="46">
        <f>IF(C8="","",IFERROR(INDEX('رصيد المخزن'!$H$5:$H$304,MATCH(C8,'رصيد المخزن'!$A$5:$A$304,0)),""))</f>
        <v/>
      </c>
      <c r="K8" s="49">
        <f>IF(C8="","",IF(N(J8)&lt;0,"صرف أكثر من الرصيد!",""))</f>
        <v/>
      </c>
    </row>
    <row r="9">
      <c r="A9" s="39">
        <f>IF(C9="","","ISS-"&amp;TEXT(ROW()-4,"0000"))</f>
        <v/>
      </c>
      <c r="B9" s="47" t="n"/>
      <c r="C9" s="50" t="n"/>
      <c r="D9" s="49">
        <f>IF(C9="","",IFERROR(INDEX('رصيد المخزن'!$B$5:$B$304,MATCH(C9,'رصيد المخزن'!$A$5:$A$304,0)),""))</f>
        <v/>
      </c>
      <c r="E9" s="39">
        <f>IF(C9="","",IFERROR(INDEX('رصيد المخزن'!$C$5:$C$304,MATCH(C9,'رصيد المخزن'!$A$5:$A$304,0)),""))</f>
        <v/>
      </c>
      <c r="F9" s="39">
        <f>IF(C9="","",IFERROR(INDEX('رصيد المخزن'!$D$5:$D$304,MATCH(C9,'رصيد المخزن'!$A$5:$A$304,0)),""))</f>
        <v/>
      </c>
      <c r="G9" s="41" t="n"/>
      <c r="H9" s="40" t="n"/>
      <c r="I9" s="40" t="n"/>
      <c r="J9" s="46">
        <f>IF(C9="","",IFERROR(INDEX('رصيد المخزن'!$H$5:$H$304,MATCH(C9,'رصيد المخزن'!$A$5:$A$304,0)),""))</f>
        <v/>
      </c>
      <c r="K9" s="49">
        <f>IF(C9="","",IF(N(J9)&lt;0,"صرف أكثر من الرصيد!",""))</f>
        <v/>
      </c>
    </row>
    <row r="10">
      <c r="A10" s="39">
        <f>IF(C10="","","ISS-"&amp;TEXT(ROW()-4,"0000"))</f>
        <v/>
      </c>
      <c r="B10" s="47" t="n"/>
      <c r="C10" s="50" t="n"/>
      <c r="D10" s="49">
        <f>IF(C10="","",IFERROR(INDEX('رصيد المخزن'!$B$5:$B$304,MATCH(C10,'رصيد المخزن'!$A$5:$A$304,0)),""))</f>
        <v/>
      </c>
      <c r="E10" s="39">
        <f>IF(C10="","",IFERROR(INDEX('رصيد المخزن'!$C$5:$C$304,MATCH(C10,'رصيد المخزن'!$A$5:$A$304,0)),""))</f>
        <v/>
      </c>
      <c r="F10" s="39">
        <f>IF(C10="","",IFERROR(INDEX('رصيد المخزن'!$D$5:$D$304,MATCH(C10,'رصيد المخزن'!$A$5:$A$304,0)),""))</f>
        <v/>
      </c>
      <c r="G10" s="41" t="n"/>
      <c r="H10" s="40" t="n"/>
      <c r="I10" s="40" t="n"/>
      <c r="J10" s="46">
        <f>IF(C10="","",IFERROR(INDEX('رصيد المخزن'!$H$5:$H$304,MATCH(C10,'رصيد المخزن'!$A$5:$A$304,0)),""))</f>
        <v/>
      </c>
      <c r="K10" s="49">
        <f>IF(C10="","",IF(N(J10)&lt;0,"صرف أكثر من الرصيد!",""))</f>
        <v/>
      </c>
    </row>
    <row r="11">
      <c r="A11" s="39">
        <f>IF(C11="","","ISS-"&amp;TEXT(ROW()-4,"0000"))</f>
        <v/>
      </c>
      <c r="B11" s="47" t="n"/>
      <c r="C11" s="50" t="n"/>
      <c r="D11" s="49">
        <f>IF(C11="","",IFERROR(INDEX('رصيد المخزن'!$B$5:$B$304,MATCH(C11,'رصيد المخزن'!$A$5:$A$304,0)),""))</f>
        <v/>
      </c>
      <c r="E11" s="39">
        <f>IF(C11="","",IFERROR(INDEX('رصيد المخزن'!$C$5:$C$304,MATCH(C11,'رصيد المخزن'!$A$5:$A$304,0)),""))</f>
        <v/>
      </c>
      <c r="F11" s="39">
        <f>IF(C11="","",IFERROR(INDEX('رصيد المخزن'!$D$5:$D$304,MATCH(C11,'رصيد المخزن'!$A$5:$A$304,0)),""))</f>
        <v/>
      </c>
      <c r="G11" s="41" t="n"/>
      <c r="H11" s="40" t="n"/>
      <c r="I11" s="40" t="n"/>
      <c r="J11" s="46">
        <f>IF(C11="","",IFERROR(INDEX('رصيد المخزن'!$H$5:$H$304,MATCH(C11,'رصيد المخزن'!$A$5:$A$304,0)),""))</f>
        <v/>
      </c>
      <c r="K11" s="49">
        <f>IF(C11="","",IF(N(J11)&lt;0,"صرف أكثر من الرصيد!",""))</f>
        <v/>
      </c>
    </row>
    <row r="12">
      <c r="A12" s="39">
        <f>IF(C12="","","ISS-"&amp;TEXT(ROW()-4,"0000"))</f>
        <v/>
      </c>
      <c r="B12" s="47" t="n"/>
      <c r="C12" s="50" t="n"/>
      <c r="D12" s="49">
        <f>IF(C12="","",IFERROR(INDEX('رصيد المخزن'!$B$5:$B$304,MATCH(C12,'رصيد المخزن'!$A$5:$A$304,0)),""))</f>
        <v/>
      </c>
      <c r="E12" s="39">
        <f>IF(C12="","",IFERROR(INDEX('رصيد المخزن'!$C$5:$C$304,MATCH(C12,'رصيد المخزن'!$A$5:$A$304,0)),""))</f>
        <v/>
      </c>
      <c r="F12" s="39">
        <f>IF(C12="","",IFERROR(INDEX('رصيد المخزن'!$D$5:$D$304,MATCH(C12,'رصيد المخزن'!$A$5:$A$304,0)),""))</f>
        <v/>
      </c>
      <c r="G12" s="41" t="n"/>
      <c r="H12" s="40" t="n"/>
      <c r="I12" s="40" t="n"/>
      <c r="J12" s="46">
        <f>IF(C12="","",IFERROR(INDEX('رصيد المخزن'!$H$5:$H$304,MATCH(C12,'رصيد المخزن'!$A$5:$A$304,0)),""))</f>
        <v/>
      </c>
      <c r="K12" s="49">
        <f>IF(C12="","",IF(N(J12)&lt;0,"صرف أكثر من الرصيد!",""))</f>
        <v/>
      </c>
    </row>
    <row r="13">
      <c r="A13" s="39">
        <f>IF(C13="","","ISS-"&amp;TEXT(ROW()-4,"0000"))</f>
        <v/>
      </c>
      <c r="B13" s="47" t="n"/>
      <c r="C13" s="50" t="n"/>
      <c r="D13" s="49">
        <f>IF(C13="","",IFERROR(INDEX('رصيد المخزن'!$B$5:$B$304,MATCH(C13,'رصيد المخزن'!$A$5:$A$304,0)),""))</f>
        <v/>
      </c>
      <c r="E13" s="39">
        <f>IF(C13="","",IFERROR(INDEX('رصيد المخزن'!$C$5:$C$304,MATCH(C13,'رصيد المخزن'!$A$5:$A$304,0)),""))</f>
        <v/>
      </c>
      <c r="F13" s="39">
        <f>IF(C13="","",IFERROR(INDEX('رصيد المخزن'!$D$5:$D$304,MATCH(C13,'رصيد المخزن'!$A$5:$A$304,0)),""))</f>
        <v/>
      </c>
      <c r="G13" s="41" t="n"/>
      <c r="H13" s="40" t="n"/>
      <c r="I13" s="40" t="n"/>
      <c r="J13" s="46">
        <f>IF(C13="","",IFERROR(INDEX('رصيد المخزن'!$H$5:$H$304,MATCH(C13,'رصيد المخزن'!$A$5:$A$304,0)),""))</f>
        <v/>
      </c>
      <c r="K13" s="49">
        <f>IF(C13="","",IF(N(J13)&lt;0,"صرف أكثر من الرصيد!",""))</f>
        <v/>
      </c>
    </row>
    <row r="14">
      <c r="A14" s="39">
        <f>IF(C14="","","ISS-"&amp;TEXT(ROW()-4,"0000"))</f>
        <v/>
      </c>
      <c r="B14" s="47" t="n"/>
      <c r="C14" s="50" t="n"/>
      <c r="D14" s="49">
        <f>IF(C14="","",IFERROR(INDEX('رصيد المخزن'!$B$5:$B$304,MATCH(C14,'رصيد المخزن'!$A$5:$A$304,0)),""))</f>
        <v/>
      </c>
      <c r="E14" s="39">
        <f>IF(C14="","",IFERROR(INDEX('رصيد المخزن'!$C$5:$C$304,MATCH(C14,'رصيد المخزن'!$A$5:$A$304,0)),""))</f>
        <v/>
      </c>
      <c r="F14" s="39">
        <f>IF(C14="","",IFERROR(INDEX('رصيد المخزن'!$D$5:$D$304,MATCH(C14,'رصيد المخزن'!$A$5:$A$304,0)),""))</f>
        <v/>
      </c>
      <c r="G14" s="41" t="n"/>
      <c r="H14" s="40" t="n"/>
      <c r="I14" s="40" t="n"/>
      <c r="J14" s="46">
        <f>IF(C14="","",IFERROR(INDEX('رصيد المخزن'!$H$5:$H$304,MATCH(C14,'رصيد المخزن'!$A$5:$A$304,0)),""))</f>
        <v/>
      </c>
      <c r="K14" s="49">
        <f>IF(C14="","",IF(N(J14)&lt;0,"صرف أكثر من الرصيد!",""))</f>
        <v/>
      </c>
    </row>
    <row r="15">
      <c r="A15" s="39">
        <f>IF(C15="","","ISS-"&amp;TEXT(ROW()-4,"0000"))</f>
        <v/>
      </c>
      <c r="B15" s="47" t="n"/>
      <c r="C15" s="50" t="n"/>
      <c r="D15" s="49">
        <f>IF(C15="","",IFERROR(INDEX('رصيد المخزن'!$B$5:$B$304,MATCH(C15,'رصيد المخزن'!$A$5:$A$304,0)),""))</f>
        <v/>
      </c>
      <c r="E15" s="39">
        <f>IF(C15="","",IFERROR(INDEX('رصيد المخزن'!$C$5:$C$304,MATCH(C15,'رصيد المخزن'!$A$5:$A$304,0)),""))</f>
        <v/>
      </c>
      <c r="F15" s="39">
        <f>IF(C15="","",IFERROR(INDEX('رصيد المخزن'!$D$5:$D$304,MATCH(C15,'رصيد المخزن'!$A$5:$A$304,0)),""))</f>
        <v/>
      </c>
      <c r="G15" s="41" t="n"/>
      <c r="H15" s="40" t="n"/>
      <c r="I15" s="40" t="n"/>
      <c r="J15" s="46">
        <f>IF(C15="","",IFERROR(INDEX('رصيد المخزن'!$H$5:$H$304,MATCH(C15,'رصيد المخزن'!$A$5:$A$304,0)),""))</f>
        <v/>
      </c>
      <c r="K15" s="49">
        <f>IF(C15="","",IF(N(J15)&lt;0,"صرف أكثر من الرصيد!",""))</f>
        <v/>
      </c>
    </row>
    <row r="16">
      <c r="A16" s="39">
        <f>IF(C16="","","ISS-"&amp;TEXT(ROW()-4,"0000"))</f>
        <v/>
      </c>
      <c r="B16" s="47" t="n"/>
      <c r="C16" s="50" t="n"/>
      <c r="D16" s="49">
        <f>IF(C16="","",IFERROR(INDEX('رصيد المخزن'!$B$5:$B$304,MATCH(C16,'رصيد المخزن'!$A$5:$A$304,0)),""))</f>
        <v/>
      </c>
      <c r="E16" s="39">
        <f>IF(C16="","",IFERROR(INDEX('رصيد المخزن'!$C$5:$C$304,MATCH(C16,'رصيد المخزن'!$A$5:$A$304,0)),""))</f>
        <v/>
      </c>
      <c r="F16" s="39">
        <f>IF(C16="","",IFERROR(INDEX('رصيد المخزن'!$D$5:$D$304,MATCH(C16,'رصيد المخزن'!$A$5:$A$304,0)),""))</f>
        <v/>
      </c>
      <c r="G16" s="41" t="n"/>
      <c r="H16" s="40" t="n"/>
      <c r="I16" s="40" t="n"/>
      <c r="J16" s="46">
        <f>IF(C16="","",IFERROR(INDEX('رصيد المخزن'!$H$5:$H$304,MATCH(C16,'رصيد المخزن'!$A$5:$A$304,0)),""))</f>
        <v/>
      </c>
      <c r="K16" s="49">
        <f>IF(C16="","",IF(N(J16)&lt;0,"صرف أكثر من الرصيد!",""))</f>
        <v/>
      </c>
    </row>
    <row r="17">
      <c r="A17" s="39">
        <f>IF(C17="","","ISS-"&amp;TEXT(ROW()-4,"0000"))</f>
        <v/>
      </c>
      <c r="B17" s="47" t="n"/>
      <c r="C17" s="50" t="n"/>
      <c r="D17" s="49">
        <f>IF(C17="","",IFERROR(INDEX('رصيد المخزن'!$B$5:$B$304,MATCH(C17,'رصيد المخزن'!$A$5:$A$304,0)),""))</f>
        <v/>
      </c>
      <c r="E17" s="39">
        <f>IF(C17="","",IFERROR(INDEX('رصيد المخزن'!$C$5:$C$304,MATCH(C17,'رصيد المخزن'!$A$5:$A$304,0)),""))</f>
        <v/>
      </c>
      <c r="F17" s="39">
        <f>IF(C17="","",IFERROR(INDEX('رصيد المخزن'!$D$5:$D$304,MATCH(C17,'رصيد المخزن'!$A$5:$A$304,0)),""))</f>
        <v/>
      </c>
      <c r="G17" s="41" t="n"/>
      <c r="H17" s="40" t="n"/>
      <c r="I17" s="40" t="n"/>
      <c r="J17" s="46">
        <f>IF(C17="","",IFERROR(INDEX('رصيد المخزن'!$H$5:$H$304,MATCH(C17,'رصيد المخزن'!$A$5:$A$304,0)),""))</f>
        <v/>
      </c>
      <c r="K17" s="49">
        <f>IF(C17="","",IF(N(J17)&lt;0,"صرف أكثر من الرصيد!",""))</f>
        <v/>
      </c>
    </row>
    <row r="18">
      <c r="A18" s="39">
        <f>IF(C18="","","ISS-"&amp;TEXT(ROW()-4,"0000"))</f>
        <v/>
      </c>
      <c r="B18" s="47" t="n"/>
      <c r="C18" s="50" t="n"/>
      <c r="D18" s="49">
        <f>IF(C18="","",IFERROR(INDEX('رصيد المخزن'!$B$5:$B$304,MATCH(C18,'رصيد المخزن'!$A$5:$A$304,0)),""))</f>
        <v/>
      </c>
      <c r="E18" s="39">
        <f>IF(C18="","",IFERROR(INDEX('رصيد المخزن'!$C$5:$C$304,MATCH(C18,'رصيد المخزن'!$A$5:$A$304,0)),""))</f>
        <v/>
      </c>
      <c r="F18" s="39">
        <f>IF(C18="","",IFERROR(INDEX('رصيد المخزن'!$D$5:$D$304,MATCH(C18,'رصيد المخزن'!$A$5:$A$304,0)),""))</f>
        <v/>
      </c>
      <c r="G18" s="41" t="n"/>
      <c r="H18" s="40" t="n"/>
      <c r="I18" s="40" t="n"/>
      <c r="J18" s="46">
        <f>IF(C18="","",IFERROR(INDEX('رصيد المخزن'!$H$5:$H$304,MATCH(C18,'رصيد المخزن'!$A$5:$A$304,0)),""))</f>
        <v/>
      </c>
      <c r="K18" s="49">
        <f>IF(C18="","",IF(N(J18)&lt;0,"صرف أكثر من الرصيد!",""))</f>
        <v/>
      </c>
    </row>
    <row r="19">
      <c r="A19" s="39">
        <f>IF(C19="","","ISS-"&amp;TEXT(ROW()-4,"0000"))</f>
        <v/>
      </c>
      <c r="B19" s="47" t="n"/>
      <c r="C19" s="50" t="n"/>
      <c r="D19" s="49">
        <f>IF(C19="","",IFERROR(INDEX('رصيد المخزن'!$B$5:$B$304,MATCH(C19,'رصيد المخزن'!$A$5:$A$304,0)),""))</f>
        <v/>
      </c>
      <c r="E19" s="39">
        <f>IF(C19="","",IFERROR(INDEX('رصيد المخزن'!$C$5:$C$304,MATCH(C19,'رصيد المخزن'!$A$5:$A$304,0)),""))</f>
        <v/>
      </c>
      <c r="F19" s="39">
        <f>IF(C19="","",IFERROR(INDEX('رصيد المخزن'!$D$5:$D$304,MATCH(C19,'رصيد المخزن'!$A$5:$A$304,0)),""))</f>
        <v/>
      </c>
      <c r="G19" s="41" t="n"/>
      <c r="H19" s="40" t="n"/>
      <c r="I19" s="40" t="n"/>
      <c r="J19" s="46">
        <f>IF(C19="","",IFERROR(INDEX('رصيد المخزن'!$H$5:$H$304,MATCH(C19,'رصيد المخزن'!$A$5:$A$304,0)),""))</f>
        <v/>
      </c>
      <c r="K19" s="49">
        <f>IF(C19="","",IF(N(J19)&lt;0,"صرف أكثر من الرصيد!",""))</f>
        <v/>
      </c>
    </row>
    <row r="20">
      <c r="A20" s="39">
        <f>IF(C20="","","ISS-"&amp;TEXT(ROW()-4,"0000"))</f>
        <v/>
      </c>
      <c r="B20" s="47" t="n"/>
      <c r="C20" s="50" t="n"/>
      <c r="D20" s="49">
        <f>IF(C20="","",IFERROR(INDEX('رصيد المخزن'!$B$5:$B$304,MATCH(C20,'رصيد المخزن'!$A$5:$A$304,0)),""))</f>
        <v/>
      </c>
      <c r="E20" s="39">
        <f>IF(C20="","",IFERROR(INDEX('رصيد المخزن'!$C$5:$C$304,MATCH(C20,'رصيد المخزن'!$A$5:$A$304,0)),""))</f>
        <v/>
      </c>
      <c r="F20" s="39">
        <f>IF(C20="","",IFERROR(INDEX('رصيد المخزن'!$D$5:$D$304,MATCH(C20,'رصيد المخزن'!$A$5:$A$304,0)),""))</f>
        <v/>
      </c>
      <c r="G20" s="41" t="n"/>
      <c r="H20" s="40" t="n"/>
      <c r="I20" s="40" t="n"/>
      <c r="J20" s="46">
        <f>IF(C20="","",IFERROR(INDEX('رصيد المخزن'!$H$5:$H$304,MATCH(C20,'رصيد المخزن'!$A$5:$A$304,0)),""))</f>
        <v/>
      </c>
      <c r="K20" s="49">
        <f>IF(C20="","",IF(N(J20)&lt;0,"صرف أكثر من الرصيد!",""))</f>
        <v/>
      </c>
    </row>
    <row r="21">
      <c r="A21" s="39">
        <f>IF(C21="","","ISS-"&amp;TEXT(ROW()-4,"0000"))</f>
        <v/>
      </c>
      <c r="B21" s="47" t="n"/>
      <c r="C21" s="50" t="n"/>
      <c r="D21" s="49">
        <f>IF(C21="","",IFERROR(INDEX('رصيد المخزن'!$B$5:$B$304,MATCH(C21,'رصيد المخزن'!$A$5:$A$304,0)),""))</f>
        <v/>
      </c>
      <c r="E21" s="39">
        <f>IF(C21="","",IFERROR(INDEX('رصيد المخزن'!$C$5:$C$304,MATCH(C21,'رصيد المخزن'!$A$5:$A$304,0)),""))</f>
        <v/>
      </c>
      <c r="F21" s="39">
        <f>IF(C21="","",IFERROR(INDEX('رصيد المخزن'!$D$5:$D$304,MATCH(C21,'رصيد المخزن'!$A$5:$A$304,0)),""))</f>
        <v/>
      </c>
      <c r="G21" s="41" t="n"/>
      <c r="H21" s="40" t="n"/>
      <c r="I21" s="40" t="n"/>
      <c r="J21" s="46">
        <f>IF(C21="","",IFERROR(INDEX('رصيد المخزن'!$H$5:$H$304,MATCH(C21,'رصيد المخزن'!$A$5:$A$304,0)),""))</f>
        <v/>
      </c>
      <c r="K21" s="49">
        <f>IF(C21="","",IF(N(J21)&lt;0,"صرف أكثر من الرصيد!",""))</f>
        <v/>
      </c>
    </row>
    <row r="22">
      <c r="A22" s="39">
        <f>IF(C22="","","ISS-"&amp;TEXT(ROW()-4,"0000"))</f>
        <v/>
      </c>
      <c r="B22" s="47" t="n"/>
      <c r="C22" s="50" t="n"/>
      <c r="D22" s="49">
        <f>IF(C22="","",IFERROR(INDEX('رصيد المخزن'!$B$5:$B$304,MATCH(C22,'رصيد المخزن'!$A$5:$A$304,0)),""))</f>
        <v/>
      </c>
      <c r="E22" s="39">
        <f>IF(C22="","",IFERROR(INDEX('رصيد المخزن'!$C$5:$C$304,MATCH(C22,'رصيد المخزن'!$A$5:$A$304,0)),""))</f>
        <v/>
      </c>
      <c r="F22" s="39">
        <f>IF(C22="","",IFERROR(INDEX('رصيد المخزن'!$D$5:$D$304,MATCH(C22,'رصيد المخزن'!$A$5:$A$304,0)),""))</f>
        <v/>
      </c>
      <c r="G22" s="41" t="n"/>
      <c r="H22" s="40" t="n"/>
      <c r="I22" s="40" t="n"/>
      <c r="J22" s="46">
        <f>IF(C22="","",IFERROR(INDEX('رصيد المخزن'!$H$5:$H$304,MATCH(C22,'رصيد المخزن'!$A$5:$A$304,0)),""))</f>
        <v/>
      </c>
      <c r="K22" s="49">
        <f>IF(C22="","",IF(N(J22)&lt;0,"صرف أكثر من الرصيد!",""))</f>
        <v/>
      </c>
    </row>
    <row r="23">
      <c r="A23" s="39">
        <f>IF(C23="","","ISS-"&amp;TEXT(ROW()-4,"0000"))</f>
        <v/>
      </c>
      <c r="B23" s="47" t="n"/>
      <c r="C23" s="50" t="n"/>
      <c r="D23" s="49">
        <f>IF(C23="","",IFERROR(INDEX('رصيد المخزن'!$B$5:$B$304,MATCH(C23,'رصيد المخزن'!$A$5:$A$304,0)),""))</f>
        <v/>
      </c>
      <c r="E23" s="39">
        <f>IF(C23="","",IFERROR(INDEX('رصيد المخزن'!$C$5:$C$304,MATCH(C23,'رصيد المخزن'!$A$5:$A$304,0)),""))</f>
        <v/>
      </c>
      <c r="F23" s="39">
        <f>IF(C23="","",IFERROR(INDEX('رصيد المخزن'!$D$5:$D$304,MATCH(C23,'رصيد المخزن'!$A$5:$A$304,0)),""))</f>
        <v/>
      </c>
      <c r="G23" s="41" t="n"/>
      <c r="H23" s="40" t="n"/>
      <c r="I23" s="40" t="n"/>
      <c r="J23" s="46">
        <f>IF(C23="","",IFERROR(INDEX('رصيد المخزن'!$H$5:$H$304,MATCH(C23,'رصيد المخزن'!$A$5:$A$304,0)),""))</f>
        <v/>
      </c>
      <c r="K23" s="49">
        <f>IF(C23="","",IF(N(J23)&lt;0,"صرف أكثر من الرصيد!",""))</f>
        <v/>
      </c>
    </row>
    <row r="24">
      <c r="A24" s="39">
        <f>IF(C24="","","ISS-"&amp;TEXT(ROW()-4,"0000"))</f>
        <v/>
      </c>
      <c r="B24" s="47" t="n"/>
      <c r="C24" s="50" t="n"/>
      <c r="D24" s="49">
        <f>IF(C24="","",IFERROR(INDEX('رصيد المخزن'!$B$5:$B$304,MATCH(C24,'رصيد المخزن'!$A$5:$A$304,0)),""))</f>
        <v/>
      </c>
      <c r="E24" s="39">
        <f>IF(C24="","",IFERROR(INDEX('رصيد المخزن'!$C$5:$C$304,MATCH(C24,'رصيد المخزن'!$A$5:$A$304,0)),""))</f>
        <v/>
      </c>
      <c r="F24" s="39">
        <f>IF(C24="","",IFERROR(INDEX('رصيد المخزن'!$D$5:$D$304,MATCH(C24,'رصيد المخزن'!$A$5:$A$304,0)),""))</f>
        <v/>
      </c>
      <c r="G24" s="41" t="n"/>
      <c r="H24" s="40" t="n"/>
      <c r="I24" s="40" t="n"/>
      <c r="J24" s="46">
        <f>IF(C24="","",IFERROR(INDEX('رصيد المخزن'!$H$5:$H$304,MATCH(C24,'رصيد المخزن'!$A$5:$A$304,0)),""))</f>
        <v/>
      </c>
      <c r="K24" s="49">
        <f>IF(C24="","",IF(N(J24)&lt;0,"صرف أكثر من الرصيد!",""))</f>
        <v/>
      </c>
    </row>
    <row r="25">
      <c r="A25" s="39">
        <f>IF(C25="","","ISS-"&amp;TEXT(ROW()-4,"0000"))</f>
        <v/>
      </c>
      <c r="B25" s="47" t="n"/>
      <c r="C25" s="50" t="n"/>
      <c r="D25" s="49">
        <f>IF(C25="","",IFERROR(INDEX('رصيد المخزن'!$B$5:$B$304,MATCH(C25,'رصيد المخزن'!$A$5:$A$304,0)),""))</f>
        <v/>
      </c>
      <c r="E25" s="39">
        <f>IF(C25="","",IFERROR(INDEX('رصيد المخزن'!$C$5:$C$304,MATCH(C25,'رصيد المخزن'!$A$5:$A$304,0)),""))</f>
        <v/>
      </c>
      <c r="F25" s="39">
        <f>IF(C25="","",IFERROR(INDEX('رصيد المخزن'!$D$5:$D$304,MATCH(C25,'رصيد المخزن'!$A$5:$A$304,0)),""))</f>
        <v/>
      </c>
      <c r="G25" s="41" t="n"/>
      <c r="H25" s="40" t="n"/>
      <c r="I25" s="40" t="n"/>
      <c r="J25" s="46">
        <f>IF(C25="","",IFERROR(INDEX('رصيد المخزن'!$H$5:$H$304,MATCH(C25,'رصيد المخزن'!$A$5:$A$304,0)),""))</f>
        <v/>
      </c>
      <c r="K25" s="49">
        <f>IF(C25="","",IF(N(J25)&lt;0,"صرف أكثر من الرصيد!",""))</f>
        <v/>
      </c>
    </row>
    <row r="26">
      <c r="A26" s="39">
        <f>IF(C26="","","ISS-"&amp;TEXT(ROW()-4,"0000"))</f>
        <v/>
      </c>
      <c r="B26" s="47" t="n"/>
      <c r="C26" s="50" t="n"/>
      <c r="D26" s="49">
        <f>IF(C26="","",IFERROR(INDEX('رصيد المخزن'!$B$5:$B$304,MATCH(C26,'رصيد المخزن'!$A$5:$A$304,0)),""))</f>
        <v/>
      </c>
      <c r="E26" s="39">
        <f>IF(C26="","",IFERROR(INDEX('رصيد المخزن'!$C$5:$C$304,MATCH(C26,'رصيد المخزن'!$A$5:$A$304,0)),""))</f>
        <v/>
      </c>
      <c r="F26" s="39">
        <f>IF(C26="","",IFERROR(INDEX('رصيد المخزن'!$D$5:$D$304,MATCH(C26,'رصيد المخزن'!$A$5:$A$304,0)),""))</f>
        <v/>
      </c>
      <c r="G26" s="41" t="n"/>
      <c r="H26" s="40" t="n"/>
      <c r="I26" s="40" t="n"/>
      <c r="J26" s="46">
        <f>IF(C26="","",IFERROR(INDEX('رصيد المخزن'!$H$5:$H$304,MATCH(C26,'رصيد المخزن'!$A$5:$A$304,0)),""))</f>
        <v/>
      </c>
      <c r="K26" s="49">
        <f>IF(C26="","",IF(N(J26)&lt;0,"صرف أكثر من الرصيد!",""))</f>
        <v/>
      </c>
    </row>
    <row r="27">
      <c r="A27" s="39">
        <f>IF(C27="","","ISS-"&amp;TEXT(ROW()-4,"0000"))</f>
        <v/>
      </c>
      <c r="B27" s="47" t="n"/>
      <c r="C27" s="50" t="n"/>
      <c r="D27" s="49">
        <f>IF(C27="","",IFERROR(INDEX('رصيد المخزن'!$B$5:$B$304,MATCH(C27,'رصيد المخزن'!$A$5:$A$304,0)),""))</f>
        <v/>
      </c>
      <c r="E27" s="39">
        <f>IF(C27="","",IFERROR(INDEX('رصيد المخزن'!$C$5:$C$304,MATCH(C27,'رصيد المخزن'!$A$5:$A$304,0)),""))</f>
        <v/>
      </c>
      <c r="F27" s="39">
        <f>IF(C27="","",IFERROR(INDEX('رصيد المخزن'!$D$5:$D$304,MATCH(C27,'رصيد المخزن'!$A$5:$A$304,0)),""))</f>
        <v/>
      </c>
      <c r="G27" s="41" t="n"/>
      <c r="H27" s="40" t="n"/>
      <c r="I27" s="40" t="n"/>
      <c r="J27" s="46">
        <f>IF(C27="","",IFERROR(INDEX('رصيد المخزن'!$H$5:$H$304,MATCH(C27,'رصيد المخزن'!$A$5:$A$304,0)),""))</f>
        <v/>
      </c>
      <c r="K27" s="49">
        <f>IF(C27="","",IF(N(J27)&lt;0,"صرف أكثر من الرصيد!",""))</f>
        <v/>
      </c>
    </row>
    <row r="28">
      <c r="A28" s="39">
        <f>IF(C28="","","ISS-"&amp;TEXT(ROW()-4,"0000"))</f>
        <v/>
      </c>
      <c r="B28" s="47" t="n"/>
      <c r="C28" s="50" t="n"/>
      <c r="D28" s="49">
        <f>IF(C28="","",IFERROR(INDEX('رصيد المخزن'!$B$5:$B$304,MATCH(C28,'رصيد المخزن'!$A$5:$A$304,0)),""))</f>
        <v/>
      </c>
      <c r="E28" s="39">
        <f>IF(C28="","",IFERROR(INDEX('رصيد المخزن'!$C$5:$C$304,MATCH(C28,'رصيد المخزن'!$A$5:$A$304,0)),""))</f>
        <v/>
      </c>
      <c r="F28" s="39">
        <f>IF(C28="","",IFERROR(INDEX('رصيد المخزن'!$D$5:$D$304,MATCH(C28,'رصيد المخزن'!$A$5:$A$304,0)),""))</f>
        <v/>
      </c>
      <c r="G28" s="41" t="n"/>
      <c r="H28" s="40" t="n"/>
      <c r="I28" s="40" t="n"/>
      <c r="J28" s="46">
        <f>IF(C28="","",IFERROR(INDEX('رصيد المخزن'!$H$5:$H$304,MATCH(C28,'رصيد المخزن'!$A$5:$A$304,0)),""))</f>
        <v/>
      </c>
      <c r="K28" s="49">
        <f>IF(C28="","",IF(N(J28)&lt;0,"صرف أكثر من الرصيد!",""))</f>
        <v/>
      </c>
    </row>
    <row r="29">
      <c r="A29" s="39">
        <f>IF(C29="","","ISS-"&amp;TEXT(ROW()-4,"0000"))</f>
        <v/>
      </c>
      <c r="B29" s="47" t="n"/>
      <c r="C29" s="50" t="n"/>
      <c r="D29" s="49">
        <f>IF(C29="","",IFERROR(INDEX('رصيد المخزن'!$B$5:$B$304,MATCH(C29,'رصيد المخزن'!$A$5:$A$304,0)),""))</f>
        <v/>
      </c>
      <c r="E29" s="39">
        <f>IF(C29="","",IFERROR(INDEX('رصيد المخزن'!$C$5:$C$304,MATCH(C29,'رصيد المخزن'!$A$5:$A$304,0)),""))</f>
        <v/>
      </c>
      <c r="F29" s="39">
        <f>IF(C29="","",IFERROR(INDEX('رصيد المخزن'!$D$5:$D$304,MATCH(C29,'رصيد المخزن'!$A$5:$A$304,0)),""))</f>
        <v/>
      </c>
      <c r="G29" s="41" t="n"/>
      <c r="H29" s="40" t="n"/>
      <c r="I29" s="40" t="n"/>
      <c r="J29" s="46">
        <f>IF(C29="","",IFERROR(INDEX('رصيد المخزن'!$H$5:$H$304,MATCH(C29,'رصيد المخزن'!$A$5:$A$304,0)),""))</f>
        <v/>
      </c>
      <c r="K29" s="49">
        <f>IF(C29="","",IF(N(J29)&lt;0,"صرف أكثر من الرصيد!",""))</f>
        <v/>
      </c>
    </row>
    <row r="30">
      <c r="A30" s="39">
        <f>IF(C30="","","ISS-"&amp;TEXT(ROW()-4,"0000"))</f>
        <v/>
      </c>
      <c r="B30" s="47" t="n"/>
      <c r="C30" s="50" t="n"/>
      <c r="D30" s="49">
        <f>IF(C30="","",IFERROR(INDEX('رصيد المخزن'!$B$5:$B$304,MATCH(C30,'رصيد المخزن'!$A$5:$A$304,0)),""))</f>
        <v/>
      </c>
      <c r="E30" s="39">
        <f>IF(C30="","",IFERROR(INDEX('رصيد المخزن'!$C$5:$C$304,MATCH(C30,'رصيد المخزن'!$A$5:$A$304,0)),""))</f>
        <v/>
      </c>
      <c r="F30" s="39">
        <f>IF(C30="","",IFERROR(INDEX('رصيد المخزن'!$D$5:$D$304,MATCH(C30,'رصيد المخزن'!$A$5:$A$304,0)),""))</f>
        <v/>
      </c>
      <c r="G30" s="41" t="n"/>
      <c r="H30" s="40" t="n"/>
      <c r="I30" s="40" t="n"/>
      <c r="J30" s="46">
        <f>IF(C30="","",IFERROR(INDEX('رصيد المخزن'!$H$5:$H$304,MATCH(C30,'رصيد المخزن'!$A$5:$A$304,0)),""))</f>
        <v/>
      </c>
      <c r="K30" s="49">
        <f>IF(C30="","",IF(N(J30)&lt;0,"صرف أكثر من الرصيد!",""))</f>
        <v/>
      </c>
    </row>
    <row r="31">
      <c r="A31" s="39">
        <f>IF(C31="","","ISS-"&amp;TEXT(ROW()-4,"0000"))</f>
        <v/>
      </c>
      <c r="B31" s="47" t="n"/>
      <c r="C31" s="50" t="n"/>
      <c r="D31" s="49">
        <f>IF(C31="","",IFERROR(INDEX('رصيد المخزن'!$B$5:$B$304,MATCH(C31,'رصيد المخزن'!$A$5:$A$304,0)),""))</f>
        <v/>
      </c>
      <c r="E31" s="39">
        <f>IF(C31="","",IFERROR(INDEX('رصيد المخزن'!$C$5:$C$304,MATCH(C31,'رصيد المخزن'!$A$5:$A$304,0)),""))</f>
        <v/>
      </c>
      <c r="F31" s="39">
        <f>IF(C31="","",IFERROR(INDEX('رصيد المخزن'!$D$5:$D$304,MATCH(C31,'رصيد المخزن'!$A$5:$A$304,0)),""))</f>
        <v/>
      </c>
      <c r="G31" s="41" t="n"/>
      <c r="H31" s="40" t="n"/>
      <c r="I31" s="40" t="n"/>
      <c r="J31" s="46">
        <f>IF(C31="","",IFERROR(INDEX('رصيد المخزن'!$H$5:$H$304,MATCH(C31,'رصيد المخزن'!$A$5:$A$304,0)),""))</f>
        <v/>
      </c>
      <c r="K31" s="49">
        <f>IF(C31="","",IF(N(J31)&lt;0,"صرف أكثر من الرصيد!",""))</f>
        <v/>
      </c>
    </row>
    <row r="32">
      <c r="A32" s="39">
        <f>IF(C32="","","ISS-"&amp;TEXT(ROW()-4,"0000"))</f>
        <v/>
      </c>
      <c r="B32" s="47" t="n"/>
      <c r="C32" s="50" t="n"/>
      <c r="D32" s="49">
        <f>IF(C32="","",IFERROR(INDEX('رصيد المخزن'!$B$5:$B$304,MATCH(C32,'رصيد المخزن'!$A$5:$A$304,0)),""))</f>
        <v/>
      </c>
      <c r="E32" s="39">
        <f>IF(C32="","",IFERROR(INDEX('رصيد المخزن'!$C$5:$C$304,MATCH(C32,'رصيد المخزن'!$A$5:$A$304,0)),""))</f>
        <v/>
      </c>
      <c r="F32" s="39">
        <f>IF(C32="","",IFERROR(INDEX('رصيد المخزن'!$D$5:$D$304,MATCH(C32,'رصيد المخزن'!$A$5:$A$304,0)),""))</f>
        <v/>
      </c>
      <c r="G32" s="41" t="n"/>
      <c r="H32" s="40" t="n"/>
      <c r="I32" s="40" t="n"/>
      <c r="J32" s="46">
        <f>IF(C32="","",IFERROR(INDEX('رصيد المخزن'!$H$5:$H$304,MATCH(C32,'رصيد المخزن'!$A$5:$A$304,0)),""))</f>
        <v/>
      </c>
      <c r="K32" s="49">
        <f>IF(C32="","",IF(N(J32)&lt;0,"صرف أكثر من الرصيد!",""))</f>
        <v/>
      </c>
    </row>
    <row r="33">
      <c r="A33" s="39">
        <f>IF(C33="","","ISS-"&amp;TEXT(ROW()-4,"0000"))</f>
        <v/>
      </c>
      <c r="B33" s="47" t="n"/>
      <c r="C33" s="50" t="n"/>
      <c r="D33" s="49">
        <f>IF(C33="","",IFERROR(INDEX('رصيد المخزن'!$B$5:$B$304,MATCH(C33,'رصيد المخزن'!$A$5:$A$304,0)),""))</f>
        <v/>
      </c>
      <c r="E33" s="39">
        <f>IF(C33="","",IFERROR(INDEX('رصيد المخزن'!$C$5:$C$304,MATCH(C33,'رصيد المخزن'!$A$5:$A$304,0)),""))</f>
        <v/>
      </c>
      <c r="F33" s="39">
        <f>IF(C33="","",IFERROR(INDEX('رصيد المخزن'!$D$5:$D$304,MATCH(C33,'رصيد المخزن'!$A$5:$A$304,0)),""))</f>
        <v/>
      </c>
      <c r="G33" s="41" t="n"/>
      <c r="H33" s="40" t="n"/>
      <c r="I33" s="40" t="n"/>
      <c r="J33" s="46">
        <f>IF(C33="","",IFERROR(INDEX('رصيد المخزن'!$H$5:$H$304,MATCH(C33,'رصيد المخزن'!$A$5:$A$304,0)),""))</f>
        <v/>
      </c>
      <c r="K33" s="49">
        <f>IF(C33="","",IF(N(J33)&lt;0,"صرف أكثر من الرصيد!",""))</f>
        <v/>
      </c>
    </row>
    <row r="34">
      <c r="A34" s="39">
        <f>IF(C34="","","ISS-"&amp;TEXT(ROW()-4,"0000"))</f>
        <v/>
      </c>
      <c r="B34" s="47" t="n"/>
      <c r="C34" s="50" t="n"/>
      <c r="D34" s="49">
        <f>IF(C34="","",IFERROR(INDEX('رصيد المخزن'!$B$5:$B$304,MATCH(C34,'رصيد المخزن'!$A$5:$A$304,0)),""))</f>
        <v/>
      </c>
      <c r="E34" s="39">
        <f>IF(C34="","",IFERROR(INDEX('رصيد المخزن'!$C$5:$C$304,MATCH(C34,'رصيد المخزن'!$A$5:$A$304,0)),""))</f>
        <v/>
      </c>
      <c r="F34" s="39">
        <f>IF(C34="","",IFERROR(INDEX('رصيد المخزن'!$D$5:$D$304,MATCH(C34,'رصيد المخزن'!$A$5:$A$304,0)),""))</f>
        <v/>
      </c>
      <c r="G34" s="41" t="n"/>
      <c r="H34" s="40" t="n"/>
      <c r="I34" s="40" t="n"/>
      <c r="J34" s="46">
        <f>IF(C34="","",IFERROR(INDEX('رصيد المخزن'!$H$5:$H$304,MATCH(C34,'رصيد المخزن'!$A$5:$A$304,0)),""))</f>
        <v/>
      </c>
      <c r="K34" s="49">
        <f>IF(C34="","",IF(N(J34)&lt;0,"صرف أكثر من الرصيد!",""))</f>
        <v/>
      </c>
    </row>
    <row r="35">
      <c r="A35" s="39">
        <f>IF(C35="","","ISS-"&amp;TEXT(ROW()-4,"0000"))</f>
        <v/>
      </c>
      <c r="B35" s="47" t="n"/>
      <c r="C35" s="50" t="n"/>
      <c r="D35" s="49">
        <f>IF(C35="","",IFERROR(INDEX('رصيد المخزن'!$B$5:$B$304,MATCH(C35,'رصيد المخزن'!$A$5:$A$304,0)),""))</f>
        <v/>
      </c>
      <c r="E35" s="39">
        <f>IF(C35="","",IFERROR(INDEX('رصيد المخزن'!$C$5:$C$304,MATCH(C35,'رصيد المخزن'!$A$5:$A$304,0)),""))</f>
        <v/>
      </c>
      <c r="F35" s="39">
        <f>IF(C35="","",IFERROR(INDEX('رصيد المخزن'!$D$5:$D$304,MATCH(C35,'رصيد المخزن'!$A$5:$A$304,0)),""))</f>
        <v/>
      </c>
      <c r="G35" s="41" t="n"/>
      <c r="H35" s="40" t="n"/>
      <c r="I35" s="40" t="n"/>
      <c r="J35" s="46">
        <f>IF(C35="","",IFERROR(INDEX('رصيد المخزن'!$H$5:$H$304,MATCH(C35,'رصيد المخزن'!$A$5:$A$304,0)),""))</f>
        <v/>
      </c>
      <c r="K35" s="49">
        <f>IF(C35="","",IF(N(J35)&lt;0,"صرف أكثر من الرصيد!",""))</f>
        <v/>
      </c>
    </row>
    <row r="36">
      <c r="A36" s="39">
        <f>IF(C36="","","ISS-"&amp;TEXT(ROW()-4,"0000"))</f>
        <v/>
      </c>
      <c r="B36" s="47" t="n"/>
      <c r="C36" s="50" t="n"/>
      <c r="D36" s="49">
        <f>IF(C36="","",IFERROR(INDEX('رصيد المخزن'!$B$5:$B$304,MATCH(C36,'رصيد المخزن'!$A$5:$A$304,0)),""))</f>
        <v/>
      </c>
      <c r="E36" s="39">
        <f>IF(C36="","",IFERROR(INDEX('رصيد المخزن'!$C$5:$C$304,MATCH(C36,'رصيد المخزن'!$A$5:$A$304,0)),""))</f>
        <v/>
      </c>
      <c r="F36" s="39">
        <f>IF(C36="","",IFERROR(INDEX('رصيد المخزن'!$D$5:$D$304,MATCH(C36,'رصيد المخزن'!$A$5:$A$304,0)),""))</f>
        <v/>
      </c>
      <c r="G36" s="41" t="n"/>
      <c r="H36" s="40" t="n"/>
      <c r="I36" s="40" t="n"/>
      <c r="J36" s="46">
        <f>IF(C36="","",IFERROR(INDEX('رصيد المخزن'!$H$5:$H$304,MATCH(C36,'رصيد المخزن'!$A$5:$A$304,0)),""))</f>
        <v/>
      </c>
      <c r="K36" s="49">
        <f>IF(C36="","",IF(N(J36)&lt;0,"صرف أكثر من الرصيد!",""))</f>
        <v/>
      </c>
    </row>
    <row r="37">
      <c r="A37" s="39">
        <f>IF(C37="","","ISS-"&amp;TEXT(ROW()-4,"0000"))</f>
        <v/>
      </c>
      <c r="B37" s="47" t="n"/>
      <c r="C37" s="50" t="n"/>
      <c r="D37" s="49">
        <f>IF(C37="","",IFERROR(INDEX('رصيد المخزن'!$B$5:$B$304,MATCH(C37,'رصيد المخزن'!$A$5:$A$304,0)),""))</f>
        <v/>
      </c>
      <c r="E37" s="39">
        <f>IF(C37="","",IFERROR(INDEX('رصيد المخزن'!$C$5:$C$304,MATCH(C37,'رصيد المخزن'!$A$5:$A$304,0)),""))</f>
        <v/>
      </c>
      <c r="F37" s="39">
        <f>IF(C37="","",IFERROR(INDEX('رصيد المخزن'!$D$5:$D$304,MATCH(C37,'رصيد المخزن'!$A$5:$A$304,0)),""))</f>
        <v/>
      </c>
      <c r="G37" s="41" t="n"/>
      <c r="H37" s="40" t="n"/>
      <c r="I37" s="40" t="n"/>
      <c r="J37" s="46">
        <f>IF(C37="","",IFERROR(INDEX('رصيد المخزن'!$H$5:$H$304,MATCH(C37,'رصيد المخزن'!$A$5:$A$304,0)),""))</f>
        <v/>
      </c>
      <c r="K37" s="49">
        <f>IF(C37="","",IF(N(J37)&lt;0,"صرف أكثر من الرصيد!",""))</f>
        <v/>
      </c>
    </row>
    <row r="38">
      <c r="A38" s="39">
        <f>IF(C38="","","ISS-"&amp;TEXT(ROW()-4,"0000"))</f>
        <v/>
      </c>
      <c r="B38" s="47" t="n"/>
      <c r="C38" s="50" t="n"/>
      <c r="D38" s="49">
        <f>IF(C38="","",IFERROR(INDEX('رصيد المخزن'!$B$5:$B$304,MATCH(C38,'رصيد المخزن'!$A$5:$A$304,0)),""))</f>
        <v/>
      </c>
      <c r="E38" s="39">
        <f>IF(C38="","",IFERROR(INDEX('رصيد المخزن'!$C$5:$C$304,MATCH(C38,'رصيد المخزن'!$A$5:$A$304,0)),""))</f>
        <v/>
      </c>
      <c r="F38" s="39">
        <f>IF(C38="","",IFERROR(INDEX('رصيد المخزن'!$D$5:$D$304,MATCH(C38,'رصيد المخزن'!$A$5:$A$304,0)),""))</f>
        <v/>
      </c>
      <c r="G38" s="41" t="n"/>
      <c r="H38" s="40" t="n"/>
      <c r="I38" s="40" t="n"/>
      <c r="J38" s="46">
        <f>IF(C38="","",IFERROR(INDEX('رصيد المخزن'!$H$5:$H$304,MATCH(C38,'رصيد المخزن'!$A$5:$A$304,0)),""))</f>
        <v/>
      </c>
      <c r="K38" s="49">
        <f>IF(C38="","",IF(N(J38)&lt;0,"صرف أكثر من الرصيد!",""))</f>
        <v/>
      </c>
    </row>
    <row r="39">
      <c r="A39" s="39">
        <f>IF(C39="","","ISS-"&amp;TEXT(ROW()-4,"0000"))</f>
        <v/>
      </c>
      <c r="B39" s="47" t="n"/>
      <c r="C39" s="50" t="n"/>
      <c r="D39" s="49">
        <f>IF(C39="","",IFERROR(INDEX('رصيد المخزن'!$B$5:$B$304,MATCH(C39,'رصيد المخزن'!$A$5:$A$304,0)),""))</f>
        <v/>
      </c>
      <c r="E39" s="39">
        <f>IF(C39="","",IFERROR(INDEX('رصيد المخزن'!$C$5:$C$304,MATCH(C39,'رصيد المخزن'!$A$5:$A$304,0)),""))</f>
        <v/>
      </c>
      <c r="F39" s="39">
        <f>IF(C39="","",IFERROR(INDEX('رصيد المخزن'!$D$5:$D$304,MATCH(C39,'رصيد المخزن'!$A$5:$A$304,0)),""))</f>
        <v/>
      </c>
      <c r="G39" s="41" t="n"/>
      <c r="H39" s="40" t="n"/>
      <c r="I39" s="40" t="n"/>
      <c r="J39" s="46">
        <f>IF(C39="","",IFERROR(INDEX('رصيد المخزن'!$H$5:$H$304,MATCH(C39,'رصيد المخزن'!$A$5:$A$304,0)),""))</f>
        <v/>
      </c>
      <c r="K39" s="49">
        <f>IF(C39="","",IF(N(J39)&lt;0,"صرف أكثر من الرصيد!",""))</f>
        <v/>
      </c>
    </row>
    <row r="40">
      <c r="A40" s="39">
        <f>IF(C40="","","ISS-"&amp;TEXT(ROW()-4,"0000"))</f>
        <v/>
      </c>
      <c r="B40" s="47" t="n"/>
      <c r="C40" s="50" t="n"/>
      <c r="D40" s="49">
        <f>IF(C40="","",IFERROR(INDEX('رصيد المخزن'!$B$5:$B$304,MATCH(C40,'رصيد المخزن'!$A$5:$A$304,0)),""))</f>
        <v/>
      </c>
      <c r="E40" s="39">
        <f>IF(C40="","",IFERROR(INDEX('رصيد المخزن'!$C$5:$C$304,MATCH(C40,'رصيد المخزن'!$A$5:$A$304,0)),""))</f>
        <v/>
      </c>
      <c r="F40" s="39">
        <f>IF(C40="","",IFERROR(INDEX('رصيد المخزن'!$D$5:$D$304,MATCH(C40,'رصيد المخزن'!$A$5:$A$304,0)),""))</f>
        <v/>
      </c>
      <c r="G40" s="41" t="n"/>
      <c r="H40" s="40" t="n"/>
      <c r="I40" s="40" t="n"/>
      <c r="J40" s="46">
        <f>IF(C40="","",IFERROR(INDEX('رصيد المخزن'!$H$5:$H$304,MATCH(C40,'رصيد المخزن'!$A$5:$A$304,0)),""))</f>
        <v/>
      </c>
      <c r="K40" s="49">
        <f>IF(C40="","",IF(N(J40)&lt;0,"صرف أكثر من الرصيد!",""))</f>
        <v/>
      </c>
    </row>
    <row r="41">
      <c r="A41" s="39">
        <f>IF(C41="","","ISS-"&amp;TEXT(ROW()-4,"0000"))</f>
        <v/>
      </c>
      <c r="B41" s="47" t="n"/>
      <c r="C41" s="50" t="n"/>
      <c r="D41" s="49">
        <f>IF(C41="","",IFERROR(INDEX('رصيد المخزن'!$B$5:$B$304,MATCH(C41,'رصيد المخزن'!$A$5:$A$304,0)),""))</f>
        <v/>
      </c>
      <c r="E41" s="39">
        <f>IF(C41="","",IFERROR(INDEX('رصيد المخزن'!$C$5:$C$304,MATCH(C41,'رصيد المخزن'!$A$5:$A$304,0)),""))</f>
        <v/>
      </c>
      <c r="F41" s="39">
        <f>IF(C41="","",IFERROR(INDEX('رصيد المخزن'!$D$5:$D$304,MATCH(C41,'رصيد المخزن'!$A$5:$A$304,0)),""))</f>
        <v/>
      </c>
      <c r="G41" s="41" t="n"/>
      <c r="H41" s="40" t="n"/>
      <c r="I41" s="40" t="n"/>
      <c r="J41" s="46">
        <f>IF(C41="","",IFERROR(INDEX('رصيد المخزن'!$H$5:$H$304,MATCH(C41,'رصيد المخزن'!$A$5:$A$304,0)),""))</f>
        <v/>
      </c>
      <c r="K41" s="49">
        <f>IF(C41="","",IF(N(J41)&lt;0,"صرف أكثر من الرصيد!",""))</f>
        <v/>
      </c>
    </row>
    <row r="42">
      <c r="A42" s="39">
        <f>IF(C42="","","ISS-"&amp;TEXT(ROW()-4,"0000"))</f>
        <v/>
      </c>
      <c r="B42" s="47" t="n"/>
      <c r="C42" s="50" t="n"/>
      <c r="D42" s="49">
        <f>IF(C42="","",IFERROR(INDEX('رصيد المخزن'!$B$5:$B$304,MATCH(C42,'رصيد المخزن'!$A$5:$A$304,0)),""))</f>
        <v/>
      </c>
      <c r="E42" s="39">
        <f>IF(C42="","",IFERROR(INDEX('رصيد المخزن'!$C$5:$C$304,MATCH(C42,'رصيد المخزن'!$A$5:$A$304,0)),""))</f>
        <v/>
      </c>
      <c r="F42" s="39">
        <f>IF(C42="","",IFERROR(INDEX('رصيد المخزن'!$D$5:$D$304,MATCH(C42,'رصيد المخزن'!$A$5:$A$304,0)),""))</f>
        <v/>
      </c>
      <c r="G42" s="41" t="n"/>
      <c r="H42" s="40" t="n"/>
      <c r="I42" s="40" t="n"/>
      <c r="J42" s="46">
        <f>IF(C42="","",IFERROR(INDEX('رصيد المخزن'!$H$5:$H$304,MATCH(C42,'رصيد المخزن'!$A$5:$A$304,0)),""))</f>
        <v/>
      </c>
      <c r="K42" s="49">
        <f>IF(C42="","",IF(N(J42)&lt;0,"صرف أكثر من الرصيد!",""))</f>
        <v/>
      </c>
    </row>
    <row r="43">
      <c r="A43" s="39">
        <f>IF(C43="","","ISS-"&amp;TEXT(ROW()-4,"0000"))</f>
        <v/>
      </c>
      <c r="B43" s="47" t="n"/>
      <c r="C43" s="50" t="n"/>
      <c r="D43" s="49">
        <f>IF(C43="","",IFERROR(INDEX('رصيد المخزن'!$B$5:$B$304,MATCH(C43,'رصيد المخزن'!$A$5:$A$304,0)),""))</f>
        <v/>
      </c>
      <c r="E43" s="39">
        <f>IF(C43="","",IFERROR(INDEX('رصيد المخزن'!$C$5:$C$304,MATCH(C43,'رصيد المخزن'!$A$5:$A$304,0)),""))</f>
        <v/>
      </c>
      <c r="F43" s="39">
        <f>IF(C43="","",IFERROR(INDEX('رصيد المخزن'!$D$5:$D$304,MATCH(C43,'رصيد المخزن'!$A$5:$A$304,0)),""))</f>
        <v/>
      </c>
      <c r="G43" s="41" t="n"/>
      <c r="H43" s="40" t="n"/>
      <c r="I43" s="40" t="n"/>
      <c r="J43" s="46">
        <f>IF(C43="","",IFERROR(INDEX('رصيد المخزن'!$H$5:$H$304,MATCH(C43,'رصيد المخزن'!$A$5:$A$304,0)),""))</f>
        <v/>
      </c>
      <c r="K43" s="49">
        <f>IF(C43="","",IF(N(J43)&lt;0,"صرف أكثر من الرصيد!",""))</f>
        <v/>
      </c>
    </row>
    <row r="44">
      <c r="A44" s="39">
        <f>IF(C44="","","ISS-"&amp;TEXT(ROW()-4,"0000"))</f>
        <v/>
      </c>
      <c r="B44" s="47" t="n"/>
      <c r="C44" s="50" t="n"/>
      <c r="D44" s="49">
        <f>IF(C44="","",IFERROR(INDEX('رصيد المخزن'!$B$5:$B$304,MATCH(C44,'رصيد المخزن'!$A$5:$A$304,0)),""))</f>
        <v/>
      </c>
      <c r="E44" s="39">
        <f>IF(C44="","",IFERROR(INDEX('رصيد المخزن'!$C$5:$C$304,MATCH(C44,'رصيد المخزن'!$A$5:$A$304,0)),""))</f>
        <v/>
      </c>
      <c r="F44" s="39">
        <f>IF(C44="","",IFERROR(INDEX('رصيد المخزن'!$D$5:$D$304,MATCH(C44,'رصيد المخزن'!$A$5:$A$304,0)),""))</f>
        <v/>
      </c>
      <c r="G44" s="41" t="n"/>
      <c r="H44" s="40" t="n"/>
      <c r="I44" s="40" t="n"/>
      <c r="J44" s="46">
        <f>IF(C44="","",IFERROR(INDEX('رصيد المخزن'!$H$5:$H$304,MATCH(C44,'رصيد المخزن'!$A$5:$A$304,0)),""))</f>
        <v/>
      </c>
      <c r="K44" s="49">
        <f>IF(C44="","",IF(N(J44)&lt;0,"صرف أكثر من الرصيد!",""))</f>
        <v/>
      </c>
    </row>
    <row r="45">
      <c r="A45" s="39">
        <f>IF(C45="","","ISS-"&amp;TEXT(ROW()-4,"0000"))</f>
        <v/>
      </c>
      <c r="B45" s="47" t="n"/>
      <c r="C45" s="50" t="n"/>
      <c r="D45" s="49">
        <f>IF(C45="","",IFERROR(INDEX('رصيد المخزن'!$B$5:$B$304,MATCH(C45,'رصيد المخزن'!$A$5:$A$304,0)),""))</f>
        <v/>
      </c>
      <c r="E45" s="39">
        <f>IF(C45="","",IFERROR(INDEX('رصيد المخزن'!$C$5:$C$304,MATCH(C45,'رصيد المخزن'!$A$5:$A$304,0)),""))</f>
        <v/>
      </c>
      <c r="F45" s="39">
        <f>IF(C45="","",IFERROR(INDEX('رصيد المخزن'!$D$5:$D$304,MATCH(C45,'رصيد المخزن'!$A$5:$A$304,0)),""))</f>
        <v/>
      </c>
      <c r="G45" s="41" t="n"/>
      <c r="H45" s="40" t="n"/>
      <c r="I45" s="40" t="n"/>
      <c r="J45" s="46">
        <f>IF(C45="","",IFERROR(INDEX('رصيد المخزن'!$H$5:$H$304,MATCH(C45,'رصيد المخزن'!$A$5:$A$304,0)),""))</f>
        <v/>
      </c>
      <c r="K45" s="49">
        <f>IF(C45="","",IF(N(J45)&lt;0,"صرف أكثر من الرصيد!",""))</f>
        <v/>
      </c>
    </row>
    <row r="46">
      <c r="A46" s="39">
        <f>IF(C46="","","ISS-"&amp;TEXT(ROW()-4,"0000"))</f>
        <v/>
      </c>
      <c r="B46" s="47" t="n"/>
      <c r="C46" s="50" t="n"/>
      <c r="D46" s="49">
        <f>IF(C46="","",IFERROR(INDEX('رصيد المخزن'!$B$5:$B$304,MATCH(C46,'رصيد المخزن'!$A$5:$A$304,0)),""))</f>
        <v/>
      </c>
      <c r="E46" s="39">
        <f>IF(C46="","",IFERROR(INDEX('رصيد المخزن'!$C$5:$C$304,MATCH(C46,'رصيد المخزن'!$A$5:$A$304,0)),""))</f>
        <v/>
      </c>
      <c r="F46" s="39">
        <f>IF(C46="","",IFERROR(INDEX('رصيد المخزن'!$D$5:$D$304,MATCH(C46,'رصيد المخزن'!$A$5:$A$304,0)),""))</f>
        <v/>
      </c>
      <c r="G46" s="41" t="n"/>
      <c r="H46" s="40" t="n"/>
      <c r="I46" s="40" t="n"/>
      <c r="J46" s="46">
        <f>IF(C46="","",IFERROR(INDEX('رصيد المخزن'!$H$5:$H$304,MATCH(C46,'رصيد المخزن'!$A$5:$A$304,0)),""))</f>
        <v/>
      </c>
      <c r="K46" s="49">
        <f>IF(C46="","",IF(N(J46)&lt;0,"صرف أكثر من الرصيد!",""))</f>
        <v/>
      </c>
    </row>
    <row r="47">
      <c r="A47" s="39">
        <f>IF(C47="","","ISS-"&amp;TEXT(ROW()-4,"0000"))</f>
        <v/>
      </c>
      <c r="B47" s="47" t="n"/>
      <c r="C47" s="50" t="n"/>
      <c r="D47" s="49">
        <f>IF(C47="","",IFERROR(INDEX('رصيد المخزن'!$B$5:$B$304,MATCH(C47,'رصيد المخزن'!$A$5:$A$304,0)),""))</f>
        <v/>
      </c>
      <c r="E47" s="39">
        <f>IF(C47="","",IFERROR(INDEX('رصيد المخزن'!$C$5:$C$304,MATCH(C47,'رصيد المخزن'!$A$5:$A$304,0)),""))</f>
        <v/>
      </c>
      <c r="F47" s="39">
        <f>IF(C47="","",IFERROR(INDEX('رصيد المخزن'!$D$5:$D$304,MATCH(C47,'رصيد المخزن'!$A$5:$A$304,0)),""))</f>
        <v/>
      </c>
      <c r="G47" s="41" t="n"/>
      <c r="H47" s="40" t="n"/>
      <c r="I47" s="40" t="n"/>
      <c r="J47" s="46">
        <f>IF(C47="","",IFERROR(INDEX('رصيد المخزن'!$H$5:$H$304,MATCH(C47,'رصيد المخزن'!$A$5:$A$304,0)),""))</f>
        <v/>
      </c>
      <c r="K47" s="49">
        <f>IF(C47="","",IF(N(J47)&lt;0,"صرف أكثر من الرصيد!",""))</f>
        <v/>
      </c>
    </row>
    <row r="48">
      <c r="A48" s="39">
        <f>IF(C48="","","ISS-"&amp;TEXT(ROW()-4,"0000"))</f>
        <v/>
      </c>
      <c r="B48" s="47" t="n"/>
      <c r="C48" s="50" t="n"/>
      <c r="D48" s="49">
        <f>IF(C48="","",IFERROR(INDEX('رصيد المخزن'!$B$5:$B$304,MATCH(C48,'رصيد المخزن'!$A$5:$A$304,0)),""))</f>
        <v/>
      </c>
      <c r="E48" s="39">
        <f>IF(C48="","",IFERROR(INDEX('رصيد المخزن'!$C$5:$C$304,MATCH(C48,'رصيد المخزن'!$A$5:$A$304,0)),""))</f>
        <v/>
      </c>
      <c r="F48" s="39">
        <f>IF(C48="","",IFERROR(INDEX('رصيد المخزن'!$D$5:$D$304,MATCH(C48,'رصيد المخزن'!$A$5:$A$304,0)),""))</f>
        <v/>
      </c>
      <c r="G48" s="41" t="n"/>
      <c r="H48" s="40" t="n"/>
      <c r="I48" s="40" t="n"/>
      <c r="J48" s="46">
        <f>IF(C48="","",IFERROR(INDEX('رصيد المخزن'!$H$5:$H$304,MATCH(C48,'رصيد المخزن'!$A$5:$A$304,0)),""))</f>
        <v/>
      </c>
      <c r="K48" s="49">
        <f>IF(C48="","",IF(N(J48)&lt;0,"صرف أكثر من الرصيد!",""))</f>
        <v/>
      </c>
    </row>
    <row r="49">
      <c r="A49" s="39">
        <f>IF(C49="","","ISS-"&amp;TEXT(ROW()-4,"0000"))</f>
        <v/>
      </c>
      <c r="B49" s="47" t="n"/>
      <c r="C49" s="50" t="n"/>
      <c r="D49" s="49">
        <f>IF(C49="","",IFERROR(INDEX('رصيد المخزن'!$B$5:$B$304,MATCH(C49,'رصيد المخزن'!$A$5:$A$304,0)),""))</f>
        <v/>
      </c>
      <c r="E49" s="39">
        <f>IF(C49="","",IFERROR(INDEX('رصيد المخزن'!$C$5:$C$304,MATCH(C49,'رصيد المخزن'!$A$5:$A$304,0)),""))</f>
        <v/>
      </c>
      <c r="F49" s="39">
        <f>IF(C49="","",IFERROR(INDEX('رصيد المخزن'!$D$5:$D$304,MATCH(C49,'رصيد المخزن'!$A$5:$A$304,0)),""))</f>
        <v/>
      </c>
      <c r="G49" s="41" t="n"/>
      <c r="H49" s="40" t="n"/>
      <c r="I49" s="40" t="n"/>
      <c r="J49" s="46">
        <f>IF(C49="","",IFERROR(INDEX('رصيد المخزن'!$H$5:$H$304,MATCH(C49,'رصيد المخزن'!$A$5:$A$304,0)),""))</f>
        <v/>
      </c>
      <c r="K49" s="49">
        <f>IF(C49="","",IF(N(J49)&lt;0,"صرف أكثر من الرصيد!",""))</f>
        <v/>
      </c>
    </row>
    <row r="50">
      <c r="A50" s="39">
        <f>IF(C50="","","ISS-"&amp;TEXT(ROW()-4,"0000"))</f>
        <v/>
      </c>
      <c r="B50" s="47" t="n"/>
      <c r="C50" s="50" t="n"/>
      <c r="D50" s="49">
        <f>IF(C50="","",IFERROR(INDEX('رصيد المخزن'!$B$5:$B$304,MATCH(C50,'رصيد المخزن'!$A$5:$A$304,0)),""))</f>
        <v/>
      </c>
      <c r="E50" s="39">
        <f>IF(C50="","",IFERROR(INDEX('رصيد المخزن'!$C$5:$C$304,MATCH(C50,'رصيد المخزن'!$A$5:$A$304,0)),""))</f>
        <v/>
      </c>
      <c r="F50" s="39">
        <f>IF(C50="","",IFERROR(INDEX('رصيد المخزن'!$D$5:$D$304,MATCH(C50,'رصيد المخزن'!$A$5:$A$304,0)),""))</f>
        <v/>
      </c>
      <c r="G50" s="41" t="n"/>
      <c r="H50" s="40" t="n"/>
      <c r="I50" s="40" t="n"/>
      <c r="J50" s="46">
        <f>IF(C50="","",IFERROR(INDEX('رصيد المخزن'!$H$5:$H$304,MATCH(C50,'رصيد المخزن'!$A$5:$A$304,0)),""))</f>
        <v/>
      </c>
      <c r="K50" s="49">
        <f>IF(C50="","",IF(N(J50)&lt;0,"صرف أكثر من الرصيد!",""))</f>
        <v/>
      </c>
    </row>
    <row r="51">
      <c r="A51" s="39">
        <f>IF(C51="","","ISS-"&amp;TEXT(ROW()-4,"0000"))</f>
        <v/>
      </c>
      <c r="B51" s="47" t="n"/>
      <c r="C51" s="50" t="n"/>
      <c r="D51" s="49">
        <f>IF(C51="","",IFERROR(INDEX('رصيد المخزن'!$B$5:$B$304,MATCH(C51,'رصيد المخزن'!$A$5:$A$304,0)),""))</f>
        <v/>
      </c>
      <c r="E51" s="39">
        <f>IF(C51="","",IFERROR(INDEX('رصيد المخزن'!$C$5:$C$304,MATCH(C51,'رصيد المخزن'!$A$5:$A$304,0)),""))</f>
        <v/>
      </c>
      <c r="F51" s="39">
        <f>IF(C51="","",IFERROR(INDEX('رصيد المخزن'!$D$5:$D$304,MATCH(C51,'رصيد المخزن'!$A$5:$A$304,0)),""))</f>
        <v/>
      </c>
      <c r="G51" s="41" t="n"/>
      <c r="H51" s="40" t="n"/>
      <c r="I51" s="40" t="n"/>
      <c r="J51" s="46">
        <f>IF(C51="","",IFERROR(INDEX('رصيد المخزن'!$H$5:$H$304,MATCH(C51,'رصيد المخزن'!$A$5:$A$304,0)),""))</f>
        <v/>
      </c>
      <c r="K51" s="49">
        <f>IF(C51="","",IF(N(J51)&lt;0,"صرف أكثر من الرصيد!",""))</f>
        <v/>
      </c>
    </row>
    <row r="52">
      <c r="A52" s="39">
        <f>IF(C52="","","ISS-"&amp;TEXT(ROW()-4,"0000"))</f>
        <v/>
      </c>
      <c r="B52" s="47" t="n"/>
      <c r="C52" s="50" t="n"/>
      <c r="D52" s="49">
        <f>IF(C52="","",IFERROR(INDEX('رصيد المخزن'!$B$5:$B$304,MATCH(C52,'رصيد المخزن'!$A$5:$A$304,0)),""))</f>
        <v/>
      </c>
      <c r="E52" s="39">
        <f>IF(C52="","",IFERROR(INDEX('رصيد المخزن'!$C$5:$C$304,MATCH(C52,'رصيد المخزن'!$A$5:$A$304,0)),""))</f>
        <v/>
      </c>
      <c r="F52" s="39">
        <f>IF(C52="","",IFERROR(INDEX('رصيد المخزن'!$D$5:$D$304,MATCH(C52,'رصيد المخزن'!$A$5:$A$304,0)),""))</f>
        <v/>
      </c>
      <c r="G52" s="41" t="n"/>
      <c r="H52" s="40" t="n"/>
      <c r="I52" s="40" t="n"/>
      <c r="J52" s="46">
        <f>IF(C52="","",IFERROR(INDEX('رصيد المخزن'!$H$5:$H$304,MATCH(C52,'رصيد المخزن'!$A$5:$A$304,0)),""))</f>
        <v/>
      </c>
      <c r="K52" s="49">
        <f>IF(C52="","",IF(N(J52)&lt;0,"صرف أكثر من الرصيد!",""))</f>
        <v/>
      </c>
    </row>
    <row r="53">
      <c r="A53" s="39">
        <f>IF(C53="","","ISS-"&amp;TEXT(ROW()-4,"0000"))</f>
        <v/>
      </c>
      <c r="B53" s="47" t="n"/>
      <c r="C53" s="50" t="n"/>
      <c r="D53" s="49">
        <f>IF(C53="","",IFERROR(INDEX('رصيد المخزن'!$B$5:$B$304,MATCH(C53,'رصيد المخزن'!$A$5:$A$304,0)),""))</f>
        <v/>
      </c>
      <c r="E53" s="39">
        <f>IF(C53="","",IFERROR(INDEX('رصيد المخزن'!$C$5:$C$304,MATCH(C53,'رصيد المخزن'!$A$5:$A$304,0)),""))</f>
        <v/>
      </c>
      <c r="F53" s="39">
        <f>IF(C53="","",IFERROR(INDEX('رصيد المخزن'!$D$5:$D$304,MATCH(C53,'رصيد المخزن'!$A$5:$A$304,0)),""))</f>
        <v/>
      </c>
      <c r="G53" s="41" t="n"/>
      <c r="H53" s="40" t="n"/>
      <c r="I53" s="40" t="n"/>
      <c r="J53" s="46">
        <f>IF(C53="","",IFERROR(INDEX('رصيد المخزن'!$H$5:$H$304,MATCH(C53,'رصيد المخزن'!$A$5:$A$304,0)),""))</f>
        <v/>
      </c>
      <c r="K53" s="49">
        <f>IF(C53="","",IF(N(J53)&lt;0,"صرف أكثر من الرصيد!",""))</f>
        <v/>
      </c>
    </row>
    <row r="54">
      <c r="A54" s="39">
        <f>IF(C54="","","ISS-"&amp;TEXT(ROW()-4,"0000"))</f>
        <v/>
      </c>
      <c r="B54" s="47" t="n"/>
      <c r="C54" s="50" t="n"/>
      <c r="D54" s="49">
        <f>IF(C54="","",IFERROR(INDEX('رصيد المخزن'!$B$5:$B$304,MATCH(C54,'رصيد المخزن'!$A$5:$A$304,0)),""))</f>
        <v/>
      </c>
      <c r="E54" s="39">
        <f>IF(C54="","",IFERROR(INDEX('رصيد المخزن'!$C$5:$C$304,MATCH(C54,'رصيد المخزن'!$A$5:$A$304,0)),""))</f>
        <v/>
      </c>
      <c r="F54" s="39">
        <f>IF(C54="","",IFERROR(INDEX('رصيد المخزن'!$D$5:$D$304,MATCH(C54,'رصيد المخزن'!$A$5:$A$304,0)),""))</f>
        <v/>
      </c>
      <c r="G54" s="41" t="n"/>
      <c r="H54" s="40" t="n"/>
      <c r="I54" s="40" t="n"/>
      <c r="J54" s="46">
        <f>IF(C54="","",IFERROR(INDEX('رصيد المخزن'!$H$5:$H$304,MATCH(C54,'رصيد المخزن'!$A$5:$A$304,0)),""))</f>
        <v/>
      </c>
      <c r="K54" s="49">
        <f>IF(C54="","",IF(N(J54)&lt;0,"صرف أكثر من الرصيد!",""))</f>
        <v/>
      </c>
    </row>
    <row r="55">
      <c r="A55" s="39">
        <f>IF(C55="","","ISS-"&amp;TEXT(ROW()-4,"0000"))</f>
        <v/>
      </c>
      <c r="B55" s="47" t="n"/>
      <c r="C55" s="50" t="n"/>
      <c r="D55" s="49">
        <f>IF(C55="","",IFERROR(INDEX('رصيد المخزن'!$B$5:$B$304,MATCH(C55,'رصيد المخزن'!$A$5:$A$304,0)),""))</f>
        <v/>
      </c>
      <c r="E55" s="39">
        <f>IF(C55="","",IFERROR(INDEX('رصيد المخزن'!$C$5:$C$304,MATCH(C55,'رصيد المخزن'!$A$5:$A$304,0)),""))</f>
        <v/>
      </c>
      <c r="F55" s="39">
        <f>IF(C55="","",IFERROR(INDEX('رصيد المخزن'!$D$5:$D$304,MATCH(C55,'رصيد المخزن'!$A$5:$A$304,0)),""))</f>
        <v/>
      </c>
      <c r="G55" s="41" t="n"/>
      <c r="H55" s="40" t="n"/>
      <c r="I55" s="40" t="n"/>
      <c r="J55" s="46">
        <f>IF(C55="","",IFERROR(INDEX('رصيد المخزن'!$H$5:$H$304,MATCH(C55,'رصيد المخزن'!$A$5:$A$304,0)),""))</f>
        <v/>
      </c>
      <c r="K55" s="49">
        <f>IF(C55="","",IF(N(J55)&lt;0,"صرف أكثر من الرصيد!",""))</f>
        <v/>
      </c>
    </row>
    <row r="56">
      <c r="A56" s="39">
        <f>IF(C56="","","ISS-"&amp;TEXT(ROW()-4,"0000"))</f>
        <v/>
      </c>
      <c r="B56" s="47" t="n"/>
      <c r="C56" s="50" t="n"/>
      <c r="D56" s="49">
        <f>IF(C56="","",IFERROR(INDEX('رصيد المخزن'!$B$5:$B$304,MATCH(C56,'رصيد المخزن'!$A$5:$A$304,0)),""))</f>
        <v/>
      </c>
      <c r="E56" s="39">
        <f>IF(C56="","",IFERROR(INDEX('رصيد المخزن'!$C$5:$C$304,MATCH(C56,'رصيد المخزن'!$A$5:$A$304,0)),""))</f>
        <v/>
      </c>
      <c r="F56" s="39">
        <f>IF(C56="","",IFERROR(INDEX('رصيد المخزن'!$D$5:$D$304,MATCH(C56,'رصيد المخزن'!$A$5:$A$304,0)),""))</f>
        <v/>
      </c>
      <c r="G56" s="41" t="n"/>
      <c r="H56" s="40" t="n"/>
      <c r="I56" s="40" t="n"/>
      <c r="J56" s="46">
        <f>IF(C56="","",IFERROR(INDEX('رصيد المخزن'!$H$5:$H$304,MATCH(C56,'رصيد المخزن'!$A$5:$A$304,0)),""))</f>
        <v/>
      </c>
      <c r="K56" s="49">
        <f>IF(C56="","",IF(N(J56)&lt;0,"صرف أكثر من الرصيد!",""))</f>
        <v/>
      </c>
    </row>
    <row r="57">
      <c r="A57" s="39">
        <f>IF(C57="","","ISS-"&amp;TEXT(ROW()-4,"0000"))</f>
        <v/>
      </c>
      <c r="B57" s="47" t="n"/>
      <c r="C57" s="50" t="n"/>
      <c r="D57" s="49">
        <f>IF(C57="","",IFERROR(INDEX('رصيد المخزن'!$B$5:$B$304,MATCH(C57,'رصيد المخزن'!$A$5:$A$304,0)),""))</f>
        <v/>
      </c>
      <c r="E57" s="39">
        <f>IF(C57="","",IFERROR(INDEX('رصيد المخزن'!$C$5:$C$304,MATCH(C57,'رصيد المخزن'!$A$5:$A$304,0)),""))</f>
        <v/>
      </c>
      <c r="F57" s="39">
        <f>IF(C57="","",IFERROR(INDEX('رصيد المخزن'!$D$5:$D$304,MATCH(C57,'رصيد المخزن'!$A$5:$A$304,0)),""))</f>
        <v/>
      </c>
      <c r="G57" s="41" t="n"/>
      <c r="H57" s="40" t="n"/>
      <c r="I57" s="40" t="n"/>
      <c r="J57" s="46">
        <f>IF(C57="","",IFERROR(INDEX('رصيد المخزن'!$H$5:$H$304,MATCH(C57,'رصيد المخزن'!$A$5:$A$304,0)),""))</f>
        <v/>
      </c>
      <c r="K57" s="49">
        <f>IF(C57="","",IF(N(J57)&lt;0,"صرف أكثر من الرصيد!",""))</f>
        <v/>
      </c>
    </row>
    <row r="58">
      <c r="A58" s="39">
        <f>IF(C58="","","ISS-"&amp;TEXT(ROW()-4,"0000"))</f>
        <v/>
      </c>
      <c r="B58" s="47" t="n"/>
      <c r="C58" s="50" t="n"/>
      <c r="D58" s="49">
        <f>IF(C58="","",IFERROR(INDEX('رصيد المخزن'!$B$5:$B$304,MATCH(C58,'رصيد المخزن'!$A$5:$A$304,0)),""))</f>
        <v/>
      </c>
      <c r="E58" s="39">
        <f>IF(C58="","",IFERROR(INDEX('رصيد المخزن'!$C$5:$C$304,MATCH(C58,'رصيد المخزن'!$A$5:$A$304,0)),""))</f>
        <v/>
      </c>
      <c r="F58" s="39">
        <f>IF(C58="","",IFERROR(INDEX('رصيد المخزن'!$D$5:$D$304,MATCH(C58,'رصيد المخزن'!$A$5:$A$304,0)),""))</f>
        <v/>
      </c>
      <c r="G58" s="41" t="n"/>
      <c r="H58" s="40" t="n"/>
      <c r="I58" s="40" t="n"/>
      <c r="J58" s="46">
        <f>IF(C58="","",IFERROR(INDEX('رصيد المخزن'!$H$5:$H$304,MATCH(C58,'رصيد المخزن'!$A$5:$A$304,0)),""))</f>
        <v/>
      </c>
      <c r="K58" s="49">
        <f>IF(C58="","",IF(N(J58)&lt;0,"صرف أكثر من الرصيد!",""))</f>
        <v/>
      </c>
    </row>
    <row r="59">
      <c r="A59" s="39">
        <f>IF(C59="","","ISS-"&amp;TEXT(ROW()-4,"0000"))</f>
        <v/>
      </c>
      <c r="B59" s="47" t="n"/>
      <c r="C59" s="50" t="n"/>
      <c r="D59" s="49">
        <f>IF(C59="","",IFERROR(INDEX('رصيد المخزن'!$B$5:$B$304,MATCH(C59,'رصيد المخزن'!$A$5:$A$304,0)),""))</f>
        <v/>
      </c>
      <c r="E59" s="39">
        <f>IF(C59="","",IFERROR(INDEX('رصيد المخزن'!$C$5:$C$304,MATCH(C59,'رصيد المخزن'!$A$5:$A$304,0)),""))</f>
        <v/>
      </c>
      <c r="F59" s="39">
        <f>IF(C59="","",IFERROR(INDEX('رصيد المخزن'!$D$5:$D$304,MATCH(C59,'رصيد المخزن'!$A$5:$A$304,0)),""))</f>
        <v/>
      </c>
      <c r="G59" s="41" t="n"/>
      <c r="H59" s="40" t="n"/>
      <c r="I59" s="40" t="n"/>
      <c r="J59" s="46">
        <f>IF(C59="","",IFERROR(INDEX('رصيد المخزن'!$H$5:$H$304,MATCH(C59,'رصيد المخزن'!$A$5:$A$304,0)),""))</f>
        <v/>
      </c>
      <c r="K59" s="49">
        <f>IF(C59="","",IF(N(J59)&lt;0,"صرف أكثر من الرصيد!",""))</f>
        <v/>
      </c>
    </row>
    <row r="60">
      <c r="A60" s="39">
        <f>IF(C60="","","ISS-"&amp;TEXT(ROW()-4,"0000"))</f>
        <v/>
      </c>
      <c r="B60" s="47" t="n"/>
      <c r="C60" s="50" t="n"/>
      <c r="D60" s="49">
        <f>IF(C60="","",IFERROR(INDEX('رصيد المخزن'!$B$5:$B$304,MATCH(C60,'رصيد المخزن'!$A$5:$A$304,0)),""))</f>
        <v/>
      </c>
      <c r="E60" s="39">
        <f>IF(C60="","",IFERROR(INDEX('رصيد المخزن'!$C$5:$C$304,MATCH(C60,'رصيد المخزن'!$A$5:$A$304,0)),""))</f>
        <v/>
      </c>
      <c r="F60" s="39">
        <f>IF(C60="","",IFERROR(INDEX('رصيد المخزن'!$D$5:$D$304,MATCH(C60,'رصيد المخزن'!$A$5:$A$304,0)),""))</f>
        <v/>
      </c>
      <c r="G60" s="41" t="n"/>
      <c r="H60" s="40" t="n"/>
      <c r="I60" s="40" t="n"/>
      <c r="J60" s="46">
        <f>IF(C60="","",IFERROR(INDEX('رصيد المخزن'!$H$5:$H$304,MATCH(C60,'رصيد المخزن'!$A$5:$A$304,0)),""))</f>
        <v/>
      </c>
      <c r="K60" s="49">
        <f>IF(C60="","",IF(N(J60)&lt;0,"صرف أكثر من الرصيد!",""))</f>
        <v/>
      </c>
    </row>
    <row r="61">
      <c r="A61" s="39">
        <f>IF(C61="","","ISS-"&amp;TEXT(ROW()-4,"0000"))</f>
        <v/>
      </c>
      <c r="B61" s="47" t="n"/>
      <c r="C61" s="50" t="n"/>
      <c r="D61" s="49">
        <f>IF(C61="","",IFERROR(INDEX('رصيد المخزن'!$B$5:$B$304,MATCH(C61,'رصيد المخزن'!$A$5:$A$304,0)),""))</f>
        <v/>
      </c>
      <c r="E61" s="39">
        <f>IF(C61="","",IFERROR(INDEX('رصيد المخزن'!$C$5:$C$304,MATCH(C61,'رصيد المخزن'!$A$5:$A$304,0)),""))</f>
        <v/>
      </c>
      <c r="F61" s="39">
        <f>IF(C61="","",IFERROR(INDEX('رصيد المخزن'!$D$5:$D$304,MATCH(C61,'رصيد المخزن'!$A$5:$A$304,0)),""))</f>
        <v/>
      </c>
      <c r="G61" s="41" t="n"/>
      <c r="H61" s="40" t="n"/>
      <c r="I61" s="40" t="n"/>
      <c r="J61" s="46">
        <f>IF(C61="","",IFERROR(INDEX('رصيد المخزن'!$H$5:$H$304,MATCH(C61,'رصيد المخزن'!$A$5:$A$304,0)),""))</f>
        <v/>
      </c>
      <c r="K61" s="49">
        <f>IF(C61="","",IF(N(J61)&lt;0,"صرف أكثر من الرصيد!",""))</f>
        <v/>
      </c>
    </row>
    <row r="62">
      <c r="A62" s="39">
        <f>IF(C62="","","ISS-"&amp;TEXT(ROW()-4,"0000"))</f>
        <v/>
      </c>
      <c r="B62" s="47" t="n"/>
      <c r="C62" s="50" t="n"/>
      <c r="D62" s="49">
        <f>IF(C62="","",IFERROR(INDEX('رصيد المخزن'!$B$5:$B$304,MATCH(C62,'رصيد المخزن'!$A$5:$A$304,0)),""))</f>
        <v/>
      </c>
      <c r="E62" s="39">
        <f>IF(C62="","",IFERROR(INDEX('رصيد المخزن'!$C$5:$C$304,MATCH(C62,'رصيد المخزن'!$A$5:$A$304,0)),""))</f>
        <v/>
      </c>
      <c r="F62" s="39">
        <f>IF(C62="","",IFERROR(INDEX('رصيد المخزن'!$D$5:$D$304,MATCH(C62,'رصيد المخزن'!$A$5:$A$304,0)),""))</f>
        <v/>
      </c>
      <c r="G62" s="41" t="n"/>
      <c r="H62" s="40" t="n"/>
      <c r="I62" s="40" t="n"/>
      <c r="J62" s="46">
        <f>IF(C62="","",IFERROR(INDEX('رصيد المخزن'!$H$5:$H$304,MATCH(C62,'رصيد المخزن'!$A$5:$A$304,0)),""))</f>
        <v/>
      </c>
      <c r="K62" s="49">
        <f>IF(C62="","",IF(N(J62)&lt;0,"صرف أكثر من الرصيد!",""))</f>
        <v/>
      </c>
    </row>
    <row r="63">
      <c r="A63" s="39">
        <f>IF(C63="","","ISS-"&amp;TEXT(ROW()-4,"0000"))</f>
        <v/>
      </c>
      <c r="B63" s="47" t="n"/>
      <c r="C63" s="50" t="n"/>
      <c r="D63" s="49">
        <f>IF(C63="","",IFERROR(INDEX('رصيد المخزن'!$B$5:$B$304,MATCH(C63,'رصيد المخزن'!$A$5:$A$304,0)),""))</f>
        <v/>
      </c>
      <c r="E63" s="39">
        <f>IF(C63="","",IFERROR(INDEX('رصيد المخزن'!$C$5:$C$304,MATCH(C63,'رصيد المخزن'!$A$5:$A$304,0)),""))</f>
        <v/>
      </c>
      <c r="F63" s="39">
        <f>IF(C63="","",IFERROR(INDEX('رصيد المخزن'!$D$5:$D$304,MATCH(C63,'رصيد المخزن'!$A$5:$A$304,0)),""))</f>
        <v/>
      </c>
      <c r="G63" s="41" t="n"/>
      <c r="H63" s="40" t="n"/>
      <c r="I63" s="40" t="n"/>
      <c r="J63" s="46">
        <f>IF(C63="","",IFERROR(INDEX('رصيد المخزن'!$H$5:$H$304,MATCH(C63,'رصيد المخزن'!$A$5:$A$304,0)),""))</f>
        <v/>
      </c>
      <c r="K63" s="49">
        <f>IF(C63="","",IF(N(J63)&lt;0,"صرف أكثر من الرصيد!",""))</f>
        <v/>
      </c>
    </row>
    <row r="64">
      <c r="A64" s="39">
        <f>IF(C64="","","ISS-"&amp;TEXT(ROW()-4,"0000"))</f>
        <v/>
      </c>
      <c r="B64" s="47" t="n"/>
      <c r="C64" s="50" t="n"/>
      <c r="D64" s="49">
        <f>IF(C64="","",IFERROR(INDEX('رصيد المخزن'!$B$5:$B$304,MATCH(C64,'رصيد المخزن'!$A$5:$A$304,0)),""))</f>
        <v/>
      </c>
      <c r="E64" s="39">
        <f>IF(C64="","",IFERROR(INDEX('رصيد المخزن'!$C$5:$C$304,MATCH(C64,'رصيد المخزن'!$A$5:$A$304,0)),""))</f>
        <v/>
      </c>
      <c r="F64" s="39">
        <f>IF(C64="","",IFERROR(INDEX('رصيد المخزن'!$D$5:$D$304,MATCH(C64,'رصيد المخزن'!$A$5:$A$304,0)),""))</f>
        <v/>
      </c>
      <c r="G64" s="41" t="n"/>
      <c r="H64" s="40" t="n"/>
      <c r="I64" s="40" t="n"/>
      <c r="J64" s="46">
        <f>IF(C64="","",IFERROR(INDEX('رصيد المخزن'!$H$5:$H$304,MATCH(C64,'رصيد المخزن'!$A$5:$A$304,0)),""))</f>
        <v/>
      </c>
      <c r="K64" s="49">
        <f>IF(C64="","",IF(N(J64)&lt;0,"صرف أكثر من الرصيد!",""))</f>
        <v/>
      </c>
    </row>
    <row r="65">
      <c r="A65" s="39">
        <f>IF(C65="","","ISS-"&amp;TEXT(ROW()-4,"0000"))</f>
        <v/>
      </c>
      <c r="B65" s="47" t="n"/>
      <c r="C65" s="50" t="n"/>
      <c r="D65" s="49">
        <f>IF(C65="","",IFERROR(INDEX('رصيد المخزن'!$B$5:$B$304,MATCH(C65,'رصيد المخزن'!$A$5:$A$304,0)),""))</f>
        <v/>
      </c>
      <c r="E65" s="39">
        <f>IF(C65="","",IFERROR(INDEX('رصيد المخزن'!$C$5:$C$304,MATCH(C65,'رصيد المخزن'!$A$5:$A$304,0)),""))</f>
        <v/>
      </c>
      <c r="F65" s="39">
        <f>IF(C65="","",IFERROR(INDEX('رصيد المخزن'!$D$5:$D$304,MATCH(C65,'رصيد المخزن'!$A$5:$A$304,0)),""))</f>
        <v/>
      </c>
      <c r="G65" s="41" t="n"/>
      <c r="H65" s="40" t="n"/>
      <c r="I65" s="40" t="n"/>
      <c r="J65" s="46">
        <f>IF(C65="","",IFERROR(INDEX('رصيد المخزن'!$H$5:$H$304,MATCH(C65,'رصيد المخزن'!$A$5:$A$304,0)),""))</f>
        <v/>
      </c>
      <c r="K65" s="49">
        <f>IF(C65="","",IF(N(J65)&lt;0,"صرف أكثر من الرصيد!",""))</f>
        <v/>
      </c>
    </row>
    <row r="66">
      <c r="A66" s="39">
        <f>IF(C66="","","ISS-"&amp;TEXT(ROW()-4,"0000"))</f>
        <v/>
      </c>
      <c r="B66" s="47" t="n"/>
      <c r="C66" s="50" t="n"/>
      <c r="D66" s="49">
        <f>IF(C66="","",IFERROR(INDEX('رصيد المخزن'!$B$5:$B$304,MATCH(C66,'رصيد المخزن'!$A$5:$A$304,0)),""))</f>
        <v/>
      </c>
      <c r="E66" s="39">
        <f>IF(C66="","",IFERROR(INDEX('رصيد المخزن'!$C$5:$C$304,MATCH(C66,'رصيد المخزن'!$A$5:$A$304,0)),""))</f>
        <v/>
      </c>
      <c r="F66" s="39">
        <f>IF(C66="","",IFERROR(INDEX('رصيد المخزن'!$D$5:$D$304,MATCH(C66,'رصيد المخزن'!$A$5:$A$304,0)),""))</f>
        <v/>
      </c>
      <c r="G66" s="41" t="n"/>
      <c r="H66" s="40" t="n"/>
      <c r="I66" s="40" t="n"/>
      <c r="J66" s="46">
        <f>IF(C66="","",IFERROR(INDEX('رصيد المخزن'!$H$5:$H$304,MATCH(C66,'رصيد المخزن'!$A$5:$A$304,0)),""))</f>
        <v/>
      </c>
      <c r="K66" s="49">
        <f>IF(C66="","",IF(N(J66)&lt;0,"صرف أكثر من الرصيد!",""))</f>
        <v/>
      </c>
    </row>
    <row r="67">
      <c r="A67" s="39">
        <f>IF(C67="","","ISS-"&amp;TEXT(ROW()-4,"0000"))</f>
        <v/>
      </c>
      <c r="B67" s="47" t="n"/>
      <c r="C67" s="50" t="n"/>
      <c r="D67" s="49">
        <f>IF(C67="","",IFERROR(INDEX('رصيد المخزن'!$B$5:$B$304,MATCH(C67,'رصيد المخزن'!$A$5:$A$304,0)),""))</f>
        <v/>
      </c>
      <c r="E67" s="39">
        <f>IF(C67="","",IFERROR(INDEX('رصيد المخزن'!$C$5:$C$304,MATCH(C67,'رصيد المخزن'!$A$5:$A$304,0)),""))</f>
        <v/>
      </c>
      <c r="F67" s="39">
        <f>IF(C67="","",IFERROR(INDEX('رصيد المخزن'!$D$5:$D$304,MATCH(C67,'رصيد المخزن'!$A$5:$A$304,0)),""))</f>
        <v/>
      </c>
      <c r="G67" s="41" t="n"/>
      <c r="H67" s="40" t="n"/>
      <c r="I67" s="40" t="n"/>
      <c r="J67" s="46">
        <f>IF(C67="","",IFERROR(INDEX('رصيد المخزن'!$H$5:$H$304,MATCH(C67,'رصيد المخزن'!$A$5:$A$304,0)),""))</f>
        <v/>
      </c>
      <c r="K67" s="49">
        <f>IF(C67="","",IF(N(J67)&lt;0,"صرف أكثر من الرصيد!",""))</f>
        <v/>
      </c>
    </row>
    <row r="68">
      <c r="A68" s="39">
        <f>IF(C68="","","ISS-"&amp;TEXT(ROW()-4,"0000"))</f>
        <v/>
      </c>
      <c r="B68" s="47" t="n"/>
      <c r="C68" s="50" t="n"/>
      <c r="D68" s="49">
        <f>IF(C68="","",IFERROR(INDEX('رصيد المخزن'!$B$5:$B$304,MATCH(C68,'رصيد المخزن'!$A$5:$A$304,0)),""))</f>
        <v/>
      </c>
      <c r="E68" s="39">
        <f>IF(C68="","",IFERROR(INDEX('رصيد المخزن'!$C$5:$C$304,MATCH(C68,'رصيد المخزن'!$A$5:$A$304,0)),""))</f>
        <v/>
      </c>
      <c r="F68" s="39">
        <f>IF(C68="","",IFERROR(INDEX('رصيد المخزن'!$D$5:$D$304,MATCH(C68,'رصيد المخزن'!$A$5:$A$304,0)),""))</f>
        <v/>
      </c>
      <c r="G68" s="41" t="n"/>
      <c r="H68" s="40" t="n"/>
      <c r="I68" s="40" t="n"/>
      <c r="J68" s="46">
        <f>IF(C68="","",IFERROR(INDEX('رصيد المخزن'!$H$5:$H$304,MATCH(C68,'رصيد المخزن'!$A$5:$A$304,0)),""))</f>
        <v/>
      </c>
      <c r="K68" s="49">
        <f>IF(C68="","",IF(N(J68)&lt;0,"صرف أكثر من الرصيد!",""))</f>
        <v/>
      </c>
    </row>
    <row r="69">
      <c r="A69" s="39">
        <f>IF(C69="","","ISS-"&amp;TEXT(ROW()-4,"0000"))</f>
        <v/>
      </c>
      <c r="B69" s="47" t="n"/>
      <c r="C69" s="50" t="n"/>
      <c r="D69" s="49">
        <f>IF(C69="","",IFERROR(INDEX('رصيد المخزن'!$B$5:$B$304,MATCH(C69,'رصيد المخزن'!$A$5:$A$304,0)),""))</f>
        <v/>
      </c>
      <c r="E69" s="39">
        <f>IF(C69="","",IFERROR(INDEX('رصيد المخزن'!$C$5:$C$304,MATCH(C69,'رصيد المخزن'!$A$5:$A$304,0)),""))</f>
        <v/>
      </c>
      <c r="F69" s="39">
        <f>IF(C69="","",IFERROR(INDEX('رصيد المخزن'!$D$5:$D$304,MATCH(C69,'رصيد المخزن'!$A$5:$A$304,0)),""))</f>
        <v/>
      </c>
      <c r="G69" s="41" t="n"/>
      <c r="H69" s="40" t="n"/>
      <c r="I69" s="40" t="n"/>
      <c r="J69" s="46">
        <f>IF(C69="","",IFERROR(INDEX('رصيد المخزن'!$H$5:$H$304,MATCH(C69,'رصيد المخزن'!$A$5:$A$304,0)),""))</f>
        <v/>
      </c>
      <c r="K69" s="49">
        <f>IF(C69="","",IF(N(J69)&lt;0,"صرف أكثر من الرصيد!",""))</f>
        <v/>
      </c>
    </row>
    <row r="70">
      <c r="A70" s="39">
        <f>IF(C70="","","ISS-"&amp;TEXT(ROW()-4,"0000"))</f>
        <v/>
      </c>
      <c r="B70" s="47" t="n"/>
      <c r="C70" s="50" t="n"/>
      <c r="D70" s="49">
        <f>IF(C70="","",IFERROR(INDEX('رصيد المخزن'!$B$5:$B$304,MATCH(C70,'رصيد المخزن'!$A$5:$A$304,0)),""))</f>
        <v/>
      </c>
      <c r="E70" s="39">
        <f>IF(C70="","",IFERROR(INDEX('رصيد المخزن'!$C$5:$C$304,MATCH(C70,'رصيد المخزن'!$A$5:$A$304,0)),""))</f>
        <v/>
      </c>
      <c r="F70" s="39">
        <f>IF(C70="","",IFERROR(INDEX('رصيد المخزن'!$D$5:$D$304,MATCH(C70,'رصيد المخزن'!$A$5:$A$304,0)),""))</f>
        <v/>
      </c>
      <c r="G70" s="41" t="n"/>
      <c r="H70" s="40" t="n"/>
      <c r="I70" s="40" t="n"/>
      <c r="J70" s="46">
        <f>IF(C70="","",IFERROR(INDEX('رصيد المخزن'!$H$5:$H$304,MATCH(C70,'رصيد المخزن'!$A$5:$A$304,0)),""))</f>
        <v/>
      </c>
      <c r="K70" s="49">
        <f>IF(C70="","",IF(N(J70)&lt;0,"صرف أكثر من الرصيد!",""))</f>
        <v/>
      </c>
    </row>
    <row r="71">
      <c r="A71" s="39">
        <f>IF(C71="","","ISS-"&amp;TEXT(ROW()-4,"0000"))</f>
        <v/>
      </c>
      <c r="B71" s="47" t="n"/>
      <c r="C71" s="50" t="n"/>
      <c r="D71" s="49">
        <f>IF(C71="","",IFERROR(INDEX('رصيد المخزن'!$B$5:$B$304,MATCH(C71,'رصيد المخزن'!$A$5:$A$304,0)),""))</f>
        <v/>
      </c>
      <c r="E71" s="39">
        <f>IF(C71="","",IFERROR(INDEX('رصيد المخزن'!$C$5:$C$304,MATCH(C71,'رصيد المخزن'!$A$5:$A$304,0)),""))</f>
        <v/>
      </c>
      <c r="F71" s="39">
        <f>IF(C71="","",IFERROR(INDEX('رصيد المخزن'!$D$5:$D$304,MATCH(C71,'رصيد المخزن'!$A$5:$A$304,0)),""))</f>
        <v/>
      </c>
      <c r="G71" s="41" t="n"/>
      <c r="H71" s="40" t="n"/>
      <c r="I71" s="40" t="n"/>
      <c r="J71" s="46">
        <f>IF(C71="","",IFERROR(INDEX('رصيد المخزن'!$H$5:$H$304,MATCH(C71,'رصيد المخزن'!$A$5:$A$304,0)),""))</f>
        <v/>
      </c>
      <c r="K71" s="49">
        <f>IF(C71="","",IF(N(J71)&lt;0,"صرف أكثر من الرصيد!",""))</f>
        <v/>
      </c>
    </row>
    <row r="72">
      <c r="A72" s="39">
        <f>IF(C72="","","ISS-"&amp;TEXT(ROW()-4,"0000"))</f>
        <v/>
      </c>
      <c r="B72" s="47" t="n"/>
      <c r="C72" s="50" t="n"/>
      <c r="D72" s="49">
        <f>IF(C72="","",IFERROR(INDEX('رصيد المخزن'!$B$5:$B$304,MATCH(C72,'رصيد المخزن'!$A$5:$A$304,0)),""))</f>
        <v/>
      </c>
      <c r="E72" s="39">
        <f>IF(C72="","",IFERROR(INDEX('رصيد المخزن'!$C$5:$C$304,MATCH(C72,'رصيد المخزن'!$A$5:$A$304,0)),""))</f>
        <v/>
      </c>
      <c r="F72" s="39">
        <f>IF(C72="","",IFERROR(INDEX('رصيد المخزن'!$D$5:$D$304,MATCH(C72,'رصيد المخزن'!$A$5:$A$304,0)),""))</f>
        <v/>
      </c>
      <c r="G72" s="41" t="n"/>
      <c r="H72" s="40" t="n"/>
      <c r="I72" s="40" t="n"/>
      <c r="J72" s="46">
        <f>IF(C72="","",IFERROR(INDEX('رصيد المخزن'!$H$5:$H$304,MATCH(C72,'رصيد المخزن'!$A$5:$A$304,0)),""))</f>
        <v/>
      </c>
      <c r="K72" s="49">
        <f>IF(C72="","",IF(N(J72)&lt;0,"صرف أكثر من الرصيد!",""))</f>
        <v/>
      </c>
    </row>
    <row r="73">
      <c r="A73" s="39">
        <f>IF(C73="","","ISS-"&amp;TEXT(ROW()-4,"0000"))</f>
        <v/>
      </c>
      <c r="B73" s="47" t="n"/>
      <c r="C73" s="50" t="n"/>
      <c r="D73" s="49">
        <f>IF(C73="","",IFERROR(INDEX('رصيد المخزن'!$B$5:$B$304,MATCH(C73,'رصيد المخزن'!$A$5:$A$304,0)),""))</f>
        <v/>
      </c>
      <c r="E73" s="39">
        <f>IF(C73="","",IFERROR(INDEX('رصيد المخزن'!$C$5:$C$304,MATCH(C73,'رصيد المخزن'!$A$5:$A$304,0)),""))</f>
        <v/>
      </c>
      <c r="F73" s="39">
        <f>IF(C73="","",IFERROR(INDEX('رصيد المخزن'!$D$5:$D$304,MATCH(C73,'رصيد المخزن'!$A$5:$A$304,0)),""))</f>
        <v/>
      </c>
      <c r="G73" s="41" t="n"/>
      <c r="H73" s="40" t="n"/>
      <c r="I73" s="40" t="n"/>
      <c r="J73" s="46">
        <f>IF(C73="","",IFERROR(INDEX('رصيد المخزن'!$H$5:$H$304,MATCH(C73,'رصيد المخزن'!$A$5:$A$304,0)),""))</f>
        <v/>
      </c>
      <c r="K73" s="49">
        <f>IF(C73="","",IF(N(J73)&lt;0,"صرف أكثر من الرصيد!",""))</f>
        <v/>
      </c>
    </row>
    <row r="74">
      <c r="A74" s="39">
        <f>IF(C74="","","ISS-"&amp;TEXT(ROW()-4,"0000"))</f>
        <v/>
      </c>
      <c r="B74" s="47" t="n"/>
      <c r="C74" s="50" t="n"/>
      <c r="D74" s="49">
        <f>IF(C74="","",IFERROR(INDEX('رصيد المخزن'!$B$5:$B$304,MATCH(C74,'رصيد المخزن'!$A$5:$A$304,0)),""))</f>
        <v/>
      </c>
      <c r="E74" s="39">
        <f>IF(C74="","",IFERROR(INDEX('رصيد المخزن'!$C$5:$C$304,MATCH(C74,'رصيد المخزن'!$A$5:$A$304,0)),""))</f>
        <v/>
      </c>
      <c r="F74" s="39">
        <f>IF(C74="","",IFERROR(INDEX('رصيد المخزن'!$D$5:$D$304,MATCH(C74,'رصيد المخزن'!$A$5:$A$304,0)),""))</f>
        <v/>
      </c>
      <c r="G74" s="41" t="n"/>
      <c r="H74" s="40" t="n"/>
      <c r="I74" s="40" t="n"/>
      <c r="J74" s="46">
        <f>IF(C74="","",IFERROR(INDEX('رصيد المخزن'!$H$5:$H$304,MATCH(C74,'رصيد المخزن'!$A$5:$A$304,0)),""))</f>
        <v/>
      </c>
      <c r="K74" s="49">
        <f>IF(C74="","",IF(N(J74)&lt;0,"صرف أكثر من الرصيد!",""))</f>
        <v/>
      </c>
    </row>
    <row r="75">
      <c r="A75" s="39">
        <f>IF(C75="","","ISS-"&amp;TEXT(ROW()-4,"0000"))</f>
        <v/>
      </c>
      <c r="B75" s="47" t="n"/>
      <c r="C75" s="50" t="n"/>
      <c r="D75" s="49">
        <f>IF(C75="","",IFERROR(INDEX('رصيد المخزن'!$B$5:$B$304,MATCH(C75,'رصيد المخزن'!$A$5:$A$304,0)),""))</f>
        <v/>
      </c>
      <c r="E75" s="39">
        <f>IF(C75="","",IFERROR(INDEX('رصيد المخزن'!$C$5:$C$304,MATCH(C75,'رصيد المخزن'!$A$5:$A$304,0)),""))</f>
        <v/>
      </c>
      <c r="F75" s="39">
        <f>IF(C75="","",IFERROR(INDEX('رصيد المخزن'!$D$5:$D$304,MATCH(C75,'رصيد المخزن'!$A$5:$A$304,0)),""))</f>
        <v/>
      </c>
      <c r="G75" s="41" t="n"/>
      <c r="H75" s="40" t="n"/>
      <c r="I75" s="40" t="n"/>
      <c r="J75" s="46">
        <f>IF(C75="","",IFERROR(INDEX('رصيد المخزن'!$H$5:$H$304,MATCH(C75,'رصيد المخزن'!$A$5:$A$304,0)),""))</f>
        <v/>
      </c>
      <c r="K75" s="49">
        <f>IF(C75="","",IF(N(J75)&lt;0,"صرف أكثر من الرصيد!",""))</f>
        <v/>
      </c>
    </row>
    <row r="76">
      <c r="A76" s="39">
        <f>IF(C76="","","ISS-"&amp;TEXT(ROW()-4,"0000"))</f>
        <v/>
      </c>
      <c r="B76" s="47" t="n"/>
      <c r="C76" s="50" t="n"/>
      <c r="D76" s="49">
        <f>IF(C76="","",IFERROR(INDEX('رصيد المخزن'!$B$5:$B$304,MATCH(C76,'رصيد المخزن'!$A$5:$A$304,0)),""))</f>
        <v/>
      </c>
      <c r="E76" s="39">
        <f>IF(C76="","",IFERROR(INDEX('رصيد المخزن'!$C$5:$C$304,MATCH(C76,'رصيد المخزن'!$A$5:$A$304,0)),""))</f>
        <v/>
      </c>
      <c r="F76" s="39">
        <f>IF(C76="","",IFERROR(INDEX('رصيد المخزن'!$D$5:$D$304,MATCH(C76,'رصيد المخزن'!$A$5:$A$304,0)),""))</f>
        <v/>
      </c>
      <c r="G76" s="41" t="n"/>
      <c r="H76" s="40" t="n"/>
      <c r="I76" s="40" t="n"/>
      <c r="J76" s="46">
        <f>IF(C76="","",IFERROR(INDEX('رصيد المخزن'!$H$5:$H$304,MATCH(C76,'رصيد المخزن'!$A$5:$A$304,0)),""))</f>
        <v/>
      </c>
      <c r="K76" s="49">
        <f>IF(C76="","",IF(N(J76)&lt;0,"صرف أكثر من الرصيد!",""))</f>
        <v/>
      </c>
    </row>
    <row r="77">
      <c r="A77" s="39">
        <f>IF(C77="","","ISS-"&amp;TEXT(ROW()-4,"0000"))</f>
        <v/>
      </c>
      <c r="B77" s="47" t="n"/>
      <c r="C77" s="50" t="n"/>
      <c r="D77" s="49">
        <f>IF(C77="","",IFERROR(INDEX('رصيد المخزن'!$B$5:$B$304,MATCH(C77,'رصيد المخزن'!$A$5:$A$304,0)),""))</f>
        <v/>
      </c>
      <c r="E77" s="39">
        <f>IF(C77="","",IFERROR(INDEX('رصيد المخزن'!$C$5:$C$304,MATCH(C77,'رصيد المخزن'!$A$5:$A$304,0)),""))</f>
        <v/>
      </c>
      <c r="F77" s="39">
        <f>IF(C77="","",IFERROR(INDEX('رصيد المخزن'!$D$5:$D$304,MATCH(C77,'رصيد المخزن'!$A$5:$A$304,0)),""))</f>
        <v/>
      </c>
      <c r="G77" s="41" t="n"/>
      <c r="H77" s="40" t="n"/>
      <c r="I77" s="40" t="n"/>
      <c r="J77" s="46">
        <f>IF(C77="","",IFERROR(INDEX('رصيد المخزن'!$H$5:$H$304,MATCH(C77,'رصيد المخزن'!$A$5:$A$304,0)),""))</f>
        <v/>
      </c>
      <c r="K77" s="49">
        <f>IF(C77="","",IF(N(J77)&lt;0,"صرف أكثر من الرصيد!",""))</f>
        <v/>
      </c>
    </row>
    <row r="78">
      <c r="A78" s="39">
        <f>IF(C78="","","ISS-"&amp;TEXT(ROW()-4,"0000"))</f>
        <v/>
      </c>
      <c r="B78" s="47" t="n"/>
      <c r="C78" s="50" t="n"/>
      <c r="D78" s="49">
        <f>IF(C78="","",IFERROR(INDEX('رصيد المخزن'!$B$5:$B$304,MATCH(C78,'رصيد المخزن'!$A$5:$A$304,0)),""))</f>
        <v/>
      </c>
      <c r="E78" s="39">
        <f>IF(C78="","",IFERROR(INDEX('رصيد المخزن'!$C$5:$C$304,MATCH(C78,'رصيد المخزن'!$A$5:$A$304,0)),""))</f>
        <v/>
      </c>
      <c r="F78" s="39">
        <f>IF(C78="","",IFERROR(INDEX('رصيد المخزن'!$D$5:$D$304,MATCH(C78,'رصيد المخزن'!$A$5:$A$304,0)),""))</f>
        <v/>
      </c>
      <c r="G78" s="41" t="n"/>
      <c r="H78" s="40" t="n"/>
      <c r="I78" s="40" t="n"/>
      <c r="J78" s="46">
        <f>IF(C78="","",IFERROR(INDEX('رصيد المخزن'!$H$5:$H$304,MATCH(C78,'رصيد المخزن'!$A$5:$A$304,0)),""))</f>
        <v/>
      </c>
      <c r="K78" s="49">
        <f>IF(C78="","",IF(N(J78)&lt;0,"صرف أكثر من الرصيد!",""))</f>
        <v/>
      </c>
    </row>
    <row r="79">
      <c r="A79" s="39">
        <f>IF(C79="","","ISS-"&amp;TEXT(ROW()-4,"0000"))</f>
        <v/>
      </c>
      <c r="B79" s="47" t="n"/>
      <c r="C79" s="50" t="n"/>
      <c r="D79" s="49">
        <f>IF(C79="","",IFERROR(INDEX('رصيد المخزن'!$B$5:$B$304,MATCH(C79,'رصيد المخزن'!$A$5:$A$304,0)),""))</f>
        <v/>
      </c>
      <c r="E79" s="39">
        <f>IF(C79="","",IFERROR(INDEX('رصيد المخزن'!$C$5:$C$304,MATCH(C79,'رصيد المخزن'!$A$5:$A$304,0)),""))</f>
        <v/>
      </c>
      <c r="F79" s="39">
        <f>IF(C79="","",IFERROR(INDEX('رصيد المخزن'!$D$5:$D$304,MATCH(C79,'رصيد المخزن'!$A$5:$A$304,0)),""))</f>
        <v/>
      </c>
      <c r="G79" s="41" t="n"/>
      <c r="H79" s="40" t="n"/>
      <c r="I79" s="40" t="n"/>
      <c r="J79" s="46">
        <f>IF(C79="","",IFERROR(INDEX('رصيد المخزن'!$H$5:$H$304,MATCH(C79,'رصيد المخزن'!$A$5:$A$304,0)),""))</f>
        <v/>
      </c>
      <c r="K79" s="49">
        <f>IF(C79="","",IF(N(J79)&lt;0,"صرف أكثر من الرصيد!",""))</f>
        <v/>
      </c>
    </row>
    <row r="80">
      <c r="A80" s="39">
        <f>IF(C80="","","ISS-"&amp;TEXT(ROW()-4,"0000"))</f>
        <v/>
      </c>
      <c r="B80" s="47" t="n"/>
      <c r="C80" s="50" t="n"/>
      <c r="D80" s="49">
        <f>IF(C80="","",IFERROR(INDEX('رصيد المخزن'!$B$5:$B$304,MATCH(C80,'رصيد المخزن'!$A$5:$A$304,0)),""))</f>
        <v/>
      </c>
      <c r="E80" s="39">
        <f>IF(C80="","",IFERROR(INDEX('رصيد المخزن'!$C$5:$C$304,MATCH(C80,'رصيد المخزن'!$A$5:$A$304,0)),""))</f>
        <v/>
      </c>
      <c r="F80" s="39">
        <f>IF(C80="","",IFERROR(INDEX('رصيد المخزن'!$D$5:$D$304,MATCH(C80,'رصيد المخزن'!$A$5:$A$304,0)),""))</f>
        <v/>
      </c>
      <c r="G80" s="41" t="n"/>
      <c r="H80" s="40" t="n"/>
      <c r="I80" s="40" t="n"/>
      <c r="J80" s="46">
        <f>IF(C80="","",IFERROR(INDEX('رصيد المخزن'!$H$5:$H$304,MATCH(C80,'رصيد المخزن'!$A$5:$A$304,0)),""))</f>
        <v/>
      </c>
      <c r="K80" s="49">
        <f>IF(C80="","",IF(N(J80)&lt;0,"صرف أكثر من الرصيد!",""))</f>
        <v/>
      </c>
    </row>
    <row r="81">
      <c r="A81" s="39">
        <f>IF(C81="","","ISS-"&amp;TEXT(ROW()-4,"0000"))</f>
        <v/>
      </c>
      <c r="B81" s="47" t="n"/>
      <c r="C81" s="50" t="n"/>
      <c r="D81" s="49">
        <f>IF(C81="","",IFERROR(INDEX('رصيد المخزن'!$B$5:$B$304,MATCH(C81,'رصيد المخزن'!$A$5:$A$304,0)),""))</f>
        <v/>
      </c>
      <c r="E81" s="39">
        <f>IF(C81="","",IFERROR(INDEX('رصيد المخزن'!$C$5:$C$304,MATCH(C81,'رصيد المخزن'!$A$5:$A$304,0)),""))</f>
        <v/>
      </c>
      <c r="F81" s="39">
        <f>IF(C81="","",IFERROR(INDEX('رصيد المخزن'!$D$5:$D$304,MATCH(C81,'رصيد المخزن'!$A$5:$A$304,0)),""))</f>
        <v/>
      </c>
      <c r="G81" s="41" t="n"/>
      <c r="H81" s="40" t="n"/>
      <c r="I81" s="40" t="n"/>
      <c r="J81" s="46">
        <f>IF(C81="","",IFERROR(INDEX('رصيد المخزن'!$H$5:$H$304,MATCH(C81,'رصيد المخزن'!$A$5:$A$304,0)),""))</f>
        <v/>
      </c>
      <c r="K81" s="49">
        <f>IF(C81="","",IF(N(J81)&lt;0,"صرف أكثر من الرصيد!",""))</f>
        <v/>
      </c>
    </row>
    <row r="82">
      <c r="A82" s="39">
        <f>IF(C82="","","ISS-"&amp;TEXT(ROW()-4,"0000"))</f>
        <v/>
      </c>
      <c r="B82" s="47" t="n"/>
      <c r="C82" s="50" t="n"/>
      <c r="D82" s="49">
        <f>IF(C82="","",IFERROR(INDEX('رصيد المخزن'!$B$5:$B$304,MATCH(C82,'رصيد المخزن'!$A$5:$A$304,0)),""))</f>
        <v/>
      </c>
      <c r="E82" s="39">
        <f>IF(C82="","",IFERROR(INDEX('رصيد المخزن'!$C$5:$C$304,MATCH(C82,'رصيد المخزن'!$A$5:$A$304,0)),""))</f>
        <v/>
      </c>
      <c r="F82" s="39">
        <f>IF(C82="","",IFERROR(INDEX('رصيد المخزن'!$D$5:$D$304,MATCH(C82,'رصيد المخزن'!$A$5:$A$304,0)),""))</f>
        <v/>
      </c>
      <c r="G82" s="41" t="n"/>
      <c r="H82" s="40" t="n"/>
      <c r="I82" s="40" t="n"/>
      <c r="J82" s="46">
        <f>IF(C82="","",IFERROR(INDEX('رصيد المخزن'!$H$5:$H$304,MATCH(C82,'رصيد المخزن'!$A$5:$A$304,0)),""))</f>
        <v/>
      </c>
      <c r="K82" s="49">
        <f>IF(C82="","",IF(N(J82)&lt;0,"صرف أكثر من الرصيد!",""))</f>
        <v/>
      </c>
    </row>
    <row r="83">
      <c r="A83" s="39">
        <f>IF(C83="","","ISS-"&amp;TEXT(ROW()-4,"0000"))</f>
        <v/>
      </c>
      <c r="B83" s="47" t="n"/>
      <c r="C83" s="50" t="n"/>
      <c r="D83" s="49">
        <f>IF(C83="","",IFERROR(INDEX('رصيد المخزن'!$B$5:$B$304,MATCH(C83,'رصيد المخزن'!$A$5:$A$304,0)),""))</f>
        <v/>
      </c>
      <c r="E83" s="39">
        <f>IF(C83="","",IFERROR(INDEX('رصيد المخزن'!$C$5:$C$304,MATCH(C83,'رصيد المخزن'!$A$5:$A$304,0)),""))</f>
        <v/>
      </c>
      <c r="F83" s="39">
        <f>IF(C83="","",IFERROR(INDEX('رصيد المخزن'!$D$5:$D$304,MATCH(C83,'رصيد المخزن'!$A$5:$A$304,0)),""))</f>
        <v/>
      </c>
      <c r="G83" s="41" t="n"/>
      <c r="H83" s="40" t="n"/>
      <c r="I83" s="40" t="n"/>
      <c r="J83" s="46">
        <f>IF(C83="","",IFERROR(INDEX('رصيد المخزن'!$H$5:$H$304,MATCH(C83,'رصيد المخزن'!$A$5:$A$304,0)),""))</f>
        <v/>
      </c>
      <c r="K83" s="49">
        <f>IF(C83="","",IF(N(J83)&lt;0,"صرف أكثر من الرصيد!",""))</f>
        <v/>
      </c>
    </row>
    <row r="84">
      <c r="A84" s="39">
        <f>IF(C84="","","ISS-"&amp;TEXT(ROW()-4,"0000"))</f>
        <v/>
      </c>
      <c r="B84" s="47" t="n"/>
      <c r="C84" s="50" t="n"/>
      <c r="D84" s="49">
        <f>IF(C84="","",IFERROR(INDEX('رصيد المخزن'!$B$5:$B$304,MATCH(C84,'رصيد المخزن'!$A$5:$A$304,0)),""))</f>
        <v/>
      </c>
      <c r="E84" s="39">
        <f>IF(C84="","",IFERROR(INDEX('رصيد المخزن'!$C$5:$C$304,MATCH(C84,'رصيد المخزن'!$A$5:$A$304,0)),""))</f>
        <v/>
      </c>
      <c r="F84" s="39">
        <f>IF(C84="","",IFERROR(INDEX('رصيد المخزن'!$D$5:$D$304,MATCH(C84,'رصيد المخزن'!$A$5:$A$304,0)),""))</f>
        <v/>
      </c>
      <c r="G84" s="41" t="n"/>
      <c r="H84" s="40" t="n"/>
      <c r="I84" s="40" t="n"/>
      <c r="J84" s="46">
        <f>IF(C84="","",IFERROR(INDEX('رصيد المخزن'!$H$5:$H$304,MATCH(C84,'رصيد المخزن'!$A$5:$A$304,0)),""))</f>
        <v/>
      </c>
      <c r="K84" s="49">
        <f>IF(C84="","",IF(N(J84)&lt;0,"صرف أكثر من الرصيد!",""))</f>
        <v/>
      </c>
    </row>
    <row r="85">
      <c r="A85" s="39">
        <f>IF(C85="","","ISS-"&amp;TEXT(ROW()-4,"0000"))</f>
        <v/>
      </c>
      <c r="B85" s="47" t="n"/>
      <c r="C85" s="50" t="n"/>
      <c r="D85" s="49">
        <f>IF(C85="","",IFERROR(INDEX('رصيد المخزن'!$B$5:$B$304,MATCH(C85,'رصيد المخزن'!$A$5:$A$304,0)),""))</f>
        <v/>
      </c>
      <c r="E85" s="39">
        <f>IF(C85="","",IFERROR(INDEX('رصيد المخزن'!$C$5:$C$304,MATCH(C85,'رصيد المخزن'!$A$5:$A$304,0)),""))</f>
        <v/>
      </c>
      <c r="F85" s="39">
        <f>IF(C85="","",IFERROR(INDEX('رصيد المخزن'!$D$5:$D$304,MATCH(C85,'رصيد المخزن'!$A$5:$A$304,0)),""))</f>
        <v/>
      </c>
      <c r="G85" s="41" t="n"/>
      <c r="H85" s="40" t="n"/>
      <c r="I85" s="40" t="n"/>
      <c r="J85" s="46">
        <f>IF(C85="","",IFERROR(INDEX('رصيد المخزن'!$H$5:$H$304,MATCH(C85,'رصيد المخزن'!$A$5:$A$304,0)),""))</f>
        <v/>
      </c>
      <c r="K85" s="49">
        <f>IF(C85="","",IF(N(J85)&lt;0,"صرف أكثر من الرصيد!",""))</f>
        <v/>
      </c>
    </row>
    <row r="86">
      <c r="A86" s="39">
        <f>IF(C86="","","ISS-"&amp;TEXT(ROW()-4,"0000"))</f>
        <v/>
      </c>
      <c r="B86" s="47" t="n"/>
      <c r="C86" s="50" t="n"/>
      <c r="D86" s="49">
        <f>IF(C86="","",IFERROR(INDEX('رصيد المخزن'!$B$5:$B$304,MATCH(C86,'رصيد المخزن'!$A$5:$A$304,0)),""))</f>
        <v/>
      </c>
      <c r="E86" s="39">
        <f>IF(C86="","",IFERROR(INDEX('رصيد المخزن'!$C$5:$C$304,MATCH(C86,'رصيد المخزن'!$A$5:$A$304,0)),""))</f>
        <v/>
      </c>
      <c r="F86" s="39">
        <f>IF(C86="","",IFERROR(INDEX('رصيد المخزن'!$D$5:$D$304,MATCH(C86,'رصيد المخزن'!$A$5:$A$304,0)),""))</f>
        <v/>
      </c>
      <c r="G86" s="41" t="n"/>
      <c r="H86" s="40" t="n"/>
      <c r="I86" s="40" t="n"/>
      <c r="J86" s="46">
        <f>IF(C86="","",IFERROR(INDEX('رصيد المخزن'!$H$5:$H$304,MATCH(C86,'رصيد المخزن'!$A$5:$A$304,0)),""))</f>
        <v/>
      </c>
      <c r="K86" s="49">
        <f>IF(C86="","",IF(N(J86)&lt;0,"صرف أكثر من الرصيد!",""))</f>
        <v/>
      </c>
    </row>
    <row r="87">
      <c r="A87" s="39">
        <f>IF(C87="","","ISS-"&amp;TEXT(ROW()-4,"0000"))</f>
        <v/>
      </c>
      <c r="B87" s="47" t="n"/>
      <c r="C87" s="50" t="n"/>
      <c r="D87" s="49">
        <f>IF(C87="","",IFERROR(INDEX('رصيد المخزن'!$B$5:$B$304,MATCH(C87,'رصيد المخزن'!$A$5:$A$304,0)),""))</f>
        <v/>
      </c>
      <c r="E87" s="39">
        <f>IF(C87="","",IFERROR(INDEX('رصيد المخزن'!$C$5:$C$304,MATCH(C87,'رصيد المخزن'!$A$5:$A$304,0)),""))</f>
        <v/>
      </c>
      <c r="F87" s="39">
        <f>IF(C87="","",IFERROR(INDEX('رصيد المخزن'!$D$5:$D$304,MATCH(C87,'رصيد المخزن'!$A$5:$A$304,0)),""))</f>
        <v/>
      </c>
      <c r="G87" s="41" t="n"/>
      <c r="H87" s="40" t="n"/>
      <c r="I87" s="40" t="n"/>
      <c r="J87" s="46">
        <f>IF(C87="","",IFERROR(INDEX('رصيد المخزن'!$H$5:$H$304,MATCH(C87,'رصيد المخزن'!$A$5:$A$304,0)),""))</f>
        <v/>
      </c>
      <c r="K87" s="49">
        <f>IF(C87="","",IF(N(J87)&lt;0,"صرف أكثر من الرصيد!",""))</f>
        <v/>
      </c>
    </row>
    <row r="88">
      <c r="A88" s="39">
        <f>IF(C88="","","ISS-"&amp;TEXT(ROW()-4,"0000"))</f>
        <v/>
      </c>
      <c r="B88" s="47" t="n"/>
      <c r="C88" s="50" t="n"/>
      <c r="D88" s="49">
        <f>IF(C88="","",IFERROR(INDEX('رصيد المخزن'!$B$5:$B$304,MATCH(C88,'رصيد المخزن'!$A$5:$A$304,0)),""))</f>
        <v/>
      </c>
      <c r="E88" s="39">
        <f>IF(C88="","",IFERROR(INDEX('رصيد المخزن'!$C$5:$C$304,MATCH(C88,'رصيد المخزن'!$A$5:$A$304,0)),""))</f>
        <v/>
      </c>
      <c r="F88" s="39">
        <f>IF(C88="","",IFERROR(INDEX('رصيد المخزن'!$D$5:$D$304,MATCH(C88,'رصيد المخزن'!$A$5:$A$304,0)),""))</f>
        <v/>
      </c>
      <c r="G88" s="41" t="n"/>
      <c r="H88" s="40" t="n"/>
      <c r="I88" s="40" t="n"/>
      <c r="J88" s="46">
        <f>IF(C88="","",IFERROR(INDEX('رصيد المخزن'!$H$5:$H$304,MATCH(C88,'رصيد المخزن'!$A$5:$A$304,0)),""))</f>
        <v/>
      </c>
      <c r="K88" s="49">
        <f>IF(C88="","",IF(N(J88)&lt;0,"صرف أكثر من الرصيد!",""))</f>
        <v/>
      </c>
    </row>
    <row r="89">
      <c r="A89" s="39">
        <f>IF(C89="","","ISS-"&amp;TEXT(ROW()-4,"0000"))</f>
        <v/>
      </c>
      <c r="B89" s="47" t="n"/>
      <c r="C89" s="50" t="n"/>
      <c r="D89" s="49">
        <f>IF(C89="","",IFERROR(INDEX('رصيد المخزن'!$B$5:$B$304,MATCH(C89,'رصيد المخزن'!$A$5:$A$304,0)),""))</f>
        <v/>
      </c>
      <c r="E89" s="39">
        <f>IF(C89="","",IFERROR(INDEX('رصيد المخزن'!$C$5:$C$304,MATCH(C89,'رصيد المخزن'!$A$5:$A$304,0)),""))</f>
        <v/>
      </c>
      <c r="F89" s="39">
        <f>IF(C89="","",IFERROR(INDEX('رصيد المخزن'!$D$5:$D$304,MATCH(C89,'رصيد المخزن'!$A$5:$A$304,0)),""))</f>
        <v/>
      </c>
      <c r="G89" s="41" t="n"/>
      <c r="H89" s="40" t="n"/>
      <c r="I89" s="40" t="n"/>
      <c r="J89" s="46">
        <f>IF(C89="","",IFERROR(INDEX('رصيد المخزن'!$H$5:$H$304,MATCH(C89,'رصيد المخزن'!$A$5:$A$304,0)),""))</f>
        <v/>
      </c>
      <c r="K89" s="49">
        <f>IF(C89="","",IF(N(J89)&lt;0,"صرف أكثر من الرصيد!",""))</f>
        <v/>
      </c>
    </row>
    <row r="90">
      <c r="A90" s="39">
        <f>IF(C90="","","ISS-"&amp;TEXT(ROW()-4,"0000"))</f>
        <v/>
      </c>
      <c r="B90" s="47" t="n"/>
      <c r="C90" s="50" t="n"/>
      <c r="D90" s="49">
        <f>IF(C90="","",IFERROR(INDEX('رصيد المخزن'!$B$5:$B$304,MATCH(C90,'رصيد المخزن'!$A$5:$A$304,0)),""))</f>
        <v/>
      </c>
      <c r="E90" s="39">
        <f>IF(C90="","",IFERROR(INDEX('رصيد المخزن'!$C$5:$C$304,MATCH(C90,'رصيد المخزن'!$A$5:$A$304,0)),""))</f>
        <v/>
      </c>
      <c r="F90" s="39">
        <f>IF(C90="","",IFERROR(INDEX('رصيد المخزن'!$D$5:$D$304,MATCH(C90,'رصيد المخزن'!$A$5:$A$304,0)),""))</f>
        <v/>
      </c>
      <c r="G90" s="41" t="n"/>
      <c r="H90" s="40" t="n"/>
      <c r="I90" s="40" t="n"/>
      <c r="J90" s="46">
        <f>IF(C90="","",IFERROR(INDEX('رصيد المخزن'!$H$5:$H$304,MATCH(C90,'رصيد المخزن'!$A$5:$A$304,0)),""))</f>
        <v/>
      </c>
      <c r="K90" s="49">
        <f>IF(C90="","",IF(N(J90)&lt;0,"صرف أكثر من الرصيد!",""))</f>
        <v/>
      </c>
    </row>
    <row r="91">
      <c r="A91" s="39">
        <f>IF(C91="","","ISS-"&amp;TEXT(ROW()-4,"0000"))</f>
        <v/>
      </c>
      <c r="B91" s="47" t="n"/>
      <c r="C91" s="50" t="n"/>
      <c r="D91" s="49">
        <f>IF(C91="","",IFERROR(INDEX('رصيد المخزن'!$B$5:$B$304,MATCH(C91,'رصيد المخزن'!$A$5:$A$304,0)),""))</f>
        <v/>
      </c>
      <c r="E91" s="39">
        <f>IF(C91="","",IFERROR(INDEX('رصيد المخزن'!$C$5:$C$304,MATCH(C91,'رصيد المخزن'!$A$5:$A$304,0)),""))</f>
        <v/>
      </c>
      <c r="F91" s="39">
        <f>IF(C91="","",IFERROR(INDEX('رصيد المخزن'!$D$5:$D$304,MATCH(C91,'رصيد المخزن'!$A$5:$A$304,0)),""))</f>
        <v/>
      </c>
      <c r="G91" s="41" t="n"/>
      <c r="H91" s="40" t="n"/>
      <c r="I91" s="40" t="n"/>
      <c r="J91" s="46">
        <f>IF(C91="","",IFERROR(INDEX('رصيد المخزن'!$H$5:$H$304,MATCH(C91,'رصيد المخزن'!$A$5:$A$304,0)),""))</f>
        <v/>
      </c>
      <c r="K91" s="49">
        <f>IF(C91="","",IF(N(J91)&lt;0,"صرف أكثر من الرصيد!",""))</f>
        <v/>
      </c>
    </row>
    <row r="92">
      <c r="A92" s="39">
        <f>IF(C92="","","ISS-"&amp;TEXT(ROW()-4,"0000"))</f>
        <v/>
      </c>
      <c r="B92" s="47" t="n"/>
      <c r="C92" s="50" t="n"/>
      <c r="D92" s="49">
        <f>IF(C92="","",IFERROR(INDEX('رصيد المخزن'!$B$5:$B$304,MATCH(C92,'رصيد المخزن'!$A$5:$A$304,0)),""))</f>
        <v/>
      </c>
      <c r="E92" s="39">
        <f>IF(C92="","",IFERROR(INDEX('رصيد المخزن'!$C$5:$C$304,MATCH(C92,'رصيد المخزن'!$A$5:$A$304,0)),""))</f>
        <v/>
      </c>
      <c r="F92" s="39">
        <f>IF(C92="","",IFERROR(INDEX('رصيد المخزن'!$D$5:$D$304,MATCH(C92,'رصيد المخزن'!$A$5:$A$304,0)),""))</f>
        <v/>
      </c>
      <c r="G92" s="41" t="n"/>
      <c r="H92" s="40" t="n"/>
      <c r="I92" s="40" t="n"/>
      <c r="J92" s="46">
        <f>IF(C92="","",IFERROR(INDEX('رصيد المخزن'!$H$5:$H$304,MATCH(C92,'رصيد المخزن'!$A$5:$A$304,0)),""))</f>
        <v/>
      </c>
      <c r="K92" s="49">
        <f>IF(C92="","",IF(N(J92)&lt;0,"صرف أكثر من الرصيد!",""))</f>
        <v/>
      </c>
    </row>
    <row r="93">
      <c r="A93" s="39">
        <f>IF(C93="","","ISS-"&amp;TEXT(ROW()-4,"0000"))</f>
        <v/>
      </c>
      <c r="B93" s="47" t="n"/>
      <c r="C93" s="50" t="n"/>
      <c r="D93" s="49">
        <f>IF(C93="","",IFERROR(INDEX('رصيد المخزن'!$B$5:$B$304,MATCH(C93,'رصيد المخزن'!$A$5:$A$304,0)),""))</f>
        <v/>
      </c>
      <c r="E93" s="39">
        <f>IF(C93="","",IFERROR(INDEX('رصيد المخزن'!$C$5:$C$304,MATCH(C93,'رصيد المخزن'!$A$5:$A$304,0)),""))</f>
        <v/>
      </c>
      <c r="F93" s="39">
        <f>IF(C93="","",IFERROR(INDEX('رصيد المخزن'!$D$5:$D$304,MATCH(C93,'رصيد المخزن'!$A$5:$A$304,0)),""))</f>
        <v/>
      </c>
      <c r="G93" s="41" t="n"/>
      <c r="H93" s="40" t="n"/>
      <c r="I93" s="40" t="n"/>
      <c r="J93" s="46">
        <f>IF(C93="","",IFERROR(INDEX('رصيد المخزن'!$H$5:$H$304,MATCH(C93,'رصيد المخزن'!$A$5:$A$304,0)),""))</f>
        <v/>
      </c>
      <c r="K93" s="49">
        <f>IF(C93="","",IF(N(J93)&lt;0,"صرف أكثر من الرصيد!",""))</f>
        <v/>
      </c>
    </row>
    <row r="94">
      <c r="A94" s="39">
        <f>IF(C94="","","ISS-"&amp;TEXT(ROW()-4,"0000"))</f>
        <v/>
      </c>
      <c r="B94" s="47" t="n"/>
      <c r="C94" s="50" t="n"/>
      <c r="D94" s="49">
        <f>IF(C94="","",IFERROR(INDEX('رصيد المخزن'!$B$5:$B$304,MATCH(C94,'رصيد المخزن'!$A$5:$A$304,0)),""))</f>
        <v/>
      </c>
      <c r="E94" s="39">
        <f>IF(C94="","",IFERROR(INDEX('رصيد المخزن'!$C$5:$C$304,MATCH(C94,'رصيد المخزن'!$A$5:$A$304,0)),""))</f>
        <v/>
      </c>
      <c r="F94" s="39">
        <f>IF(C94="","",IFERROR(INDEX('رصيد المخزن'!$D$5:$D$304,MATCH(C94,'رصيد المخزن'!$A$5:$A$304,0)),""))</f>
        <v/>
      </c>
      <c r="G94" s="41" t="n"/>
      <c r="H94" s="40" t="n"/>
      <c r="I94" s="40" t="n"/>
      <c r="J94" s="46">
        <f>IF(C94="","",IFERROR(INDEX('رصيد المخزن'!$H$5:$H$304,MATCH(C94,'رصيد المخزن'!$A$5:$A$304,0)),""))</f>
        <v/>
      </c>
      <c r="K94" s="49">
        <f>IF(C94="","",IF(N(J94)&lt;0,"صرف أكثر من الرصيد!",""))</f>
        <v/>
      </c>
    </row>
    <row r="95">
      <c r="A95" s="39">
        <f>IF(C95="","","ISS-"&amp;TEXT(ROW()-4,"0000"))</f>
        <v/>
      </c>
      <c r="B95" s="47" t="n"/>
      <c r="C95" s="50" t="n"/>
      <c r="D95" s="49">
        <f>IF(C95="","",IFERROR(INDEX('رصيد المخزن'!$B$5:$B$304,MATCH(C95,'رصيد المخزن'!$A$5:$A$304,0)),""))</f>
        <v/>
      </c>
      <c r="E95" s="39">
        <f>IF(C95="","",IFERROR(INDEX('رصيد المخزن'!$C$5:$C$304,MATCH(C95,'رصيد المخزن'!$A$5:$A$304,0)),""))</f>
        <v/>
      </c>
      <c r="F95" s="39">
        <f>IF(C95="","",IFERROR(INDEX('رصيد المخزن'!$D$5:$D$304,MATCH(C95,'رصيد المخزن'!$A$5:$A$304,0)),""))</f>
        <v/>
      </c>
      <c r="G95" s="41" t="n"/>
      <c r="H95" s="40" t="n"/>
      <c r="I95" s="40" t="n"/>
      <c r="J95" s="46">
        <f>IF(C95="","",IFERROR(INDEX('رصيد المخزن'!$H$5:$H$304,MATCH(C95,'رصيد المخزن'!$A$5:$A$304,0)),""))</f>
        <v/>
      </c>
      <c r="K95" s="49">
        <f>IF(C95="","",IF(N(J95)&lt;0,"صرف أكثر من الرصيد!",""))</f>
        <v/>
      </c>
    </row>
    <row r="96">
      <c r="A96" s="39">
        <f>IF(C96="","","ISS-"&amp;TEXT(ROW()-4,"0000"))</f>
        <v/>
      </c>
      <c r="B96" s="47" t="n"/>
      <c r="C96" s="50" t="n"/>
      <c r="D96" s="49">
        <f>IF(C96="","",IFERROR(INDEX('رصيد المخزن'!$B$5:$B$304,MATCH(C96,'رصيد المخزن'!$A$5:$A$304,0)),""))</f>
        <v/>
      </c>
      <c r="E96" s="39">
        <f>IF(C96="","",IFERROR(INDEX('رصيد المخزن'!$C$5:$C$304,MATCH(C96,'رصيد المخزن'!$A$5:$A$304,0)),""))</f>
        <v/>
      </c>
      <c r="F96" s="39">
        <f>IF(C96="","",IFERROR(INDEX('رصيد المخزن'!$D$5:$D$304,MATCH(C96,'رصيد المخزن'!$A$5:$A$304,0)),""))</f>
        <v/>
      </c>
      <c r="G96" s="41" t="n"/>
      <c r="H96" s="40" t="n"/>
      <c r="I96" s="40" t="n"/>
      <c r="J96" s="46">
        <f>IF(C96="","",IFERROR(INDEX('رصيد المخزن'!$H$5:$H$304,MATCH(C96,'رصيد المخزن'!$A$5:$A$304,0)),""))</f>
        <v/>
      </c>
      <c r="K96" s="49">
        <f>IF(C96="","",IF(N(J96)&lt;0,"صرف أكثر من الرصيد!",""))</f>
        <v/>
      </c>
    </row>
    <row r="97">
      <c r="A97" s="39">
        <f>IF(C97="","","ISS-"&amp;TEXT(ROW()-4,"0000"))</f>
        <v/>
      </c>
      <c r="B97" s="47" t="n"/>
      <c r="C97" s="50" t="n"/>
      <c r="D97" s="49">
        <f>IF(C97="","",IFERROR(INDEX('رصيد المخزن'!$B$5:$B$304,MATCH(C97,'رصيد المخزن'!$A$5:$A$304,0)),""))</f>
        <v/>
      </c>
      <c r="E97" s="39">
        <f>IF(C97="","",IFERROR(INDEX('رصيد المخزن'!$C$5:$C$304,MATCH(C97,'رصيد المخزن'!$A$5:$A$304,0)),""))</f>
        <v/>
      </c>
      <c r="F97" s="39">
        <f>IF(C97="","",IFERROR(INDEX('رصيد المخزن'!$D$5:$D$304,MATCH(C97,'رصيد المخزن'!$A$5:$A$304,0)),""))</f>
        <v/>
      </c>
      <c r="G97" s="41" t="n"/>
      <c r="H97" s="40" t="n"/>
      <c r="I97" s="40" t="n"/>
      <c r="J97" s="46">
        <f>IF(C97="","",IFERROR(INDEX('رصيد المخزن'!$H$5:$H$304,MATCH(C97,'رصيد المخزن'!$A$5:$A$304,0)),""))</f>
        <v/>
      </c>
      <c r="K97" s="49">
        <f>IF(C97="","",IF(N(J97)&lt;0,"صرف أكثر من الرصيد!",""))</f>
        <v/>
      </c>
    </row>
    <row r="98">
      <c r="A98" s="39">
        <f>IF(C98="","","ISS-"&amp;TEXT(ROW()-4,"0000"))</f>
        <v/>
      </c>
      <c r="B98" s="47" t="n"/>
      <c r="C98" s="50" t="n"/>
      <c r="D98" s="49">
        <f>IF(C98="","",IFERROR(INDEX('رصيد المخزن'!$B$5:$B$304,MATCH(C98,'رصيد المخزن'!$A$5:$A$304,0)),""))</f>
        <v/>
      </c>
      <c r="E98" s="39">
        <f>IF(C98="","",IFERROR(INDEX('رصيد المخزن'!$C$5:$C$304,MATCH(C98,'رصيد المخزن'!$A$5:$A$304,0)),""))</f>
        <v/>
      </c>
      <c r="F98" s="39">
        <f>IF(C98="","",IFERROR(INDEX('رصيد المخزن'!$D$5:$D$304,MATCH(C98,'رصيد المخزن'!$A$5:$A$304,0)),""))</f>
        <v/>
      </c>
      <c r="G98" s="41" t="n"/>
      <c r="H98" s="40" t="n"/>
      <c r="I98" s="40" t="n"/>
      <c r="J98" s="46">
        <f>IF(C98="","",IFERROR(INDEX('رصيد المخزن'!$H$5:$H$304,MATCH(C98,'رصيد المخزن'!$A$5:$A$304,0)),""))</f>
        <v/>
      </c>
      <c r="K98" s="49">
        <f>IF(C98="","",IF(N(J98)&lt;0,"صرف أكثر من الرصيد!",""))</f>
        <v/>
      </c>
    </row>
    <row r="99">
      <c r="A99" s="39">
        <f>IF(C99="","","ISS-"&amp;TEXT(ROW()-4,"0000"))</f>
        <v/>
      </c>
      <c r="B99" s="47" t="n"/>
      <c r="C99" s="50" t="n"/>
      <c r="D99" s="49">
        <f>IF(C99="","",IFERROR(INDEX('رصيد المخزن'!$B$5:$B$304,MATCH(C99,'رصيد المخزن'!$A$5:$A$304,0)),""))</f>
        <v/>
      </c>
      <c r="E99" s="39">
        <f>IF(C99="","",IFERROR(INDEX('رصيد المخزن'!$C$5:$C$304,MATCH(C99,'رصيد المخزن'!$A$5:$A$304,0)),""))</f>
        <v/>
      </c>
      <c r="F99" s="39">
        <f>IF(C99="","",IFERROR(INDEX('رصيد المخزن'!$D$5:$D$304,MATCH(C99,'رصيد المخزن'!$A$5:$A$304,0)),""))</f>
        <v/>
      </c>
      <c r="G99" s="41" t="n"/>
      <c r="H99" s="40" t="n"/>
      <c r="I99" s="40" t="n"/>
      <c r="J99" s="46">
        <f>IF(C99="","",IFERROR(INDEX('رصيد المخزن'!$H$5:$H$304,MATCH(C99,'رصيد المخزن'!$A$5:$A$304,0)),""))</f>
        <v/>
      </c>
      <c r="K99" s="49">
        <f>IF(C99="","",IF(N(J99)&lt;0,"صرف أكثر من الرصيد!",""))</f>
        <v/>
      </c>
    </row>
    <row r="100">
      <c r="A100" s="39">
        <f>IF(C100="","","ISS-"&amp;TEXT(ROW()-4,"0000"))</f>
        <v/>
      </c>
      <c r="B100" s="47" t="n"/>
      <c r="C100" s="50" t="n"/>
      <c r="D100" s="49">
        <f>IF(C100="","",IFERROR(INDEX('رصيد المخزن'!$B$5:$B$304,MATCH(C100,'رصيد المخزن'!$A$5:$A$304,0)),""))</f>
        <v/>
      </c>
      <c r="E100" s="39">
        <f>IF(C100="","",IFERROR(INDEX('رصيد المخزن'!$C$5:$C$304,MATCH(C100,'رصيد المخزن'!$A$5:$A$304,0)),""))</f>
        <v/>
      </c>
      <c r="F100" s="39">
        <f>IF(C100="","",IFERROR(INDEX('رصيد المخزن'!$D$5:$D$304,MATCH(C100,'رصيد المخزن'!$A$5:$A$304,0)),""))</f>
        <v/>
      </c>
      <c r="G100" s="41" t="n"/>
      <c r="H100" s="40" t="n"/>
      <c r="I100" s="40" t="n"/>
      <c r="J100" s="46">
        <f>IF(C100="","",IFERROR(INDEX('رصيد المخزن'!$H$5:$H$304,MATCH(C100,'رصيد المخزن'!$A$5:$A$304,0)),""))</f>
        <v/>
      </c>
      <c r="K100" s="49">
        <f>IF(C100="","",IF(N(J100)&lt;0,"صرف أكثر من الرصيد!",""))</f>
        <v/>
      </c>
    </row>
    <row r="101">
      <c r="A101" s="39">
        <f>IF(C101="","","ISS-"&amp;TEXT(ROW()-4,"0000"))</f>
        <v/>
      </c>
      <c r="B101" s="47" t="n"/>
      <c r="C101" s="50" t="n"/>
      <c r="D101" s="49">
        <f>IF(C101="","",IFERROR(INDEX('رصيد المخزن'!$B$5:$B$304,MATCH(C101,'رصيد المخزن'!$A$5:$A$304,0)),""))</f>
        <v/>
      </c>
      <c r="E101" s="39">
        <f>IF(C101="","",IFERROR(INDEX('رصيد المخزن'!$C$5:$C$304,MATCH(C101,'رصيد المخزن'!$A$5:$A$304,0)),""))</f>
        <v/>
      </c>
      <c r="F101" s="39">
        <f>IF(C101="","",IFERROR(INDEX('رصيد المخزن'!$D$5:$D$304,MATCH(C101,'رصيد المخزن'!$A$5:$A$304,0)),""))</f>
        <v/>
      </c>
      <c r="G101" s="41" t="n"/>
      <c r="H101" s="40" t="n"/>
      <c r="I101" s="40" t="n"/>
      <c r="J101" s="46">
        <f>IF(C101="","",IFERROR(INDEX('رصيد المخزن'!$H$5:$H$304,MATCH(C101,'رصيد المخزن'!$A$5:$A$304,0)),""))</f>
        <v/>
      </c>
      <c r="K101" s="49">
        <f>IF(C101="","",IF(N(J101)&lt;0,"صرف أكثر من الرصيد!",""))</f>
        <v/>
      </c>
    </row>
    <row r="102">
      <c r="A102" s="39">
        <f>IF(C102="","","ISS-"&amp;TEXT(ROW()-4,"0000"))</f>
        <v/>
      </c>
      <c r="B102" s="47" t="n"/>
      <c r="C102" s="50" t="n"/>
      <c r="D102" s="49">
        <f>IF(C102="","",IFERROR(INDEX('رصيد المخزن'!$B$5:$B$304,MATCH(C102,'رصيد المخزن'!$A$5:$A$304,0)),""))</f>
        <v/>
      </c>
      <c r="E102" s="39">
        <f>IF(C102="","",IFERROR(INDEX('رصيد المخزن'!$C$5:$C$304,MATCH(C102,'رصيد المخزن'!$A$5:$A$304,0)),""))</f>
        <v/>
      </c>
      <c r="F102" s="39">
        <f>IF(C102="","",IFERROR(INDEX('رصيد المخزن'!$D$5:$D$304,MATCH(C102,'رصيد المخزن'!$A$5:$A$304,0)),""))</f>
        <v/>
      </c>
      <c r="G102" s="41" t="n"/>
      <c r="H102" s="40" t="n"/>
      <c r="I102" s="40" t="n"/>
      <c r="J102" s="46">
        <f>IF(C102="","",IFERROR(INDEX('رصيد المخزن'!$H$5:$H$304,MATCH(C102,'رصيد المخزن'!$A$5:$A$304,0)),""))</f>
        <v/>
      </c>
      <c r="K102" s="49">
        <f>IF(C102="","",IF(N(J102)&lt;0,"صرف أكثر من الرصيد!",""))</f>
        <v/>
      </c>
    </row>
    <row r="103">
      <c r="A103" s="39">
        <f>IF(C103="","","ISS-"&amp;TEXT(ROW()-4,"0000"))</f>
        <v/>
      </c>
      <c r="B103" s="47" t="n"/>
      <c r="C103" s="50" t="n"/>
      <c r="D103" s="49">
        <f>IF(C103="","",IFERROR(INDEX('رصيد المخزن'!$B$5:$B$304,MATCH(C103,'رصيد المخزن'!$A$5:$A$304,0)),""))</f>
        <v/>
      </c>
      <c r="E103" s="39">
        <f>IF(C103="","",IFERROR(INDEX('رصيد المخزن'!$C$5:$C$304,MATCH(C103,'رصيد المخزن'!$A$5:$A$304,0)),""))</f>
        <v/>
      </c>
      <c r="F103" s="39">
        <f>IF(C103="","",IFERROR(INDEX('رصيد المخزن'!$D$5:$D$304,MATCH(C103,'رصيد المخزن'!$A$5:$A$304,0)),""))</f>
        <v/>
      </c>
      <c r="G103" s="41" t="n"/>
      <c r="H103" s="40" t="n"/>
      <c r="I103" s="40" t="n"/>
      <c r="J103" s="46">
        <f>IF(C103="","",IFERROR(INDEX('رصيد المخزن'!$H$5:$H$304,MATCH(C103,'رصيد المخزن'!$A$5:$A$304,0)),""))</f>
        <v/>
      </c>
      <c r="K103" s="49">
        <f>IF(C103="","",IF(N(J103)&lt;0,"صرف أكثر من الرصيد!",""))</f>
        <v/>
      </c>
    </row>
    <row r="104">
      <c r="A104" s="39">
        <f>IF(C104="","","ISS-"&amp;TEXT(ROW()-4,"0000"))</f>
        <v/>
      </c>
      <c r="B104" s="47" t="n"/>
      <c r="C104" s="50" t="n"/>
      <c r="D104" s="49">
        <f>IF(C104="","",IFERROR(INDEX('رصيد المخزن'!$B$5:$B$304,MATCH(C104,'رصيد المخزن'!$A$5:$A$304,0)),""))</f>
        <v/>
      </c>
      <c r="E104" s="39">
        <f>IF(C104="","",IFERROR(INDEX('رصيد المخزن'!$C$5:$C$304,MATCH(C104,'رصيد المخزن'!$A$5:$A$304,0)),""))</f>
        <v/>
      </c>
      <c r="F104" s="39">
        <f>IF(C104="","",IFERROR(INDEX('رصيد المخزن'!$D$5:$D$304,MATCH(C104,'رصيد المخزن'!$A$5:$A$304,0)),""))</f>
        <v/>
      </c>
      <c r="G104" s="41" t="n"/>
      <c r="H104" s="40" t="n"/>
      <c r="I104" s="40" t="n"/>
      <c r="J104" s="46">
        <f>IF(C104="","",IFERROR(INDEX('رصيد المخزن'!$H$5:$H$304,MATCH(C104,'رصيد المخزن'!$A$5:$A$304,0)),""))</f>
        <v/>
      </c>
      <c r="K104" s="49">
        <f>IF(C104="","",IF(N(J104)&lt;0,"صرف أكثر من الرصيد!",""))</f>
        <v/>
      </c>
    </row>
    <row r="105">
      <c r="A105" s="39">
        <f>IF(C105="","","ISS-"&amp;TEXT(ROW()-4,"0000"))</f>
        <v/>
      </c>
      <c r="B105" s="47" t="n"/>
      <c r="C105" s="50" t="n"/>
      <c r="D105" s="49">
        <f>IF(C105="","",IFERROR(INDEX('رصيد المخزن'!$B$5:$B$304,MATCH(C105,'رصيد المخزن'!$A$5:$A$304,0)),""))</f>
        <v/>
      </c>
      <c r="E105" s="39">
        <f>IF(C105="","",IFERROR(INDEX('رصيد المخزن'!$C$5:$C$304,MATCH(C105,'رصيد المخزن'!$A$5:$A$304,0)),""))</f>
        <v/>
      </c>
      <c r="F105" s="39">
        <f>IF(C105="","",IFERROR(INDEX('رصيد المخزن'!$D$5:$D$304,MATCH(C105,'رصيد المخزن'!$A$5:$A$304,0)),""))</f>
        <v/>
      </c>
      <c r="G105" s="41" t="n"/>
      <c r="H105" s="40" t="n"/>
      <c r="I105" s="40" t="n"/>
      <c r="J105" s="46">
        <f>IF(C105="","",IFERROR(INDEX('رصيد المخزن'!$H$5:$H$304,MATCH(C105,'رصيد المخزن'!$A$5:$A$304,0)),""))</f>
        <v/>
      </c>
      <c r="K105" s="49">
        <f>IF(C105="","",IF(N(J105)&lt;0,"صرف أكثر من الرصيد!",""))</f>
        <v/>
      </c>
    </row>
    <row r="106">
      <c r="A106" s="39">
        <f>IF(C106="","","ISS-"&amp;TEXT(ROW()-4,"0000"))</f>
        <v/>
      </c>
      <c r="B106" s="47" t="n"/>
      <c r="C106" s="50" t="n"/>
      <c r="D106" s="49">
        <f>IF(C106="","",IFERROR(INDEX('رصيد المخزن'!$B$5:$B$304,MATCH(C106,'رصيد المخزن'!$A$5:$A$304,0)),""))</f>
        <v/>
      </c>
      <c r="E106" s="39">
        <f>IF(C106="","",IFERROR(INDEX('رصيد المخزن'!$C$5:$C$304,MATCH(C106,'رصيد المخزن'!$A$5:$A$304,0)),""))</f>
        <v/>
      </c>
      <c r="F106" s="39">
        <f>IF(C106="","",IFERROR(INDEX('رصيد المخزن'!$D$5:$D$304,MATCH(C106,'رصيد المخزن'!$A$5:$A$304,0)),""))</f>
        <v/>
      </c>
      <c r="G106" s="41" t="n"/>
      <c r="H106" s="40" t="n"/>
      <c r="I106" s="40" t="n"/>
      <c r="J106" s="46">
        <f>IF(C106="","",IFERROR(INDEX('رصيد المخزن'!$H$5:$H$304,MATCH(C106,'رصيد المخزن'!$A$5:$A$304,0)),""))</f>
        <v/>
      </c>
      <c r="K106" s="49">
        <f>IF(C106="","",IF(N(J106)&lt;0,"صرف أكثر من الرصيد!",""))</f>
        <v/>
      </c>
    </row>
    <row r="107">
      <c r="A107" s="39">
        <f>IF(C107="","","ISS-"&amp;TEXT(ROW()-4,"0000"))</f>
        <v/>
      </c>
      <c r="B107" s="47" t="n"/>
      <c r="C107" s="50" t="n"/>
      <c r="D107" s="49">
        <f>IF(C107="","",IFERROR(INDEX('رصيد المخزن'!$B$5:$B$304,MATCH(C107,'رصيد المخزن'!$A$5:$A$304,0)),""))</f>
        <v/>
      </c>
      <c r="E107" s="39">
        <f>IF(C107="","",IFERROR(INDEX('رصيد المخزن'!$C$5:$C$304,MATCH(C107,'رصيد المخزن'!$A$5:$A$304,0)),""))</f>
        <v/>
      </c>
      <c r="F107" s="39">
        <f>IF(C107="","",IFERROR(INDEX('رصيد المخزن'!$D$5:$D$304,MATCH(C107,'رصيد المخزن'!$A$5:$A$304,0)),""))</f>
        <v/>
      </c>
      <c r="G107" s="41" t="n"/>
      <c r="H107" s="40" t="n"/>
      <c r="I107" s="40" t="n"/>
      <c r="J107" s="46">
        <f>IF(C107="","",IFERROR(INDEX('رصيد المخزن'!$H$5:$H$304,MATCH(C107,'رصيد المخزن'!$A$5:$A$304,0)),""))</f>
        <v/>
      </c>
      <c r="K107" s="49">
        <f>IF(C107="","",IF(N(J107)&lt;0,"صرف أكثر من الرصيد!",""))</f>
        <v/>
      </c>
    </row>
    <row r="108">
      <c r="A108" s="39">
        <f>IF(C108="","","ISS-"&amp;TEXT(ROW()-4,"0000"))</f>
        <v/>
      </c>
      <c r="B108" s="47" t="n"/>
      <c r="C108" s="50" t="n"/>
      <c r="D108" s="49">
        <f>IF(C108="","",IFERROR(INDEX('رصيد المخزن'!$B$5:$B$304,MATCH(C108,'رصيد المخزن'!$A$5:$A$304,0)),""))</f>
        <v/>
      </c>
      <c r="E108" s="39">
        <f>IF(C108="","",IFERROR(INDEX('رصيد المخزن'!$C$5:$C$304,MATCH(C108,'رصيد المخزن'!$A$5:$A$304,0)),""))</f>
        <v/>
      </c>
      <c r="F108" s="39">
        <f>IF(C108="","",IFERROR(INDEX('رصيد المخزن'!$D$5:$D$304,MATCH(C108,'رصيد المخزن'!$A$5:$A$304,0)),""))</f>
        <v/>
      </c>
      <c r="G108" s="41" t="n"/>
      <c r="H108" s="40" t="n"/>
      <c r="I108" s="40" t="n"/>
      <c r="J108" s="46">
        <f>IF(C108="","",IFERROR(INDEX('رصيد المخزن'!$H$5:$H$304,MATCH(C108,'رصيد المخزن'!$A$5:$A$304,0)),""))</f>
        <v/>
      </c>
      <c r="K108" s="49">
        <f>IF(C108="","",IF(N(J108)&lt;0,"صرف أكثر من الرصيد!",""))</f>
        <v/>
      </c>
    </row>
    <row r="109">
      <c r="A109" s="39">
        <f>IF(C109="","","ISS-"&amp;TEXT(ROW()-4,"0000"))</f>
        <v/>
      </c>
      <c r="B109" s="47" t="n"/>
      <c r="C109" s="50" t="n"/>
      <c r="D109" s="49">
        <f>IF(C109="","",IFERROR(INDEX('رصيد المخزن'!$B$5:$B$304,MATCH(C109,'رصيد المخزن'!$A$5:$A$304,0)),""))</f>
        <v/>
      </c>
      <c r="E109" s="39">
        <f>IF(C109="","",IFERROR(INDEX('رصيد المخزن'!$C$5:$C$304,MATCH(C109,'رصيد المخزن'!$A$5:$A$304,0)),""))</f>
        <v/>
      </c>
      <c r="F109" s="39">
        <f>IF(C109="","",IFERROR(INDEX('رصيد المخزن'!$D$5:$D$304,MATCH(C109,'رصيد المخزن'!$A$5:$A$304,0)),""))</f>
        <v/>
      </c>
      <c r="G109" s="41" t="n"/>
      <c r="H109" s="40" t="n"/>
      <c r="I109" s="40" t="n"/>
      <c r="J109" s="46">
        <f>IF(C109="","",IFERROR(INDEX('رصيد المخزن'!$H$5:$H$304,MATCH(C109,'رصيد المخزن'!$A$5:$A$304,0)),""))</f>
        <v/>
      </c>
      <c r="K109" s="49">
        <f>IF(C109="","",IF(N(J109)&lt;0,"صرف أكثر من الرصيد!",""))</f>
        <v/>
      </c>
    </row>
    <row r="110">
      <c r="A110" s="39">
        <f>IF(C110="","","ISS-"&amp;TEXT(ROW()-4,"0000"))</f>
        <v/>
      </c>
      <c r="B110" s="47" t="n"/>
      <c r="C110" s="50" t="n"/>
      <c r="D110" s="49">
        <f>IF(C110="","",IFERROR(INDEX('رصيد المخزن'!$B$5:$B$304,MATCH(C110,'رصيد المخزن'!$A$5:$A$304,0)),""))</f>
        <v/>
      </c>
      <c r="E110" s="39">
        <f>IF(C110="","",IFERROR(INDEX('رصيد المخزن'!$C$5:$C$304,MATCH(C110,'رصيد المخزن'!$A$5:$A$304,0)),""))</f>
        <v/>
      </c>
      <c r="F110" s="39">
        <f>IF(C110="","",IFERROR(INDEX('رصيد المخزن'!$D$5:$D$304,MATCH(C110,'رصيد المخزن'!$A$5:$A$304,0)),""))</f>
        <v/>
      </c>
      <c r="G110" s="41" t="n"/>
      <c r="H110" s="40" t="n"/>
      <c r="I110" s="40" t="n"/>
      <c r="J110" s="46">
        <f>IF(C110="","",IFERROR(INDEX('رصيد المخزن'!$H$5:$H$304,MATCH(C110,'رصيد المخزن'!$A$5:$A$304,0)),""))</f>
        <v/>
      </c>
      <c r="K110" s="49">
        <f>IF(C110="","",IF(N(J110)&lt;0,"صرف أكثر من الرصيد!",""))</f>
        <v/>
      </c>
    </row>
    <row r="111">
      <c r="A111" s="39">
        <f>IF(C111="","","ISS-"&amp;TEXT(ROW()-4,"0000"))</f>
        <v/>
      </c>
      <c r="B111" s="47" t="n"/>
      <c r="C111" s="50" t="n"/>
      <c r="D111" s="49">
        <f>IF(C111="","",IFERROR(INDEX('رصيد المخزن'!$B$5:$B$304,MATCH(C111,'رصيد المخزن'!$A$5:$A$304,0)),""))</f>
        <v/>
      </c>
      <c r="E111" s="39">
        <f>IF(C111="","",IFERROR(INDEX('رصيد المخزن'!$C$5:$C$304,MATCH(C111,'رصيد المخزن'!$A$5:$A$304,0)),""))</f>
        <v/>
      </c>
      <c r="F111" s="39">
        <f>IF(C111="","",IFERROR(INDEX('رصيد المخزن'!$D$5:$D$304,MATCH(C111,'رصيد المخزن'!$A$5:$A$304,0)),""))</f>
        <v/>
      </c>
      <c r="G111" s="41" t="n"/>
      <c r="H111" s="40" t="n"/>
      <c r="I111" s="40" t="n"/>
      <c r="J111" s="46">
        <f>IF(C111="","",IFERROR(INDEX('رصيد المخزن'!$H$5:$H$304,MATCH(C111,'رصيد المخزن'!$A$5:$A$304,0)),""))</f>
        <v/>
      </c>
      <c r="K111" s="49">
        <f>IF(C111="","",IF(N(J111)&lt;0,"صرف أكثر من الرصيد!",""))</f>
        <v/>
      </c>
    </row>
    <row r="112">
      <c r="A112" s="39">
        <f>IF(C112="","","ISS-"&amp;TEXT(ROW()-4,"0000"))</f>
        <v/>
      </c>
      <c r="B112" s="47" t="n"/>
      <c r="C112" s="50" t="n"/>
      <c r="D112" s="49">
        <f>IF(C112="","",IFERROR(INDEX('رصيد المخزن'!$B$5:$B$304,MATCH(C112,'رصيد المخزن'!$A$5:$A$304,0)),""))</f>
        <v/>
      </c>
      <c r="E112" s="39">
        <f>IF(C112="","",IFERROR(INDEX('رصيد المخزن'!$C$5:$C$304,MATCH(C112,'رصيد المخزن'!$A$5:$A$304,0)),""))</f>
        <v/>
      </c>
      <c r="F112" s="39">
        <f>IF(C112="","",IFERROR(INDEX('رصيد المخزن'!$D$5:$D$304,MATCH(C112,'رصيد المخزن'!$A$5:$A$304,0)),""))</f>
        <v/>
      </c>
      <c r="G112" s="41" t="n"/>
      <c r="H112" s="40" t="n"/>
      <c r="I112" s="40" t="n"/>
      <c r="J112" s="46">
        <f>IF(C112="","",IFERROR(INDEX('رصيد المخزن'!$H$5:$H$304,MATCH(C112,'رصيد المخزن'!$A$5:$A$304,0)),""))</f>
        <v/>
      </c>
      <c r="K112" s="49">
        <f>IF(C112="","",IF(N(J112)&lt;0,"صرف أكثر من الرصيد!",""))</f>
        <v/>
      </c>
    </row>
    <row r="113">
      <c r="A113" s="39">
        <f>IF(C113="","","ISS-"&amp;TEXT(ROW()-4,"0000"))</f>
        <v/>
      </c>
      <c r="B113" s="47" t="n"/>
      <c r="C113" s="50" t="n"/>
      <c r="D113" s="49">
        <f>IF(C113="","",IFERROR(INDEX('رصيد المخزن'!$B$5:$B$304,MATCH(C113,'رصيد المخزن'!$A$5:$A$304,0)),""))</f>
        <v/>
      </c>
      <c r="E113" s="39">
        <f>IF(C113="","",IFERROR(INDEX('رصيد المخزن'!$C$5:$C$304,MATCH(C113,'رصيد المخزن'!$A$5:$A$304,0)),""))</f>
        <v/>
      </c>
      <c r="F113" s="39">
        <f>IF(C113="","",IFERROR(INDEX('رصيد المخزن'!$D$5:$D$304,MATCH(C113,'رصيد المخزن'!$A$5:$A$304,0)),""))</f>
        <v/>
      </c>
      <c r="G113" s="41" t="n"/>
      <c r="H113" s="40" t="n"/>
      <c r="I113" s="40" t="n"/>
      <c r="J113" s="46">
        <f>IF(C113="","",IFERROR(INDEX('رصيد المخزن'!$H$5:$H$304,MATCH(C113,'رصيد المخزن'!$A$5:$A$304,0)),""))</f>
        <v/>
      </c>
      <c r="K113" s="49">
        <f>IF(C113="","",IF(N(J113)&lt;0,"صرف أكثر من الرصيد!",""))</f>
        <v/>
      </c>
    </row>
    <row r="114">
      <c r="A114" s="39">
        <f>IF(C114="","","ISS-"&amp;TEXT(ROW()-4,"0000"))</f>
        <v/>
      </c>
      <c r="B114" s="47" t="n"/>
      <c r="C114" s="50" t="n"/>
      <c r="D114" s="49">
        <f>IF(C114="","",IFERROR(INDEX('رصيد المخزن'!$B$5:$B$304,MATCH(C114,'رصيد المخزن'!$A$5:$A$304,0)),""))</f>
        <v/>
      </c>
      <c r="E114" s="39">
        <f>IF(C114="","",IFERROR(INDEX('رصيد المخزن'!$C$5:$C$304,MATCH(C114,'رصيد المخزن'!$A$5:$A$304,0)),""))</f>
        <v/>
      </c>
      <c r="F114" s="39">
        <f>IF(C114="","",IFERROR(INDEX('رصيد المخزن'!$D$5:$D$304,MATCH(C114,'رصيد المخزن'!$A$5:$A$304,0)),""))</f>
        <v/>
      </c>
      <c r="G114" s="41" t="n"/>
      <c r="H114" s="40" t="n"/>
      <c r="I114" s="40" t="n"/>
      <c r="J114" s="46">
        <f>IF(C114="","",IFERROR(INDEX('رصيد المخزن'!$H$5:$H$304,MATCH(C114,'رصيد المخزن'!$A$5:$A$304,0)),""))</f>
        <v/>
      </c>
      <c r="K114" s="49">
        <f>IF(C114="","",IF(N(J114)&lt;0,"صرف أكثر من الرصيد!",""))</f>
        <v/>
      </c>
    </row>
    <row r="115">
      <c r="A115" s="39">
        <f>IF(C115="","","ISS-"&amp;TEXT(ROW()-4,"0000"))</f>
        <v/>
      </c>
      <c r="B115" s="47" t="n"/>
      <c r="C115" s="50" t="n"/>
      <c r="D115" s="49">
        <f>IF(C115="","",IFERROR(INDEX('رصيد المخزن'!$B$5:$B$304,MATCH(C115,'رصيد المخزن'!$A$5:$A$304,0)),""))</f>
        <v/>
      </c>
      <c r="E115" s="39">
        <f>IF(C115="","",IFERROR(INDEX('رصيد المخزن'!$C$5:$C$304,MATCH(C115,'رصيد المخزن'!$A$5:$A$304,0)),""))</f>
        <v/>
      </c>
      <c r="F115" s="39">
        <f>IF(C115="","",IFERROR(INDEX('رصيد المخزن'!$D$5:$D$304,MATCH(C115,'رصيد المخزن'!$A$5:$A$304,0)),""))</f>
        <v/>
      </c>
      <c r="G115" s="41" t="n"/>
      <c r="H115" s="40" t="n"/>
      <c r="I115" s="40" t="n"/>
      <c r="J115" s="46">
        <f>IF(C115="","",IFERROR(INDEX('رصيد المخزن'!$H$5:$H$304,MATCH(C115,'رصيد المخزن'!$A$5:$A$304,0)),""))</f>
        <v/>
      </c>
      <c r="K115" s="49">
        <f>IF(C115="","",IF(N(J115)&lt;0,"صرف أكثر من الرصيد!",""))</f>
        <v/>
      </c>
    </row>
    <row r="116">
      <c r="A116" s="39">
        <f>IF(C116="","","ISS-"&amp;TEXT(ROW()-4,"0000"))</f>
        <v/>
      </c>
      <c r="B116" s="47" t="n"/>
      <c r="C116" s="50" t="n"/>
      <c r="D116" s="49">
        <f>IF(C116="","",IFERROR(INDEX('رصيد المخزن'!$B$5:$B$304,MATCH(C116,'رصيد المخزن'!$A$5:$A$304,0)),""))</f>
        <v/>
      </c>
      <c r="E116" s="39">
        <f>IF(C116="","",IFERROR(INDEX('رصيد المخزن'!$C$5:$C$304,MATCH(C116,'رصيد المخزن'!$A$5:$A$304,0)),""))</f>
        <v/>
      </c>
      <c r="F116" s="39">
        <f>IF(C116="","",IFERROR(INDEX('رصيد المخزن'!$D$5:$D$304,MATCH(C116,'رصيد المخزن'!$A$5:$A$304,0)),""))</f>
        <v/>
      </c>
      <c r="G116" s="41" t="n"/>
      <c r="H116" s="40" t="n"/>
      <c r="I116" s="40" t="n"/>
      <c r="J116" s="46">
        <f>IF(C116="","",IFERROR(INDEX('رصيد المخزن'!$H$5:$H$304,MATCH(C116,'رصيد المخزن'!$A$5:$A$304,0)),""))</f>
        <v/>
      </c>
      <c r="K116" s="49">
        <f>IF(C116="","",IF(N(J116)&lt;0,"صرف أكثر من الرصيد!",""))</f>
        <v/>
      </c>
    </row>
    <row r="117">
      <c r="A117" s="39">
        <f>IF(C117="","","ISS-"&amp;TEXT(ROW()-4,"0000"))</f>
        <v/>
      </c>
      <c r="B117" s="47" t="n"/>
      <c r="C117" s="50" t="n"/>
      <c r="D117" s="49">
        <f>IF(C117="","",IFERROR(INDEX('رصيد المخزن'!$B$5:$B$304,MATCH(C117,'رصيد المخزن'!$A$5:$A$304,0)),""))</f>
        <v/>
      </c>
      <c r="E117" s="39">
        <f>IF(C117="","",IFERROR(INDEX('رصيد المخزن'!$C$5:$C$304,MATCH(C117,'رصيد المخزن'!$A$5:$A$304,0)),""))</f>
        <v/>
      </c>
      <c r="F117" s="39">
        <f>IF(C117="","",IFERROR(INDEX('رصيد المخزن'!$D$5:$D$304,MATCH(C117,'رصيد المخزن'!$A$5:$A$304,0)),""))</f>
        <v/>
      </c>
      <c r="G117" s="41" t="n"/>
      <c r="H117" s="40" t="n"/>
      <c r="I117" s="40" t="n"/>
      <c r="J117" s="46">
        <f>IF(C117="","",IFERROR(INDEX('رصيد المخزن'!$H$5:$H$304,MATCH(C117,'رصيد المخزن'!$A$5:$A$304,0)),""))</f>
        <v/>
      </c>
      <c r="K117" s="49">
        <f>IF(C117="","",IF(N(J117)&lt;0,"صرف أكثر من الرصيد!",""))</f>
        <v/>
      </c>
    </row>
    <row r="118">
      <c r="A118" s="39">
        <f>IF(C118="","","ISS-"&amp;TEXT(ROW()-4,"0000"))</f>
        <v/>
      </c>
      <c r="B118" s="47" t="n"/>
      <c r="C118" s="50" t="n"/>
      <c r="D118" s="49">
        <f>IF(C118="","",IFERROR(INDEX('رصيد المخزن'!$B$5:$B$304,MATCH(C118,'رصيد المخزن'!$A$5:$A$304,0)),""))</f>
        <v/>
      </c>
      <c r="E118" s="39">
        <f>IF(C118="","",IFERROR(INDEX('رصيد المخزن'!$C$5:$C$304,MATCH(C118,'رصيد المخزن'!$A$5:$A$304,0)),""))</f>
        <v/>
      </c>
      <c r="F118" s="39">
        <f>IF(C118="","",IFERROR(INDEX('رصيد المخزن'!$D$5:$D$304,MATCH(C118,'رصيد المخزن'!$A$5:$A$304,0)),""))</f>
        <v/>
      </c>
      <c r="G118" s="41" t="n"/>
      <c r="H118" s="40" t="n"/>
      <c r="I118" s="40" t="n"/>
      <c r="J118" s="46">
        <f>IF(C118="","",IFERROR(INDEX('رصيد المخزن'!$H$5:$H$304,MATCH(C118,'رصيد المخزن'!$A$5:$A$304,0)),""))</f>
        <v/>
      </c>
      <c r="K118" s="49">
        <f>IF(C118="","",IF(N(J118)&lt;0,"صرف أكثر من الرصيد!",""))</f>
        <v/>
      </c>
    </row>
    <row r="119">
      <c r="A119" s="39">
        <f>IF(C119="","","ISS-"&amp;TEXT(ROW()-4,"0000"))</f>
        <v/>
      </c>
      <c r="B119" s="47" t="n"/>
      <c r="C119" s="50" t="n"/>
      <c r="D119" s="49">
        <f>IF(C119="","",IFERROR(INDEX('رصيد المخزن'!$B$5:$B$304,MATCH(C119,'رصيد المخزن'!$A$5:$A$304,0)),""))</f>
        <v/>
      </c>
      <c r="E119" s="39">
        <f>IF(C119="","",IFERROR(INDEX('رصيد المخزن'!$C$5:$C$304,MATCH(C119,'رصيد المخزن'!$A$5:$A$304,0)),""))</f>
        <v/>
      </c>
      <c r="F119" s="39">
        <f>IF(C119="","",IFERROR(INDEX('رصيد المخزن'!$D$5:$D$304,MATCH(C119,'رصيد المخزن'!$A$5:$A$304,0)),""))</f>
        <v/>
      </c>
      <c r="G119" s="41" t="n"/>
      <c r="H119" s="40" t="n"/>
      <c r="I119" s="40" t="n"/>
      <c r="J119" s="46">
        <f>IF(C119="","",IFERROR(INDEX('رصيد المخزن'!$H$5:$H$304,MATCH(C119,'رصيد المخزن'!$A$5:$A$304,0)),""))</f>
        <v/>
      </c>
      <c r="K119" s="49">
        <f>IF(C119="","",IF(N(J119)&lt;0,"صرف أكثر من الرصيد!",""))</f>
        <v/>
      </c>
    </row>
    <row r="120">
      <c r="A120" s="39">
        <f>IF(C120="","","ISS-"&amp;TEXT(ROW()-4,"0000"))</f>
        <v/>
      </c>
      <c r="B120" s="47" t="n"/>
      <c r="C120" s="50" t="n"/>
      <c r="D120" s="49">
        <f>IF(C120="","",IFERROR(INDEX('رصيد المخزن'!$B$5:$B$304,MATCH(C120,'رصيد المخزن'!$A$5:$A$304,0)),""))</f>
        <v/>
      </c>
      <c r="E120" s="39">
        <f>IF(C120="","",IFERROR(INDEX('رصيد المخزن'!$C$5:$C$304,MATCH(C120,'رصيد المخزن'!$A$5:$A$304,0)),""))</f>
        <v/>
      </c>
      <c r="F120" s="39">
        <f>IF(C120="","",IFERROR(INDEX('رصيد المخزن'!$D$5:$D$304,MATCH(C120,'رصيد المخزن'!$A$5:$A$304,0)),""))</f>
        <v/>
      </c>
      <c r="G120" s="41" t="n"/>
      <c r="H120" s="40" t="n"/>
      <c r="I120" s="40" t="n"/>
      <c r="J120" s="46">
        <f>IF(C120="","",IFERROR(INDEX('رصيد المخزن'!$H$5:$H$304,MATCH(C120,'رصيد المخزن'!$A$5:$A$304,0)),""))</f>
        <v/>
      </c>
      <c r="K120" s="49">
        <f>IF(C120="","",IF(N(J120)&lt;0,"صرف أكثر من الرصيد!",""))</f>
        <v/>
      </c>
    </row>
    <row r="121">
      <c r="A121" s="39">
        <f>IF(C121="","","ISS-"&amp;TEXT(ROW()-4,"0000"))</f>
        <v/>
      </c>
      <c r="B121" s="47" t="n"/>
      <c r="C121" s="50" t="n"/>
      <c r="D121" s="49">
        <f>IF(C121="","",IFERROR(INDEX('رصيد المخزن'!$B$5:$B$304,MATCH(C121,'رصيد المخزن'!$A$5:$A$304,0)),""))</f>
        <v/>
      </c>
      <c r="E121" s="39">
        <f>IF(C121="","",IFERROR(INDEX('رصيد المخزن'!$C$5:$C$304,MATCH(C121,'رصيد المخزن'!$A$5:$A$304,0)),""))</f>
        <v/>
      </c>
      <c r="F121" s="39">
        <f>IF(C121="","",IFERROR(INDEX('رصيد المخزن'!$D$5:$D$304,MATCH(C121,'رصيد المخزن'!$A$5:$A$304,0)),""))</f>
        <v/>
      </c>
      <c r="G121" s="41" t="n"/>
      <c r="H121" s="40" t="n"/>
      <c r="I121" s="40" t="n"/>
      <c r="J121" s="46">
        <f>IF(C121="","",IFERROR(INDEX('رصيد المخزن'!$H$5:$H$304,MATCH(C121,'رصيد المخزن'!$A$5:$A$304,0)),""))</f>
        <v/>
      </c>
      <c r="K121" s="49">
        <f>IF(C121="","",IF(N(J121)&lt;0,"صرف أكثر من الرصيد!",""))</f>
        <v/>
      </c>
    </row>
    <row r="122">
      <c r="A122" s="39">
        <f>IF(C122="","","ISS-"&amp;TEXT(ROW()-4,"0000"))</f>
        <v/>
      </c>
      <c r="B122" s="47" t="n"/>
      <c r="C122" s="50" t="n"/>
      <c r="D122" s="49">
        <f>IF(C122="","",IFERROR(INDEX('رصيد المخزن'!$B$5:$B$304,MATCH(C122,'رصيد المخزن'!$A$5:$A$304,0)),""))</f>
        <v/>
      </c>
      <c r="E122" s="39">
        <f>IF(C122="","",IFERROR(INDEX('رصيد المخزن'!$C$5:$C$304,MATCH(C122,'رصيد المخزن'!$A$5:$A$304,0)),""))</f>
        <v/>
      </c>
      <c r="F122" s="39">
        <f>IF(C122="","",IFERROR(INDEX('رصيد المخزن'!$D$5:$D$304,MATCH(C122,'رصيد المخزن'!$A$5:$A$304,0)),""))</f>
        <v/>
      </c>
      <c r="G122" s="41" t="n"/>
      <c r="H122" s="40" t="n"/>
      <c r="I122" s="40" t="n"/>
      <c r="J122" s="46">
        <f>IF(C122="","",IFERROR(INDEX('رصيد المخزن'!$H$5:$H$304,MATCH(C122,'رصيد المخزن'!$A$5:$A$304,0)),""))</f>
        <v/>
      </c>
      <c r="K122" s="49">
        <f>IF(C122="","",IF(N(J122)&lt;0,"صرف أكثر من الرصيد!",""))</f>
        <v/>
      </c>
    </row>
    <row r="123">
      <c r="A123" s="39">
        <f>IF(C123="","","ISS-"&amp;TEXT(ROW()-4,"0000"))</f>
        <v/>
      </c>
      <c r="B123" s="47" t="n"/>
      <c r="C123" s="50" t="n"/>
      <c r="D123" s="49">
        <f>IF(C123="","",IFERROR(INDEX('رصيد المخزن'!$B$5:$B$304,MATCH(C123,'رصيد المخزن'!$A$5:$A$304,0)),""))</f>
        <v/>
      </c>
      <c r="E123" s="39">
        <f>IF(C123="","",IFERROR(INDEX('رصيد المخزن'!$C$5:$C$304,MATCH(C123,'رصيد المخزن'!$A$5:$A$304,0)),""))</f>
        <v/>
      </c>
      <c r="F123" s="39">
        <f>IF(C123="","",IFERROR(INDEX('رصيد المخزن'!$D$5:$D$304,MATCH(C123,'رصيد المخزن'!$A$5:$A$304,0)),""))</f>
        <v/>
      </c>
      <c r="G123" s="41" t="n"/>
      <c r="H123" s="40" t="n"/>
      <c r="I123" s="40" t="n"/>
      <c r="J123" s="46">
        <f>IF(C123="","",IFERROR(INDEX('رصيد المخزن'!$H$5:$H$304,MATCH(C123,'رصيد المخزن'!$A$5:$A$304,0)),""))</f>
        <v/>
      </c>
      <c r="K123" s="49">
        <f>IF(C123="","",IF(N(J123)&lt;0,"صرف أكثر من الرصيد!",""))</f>
        <v/>
      </c>
    </row>
    <row r="124">
      <c r="A124" s="39">
        <f>IF(C124="","","ISS-"&amp;TEXT(ROW()-4,"0000"))</f>
        <v/>
      </c>
      <c r="B124" s="47" t="n"/>
      <c r="C124" s="50" t="n"/>
      <c r="D124" s="49">
        <f>IF(C124="","",IFERROR(INDEX('رصيد المخزن'!$B$5:$B$304,MATCH(C124,'رصيد المخزن'!$A$5:$A$304,0)),""))</f>
        <v/>
      </c>
      <c r="E124" s="39">
        <f>IF(C124="","",IFERROR(INDEX('رصيد المخزن'!$C$5:$C$304,MATCH(C124,'رصيد المخزن'!$A$5:$A$304,0)),""))</f>
        <v/>
      </c>
      <c r="F124" s="39">
        <f>IF(C124="","",IFERROR(INDEX('رصيد المخزن'!$D$5:$D$304,MATCH(C124,'رصيد المخزن'!$A$5:$A$304,0)),""))</f>
        <v/>
      </c>
      <c r="G124" s="41" t="n"/>
      <c r="H124" s="40" t="n"/>
      <c r="I124" s="40" t="n"/>
      <c r="J124" s="46">
        <f>IF(C124="","",IFERROR(INDEX('رصيد المخزن'!$H$5:$H$304,MATCH(C124,'رصيد المخزن'!$A$5:$A$304,0)),""))</f>
        <v/>
      </c>
      <c r="K124" s="49">
        <f>IF(C124="","",IF(N(J124)&lt;0,"صرف أكثر من الرصيد!",""))</f>
        <v/>
      </c>
    </row>
    <row r="125">
      <c r="A125" s="39">
        <f>IF(C125="","","ISS-"&amp;TEXT(ROW()-4,"0000"))</f>
        <v/>
      </c>
      <c r="B125" s="47" t="n"/>
      <c r="C125" s="50" t="n"/>
      <c r="D125" s="49">
        <f>IF(C125="","",IFERROR(INDEX('رصيد المخزن'!$B$5:$B$304,MATCH(C125,'رصيد المخزن'!$A$5:$A$304,0)),""))</f>
        <v/>
      </c>
      <c r="E125" s="39">
        <f>IF(C125="","",IFERROR(INDEX('رصيد المخزن'!$C$5:$C$304,MATCH(C125,'رصيد المخزن'!$A$5:$A$304,0)),""))</f>
        <v/>
      </c>
      <c r="F125" s="39">
        <f>IF(C125="","",IFERROR(INDEX('رصيد المخزن'!$D$5:$D$304,MATCH(C125,'رصيد المخزن'!$A$5:$A$304,0)),""))</f>
        <v/>
      </c>
      <c r="G125" s="41" t="n"/>
      <c r="H125" s="40" t="n"/>
      <c r="I125" s="40" t="n"/>
      <c r="J125" s="46">
        <f>IF(C125="","",IFERROR(INDEX('رصيد المخزن'!$H$5:$H$304,MATCH(C125,'رصيد المخزن'!$A$5:$A$304,0)),""))</f>
        <v/>
      </c>
      <c r="K125" s="49">
        <f>IF(C125="","",IF(N(J125)&lt;0,"صرف أكثر من الرصيد!",""))</f>
        <v/>
      </c>
    </row>
    <row r="126">
      <c r="A126" s="39">
        <f>IF(C126="","","ISS-"&amp;TEXT(ROW()-4,"0000"))</f>
        <v/>
      </c>
      <c r="B126" s="47" t="n"/>
      <c r="C126" s="50" t="n"/>
      <c r="D126" s="49">
        <f>IF(C126="","",IFERROR(INDEX('رصيد المخزن'!$B$5:$B$304,MATCH(C126,'رصيد المخزن'!$A$5:$A$304,0)),""))</f>
        <v/>
      </c>
      <c r="E126" s="39">
        <f>IF(C126="","",IFERROR(INDEX('رصيد المخزن'!$C$5:$C$304,MATCH(C126,'رصيد المخزن'!$A$5:$A$304,0)),""))</f>
        <v/>
      </c>
      <c r="F126" s="39">
        <f>IF(C126="","",IFERROR(INDEX('رصيد المخزن'!$D$5:$D$304,MATCH(C126,'رصيد المخزن'!$A$5:$A$304,0)),""))</f>
        <v/>
      </c>
      <c r="G126" s="41" t="n"/>
      <c r="H126" s="40" t="n"/>
      <c r="I126" s="40" t="n"/>
      <c r="J126" s="46">
        <f>IF(C126="","",IFERROR(INDEX('رصيد المخزن'!$H$5:$H$304,MATCH(C126,'رصيد المخزن'!$A$5:$A$304,0)),""))</f>
        <v/>
      </c>
      <c r="K126" s="49">
        <f>IF(C126="","",IF(N(J126)&lt;0,"صرف أكثر من الرصيد!",""))</f>
        <v/>
      </c>
    </row>
    <row r="127">
      <c r="A127" s="39">
        <f>IF(C127="","","ISS-"&amp;TEXT(ROW()-4,"0000"))</f>
        <v/>
      </c>
      <c r="B127" s="47" t="n"/>
      <c r="C127" s="50" t="n"/>
      <c r="D127" s="49">
        <f>IF(C127="","",IFERROR(INDEX('رصيد المخزن'!$B$5:$B$304,MATCH(C127,'رصيد المخزن'!$A$5:$A$304,0)),""))</f>
        <v/>
      </c>
      <c r="E127" s="39">
        <f>IF(C127="","",IFERROR(INDEX('رصيد المخزن'!$C$5:$C$304,MATCH(C127,'رصيد المخزن'!$A$5:$A$304,0)),""))</f>
        <v/>
      </c>
      <c r="F127" s="39">
        <f>IF(C127="","",IFERROR(INDEX('رصيد المخزن'!$D$5:$D$304,MATCH(C127,'رصيد المخزن'!$A$5:$A$304,0)),""))</f>
        <v/>
      </c>
      <c r="G127" s="41" t="n"/>
      <c r="H127" s="40" t="n"/>
      <c r="I127" s="40" t="n"/>
      <c r="J127" s="46">
        <f>IF(C127="","",IFERROR(INDEX('رصيد المخزن'!$H$5:$H$304,MATCH(C127,'رصيد المخزن'!$A$5:$A$304,0)),""))</f>
        <v/>
      </c>
      <c r="K127" s="49">
        <f>IF(C127="","",IF(N(J127)&lt;0,"صرف أكثر من الرصيد!",""))</f>
        <v/>
      </c>
    </row>
    <row r="128">
      <c r="A128" s="39">
        <f>IF(C128="","","ISS-"&amp;TEXT(ROW()-4,"0000"))</f>
        <v/>
      </c>
      <c r="B128" s="47" t="n"/>
      <c r="C128" s="50" t="n"/>
      <c r="D128" s="49">
        <f>IF(C128="","",IFERROR(INDEX('رصيد المخزن'!$B$5:$B$304,MATCH(C128,'رصيد المخزن'!$A$5:$A$304,0)),""))</f>
        <v/>
      </c>
      <c r="E128" s="39">
        <f>IF(C128="","",IFERROR(INDEX('رصيد المخزن'!$C$5:$C$304,MATCH(C128,'رصيد المخزن'!$A$5:$A$304,0)),""))</f>
        <v/>
      </c>
      <c r="F128" s="39">
        <f>IF(C128="","",IFERROR(INDEX('رصيد المخزن'!$D$5:$D$304,MATCH(C128,'رصيد المخزن'!$A$5:$A$304,0)),""))</f>
        <v/>
      </c>
      <c r="G128" s="41" t="n"/>
      <c r="H128" s="40" t="n"/>
      <c r="I128" s="40" t="n"/>
      <c r="J128" s="46">
        <f>IF(C128="","",IFERROR(INDEX('رصيد المخزن'!$H$5:$H$304,MATCH(C128,'رصيد المخزن'!$A$5:$A$304,0)),""))</f>
        <v/>
      </c>
      <c r="K128" s="49">
        <f>IF(C128="","",IF(N(J128)&lt;0,"صرف أكثر من الرصيد!",""))</f>
        <v/>
      </c>
    </row>
    <row r="129">
      <c r="A129" s="39">
        <f>IF(C129="","","ISS-"&amp;TEXT(ROW()-4,"0000"))</f>
        <v/>
      </c>
      <c r="B129" s="47" t="n"/>
      <c r="C129" s="50" t="n"/>
      <c r="D129" s="49">
        <f>IF(C129="","",IFERROR(INDEX('رصيد المخزن'!$B$5:$B$304,MATCH(C129,'رصيد المخزن'!$A$5:$A$304,0)),""))</f>
        <v/>
      </c>
      <c r="E129" s="39">
        <f>IF(C129="","",IFERROR(INDEX('رصيد المخزن'!$C$5:$C$304,MATCH(C129,'رصيد المخزن'!$A$5:$A$304,0)),""))</f>
        <v/>
      </c>
      <c r="F129" s="39">
        <f>IF(C129="","",IFERROR(INDEX('رصيد المخزن'!$D$5:$D$304,MATCH(C129,'رصيد المخزن'!$A$5:$A$304,0)),""))</f>
        <v/>
      </c>
      <c r="G129" s="41" t="n"/>
      <c r="H129" s="40" t="n"/>
      <c r="I129" s="40" t="n"/>
      <c r="J129" s="46">
        <f>IF(C129="","",IFERROR(INDEX('رصيد المخزن'!$H$5:$H$304,MATCH(C129,'رصيد المخزن'!$A$5:$A$304,0)),""))</f>
        <v/>
      </c>
      <c r="K129" s="49">
        <f>IF(C129="","",IF(N(J129)&lt;0,"صرف أكثر من الرصيد!",""))</f>
        <v/>
      </c>
    </row>
    <row r="130">
      <c r="A130" s="39">
        <f>IF(C130="","","ISS-"&amp;TEXT(ROW()-4,"0000"))</f>
        <v/>
      </c>
      <c r="B130" s="47" t="n"/>
      <c r="C130" s="50" t="n"/>
      <c r="D130" s="49">
        <f>IF(C130="","",IFERROR(INDEX('رصيد المخزن'!$B$5:$B$304,MATCH(C130,'رصيد المخزن'!$A$5:$A$304,0)),""))</f>
        <v/>
      </c>
      <c r="E130" s="39">
        <f>IF(C130="","",IFERROR(INDEX('رصيد المخزن'!$C$5:$C$304,MATCH(C130,'رصيد المخزن'!$A$5:$A$304,0)),""))</f>
        <v/>
      </c>
      <c r="F130" s="39">
        <f>IF(C130="","",IFERROR(INDEX('رصيد المخزن'!$D$5:$D$304,MATCH(C130,'رصيد المخزن'!$A$5:$A$304,0)),""))</f>
        <v/>
      </c>
      <c r="G130" s="41" t="n"/>
      <c r="H130" s="40" t="n"/>
      <c r="I130" s="40" t="n"/>
      <c r="J130" s="46">
        <f>IF(C130="","",IFERROR(INDEX('رصيد المخزن'!$H$5:$H$304,MATCH(C130,'رصيد المخزن'!$A$5:$A$304,0)),""))</f>
        <v/>
      </c>
      <c r="K130" s="49">
        <f>IF(C130="","",IF(N(J130)&lt;0,"صرف أكثر من الرصيد!",""))</f>
        <v/>
      </c>
    </row>
    <row r="131">
      <c r="A131" s="39">
        <f>IF(C131="","","ISS-"&amp;TEXT(ROW()-4,"0000"))</f>
        <v/>
      </c>
      <c r="B131" s="47" t="n"/>
      <c r="C131" s="50" t="n"/>
      <c r="D131" s="49">
        <f>IF(C131="","",IFERROR(INDEX('رصيد المخزن'!$B$5:$B$304,MATCH(C131,'رصيد المخزن'!$A$5:$A$304,0)),""))</f>
        <v/>
      </c>
      <c r="E131" s="39">
        <f>IF(C131="","",IFERROR(INDEX('رصيد المخزن'!$C$5:$C$304,MATCH(C131,'رصيد المخزن'!$A$5:$A$304,0)),""))</f>
        <v/>
      </c>
      <c r="F131" s="39">
        <f>IF(C131="","",IFERROR(INDEX('رصيد المخزن'!$D$5:$D$304,MATCH(C131,'رصيد المخزن'!$A$5:$A$304,0)),""))</f>
        <v/>
      </c>
      <c r="G131" s="41" t="n"/>
      <c r="H131" s="40" t="n"/>
      <c r="I131" s="40" t="n"/>
      <c r="J131" s="46">
        <f>IF(C131="","",IFERROR(INDEX('رصيد المخزن'!$H$5:$H$304,MATCH(C131,'رصيد المخزن'!$A$5:$A$304,0)),""))</f>
        <v/>
      </c>
      <c r="K131" s="49">
        <f>IF(C131="","",IF(N(J131)&lt;0,"صرف أكثر من الرصيد!",""))</f>
        <v/>
      </c>
    </row>
    <row r="132">
      <c r="A132" s="39">
        <f>IF(C132="","","ISS-"&amp;TEXT(ROW()-4,"0000"))</f>
        <v/>
      </c>
      <c r="B132" s="47" t="n"/>
      <c r="C132" s="50" t="n"/>
      <c r="D132" s="49">
        <f>IF(C132="","",IFERROR(INDEX('رصيد المخزن'!$B$5:$B$304,MATCH(C132,'رصيد المخزن'!$A$5:$A$304,0)),""))</f>
        <v/>
      </c>
      <c r="E132" s="39">
        <f>IF(C132="","",IFERROR(INDEX('رصيد المخزن'!$C$5:$C$304,MATCH(C132,'رصيد المخزن'!$A$5:$A$304,0)),""))</f>
        <v/>
      </c>
      <c r="F132" s="39">
        <f>IF(C132="","",IFERROR(INDEX('رصيد المخزن'!$D$5:$D$304,MATCH(C132,'رصيد المخزن'!$A$5:$A$304,0)),""))</f>
        <v/>
      </c>
      <c r="G132" s="41" t="n"/>
      <c r="H132" s="40" t="n"/>
      <c r="I132" s="40" t="n"/>
      <c r="J132" s="46">
        <f>IF(C132="","",IFERROR(INDEX('رصيد المخزن'!$H$5:$H$304,MATCH(C132,'رصيد المخزن'!$A$5:$A$304,0)),""))</f>
        <v/>
      </c>
      <c r="K132" s="49">
        <f>IF(C132="","",IF(N(J132)&lt;0,"صرف أكثر من الرصيد!",""))</f>
        <v/>
      </c>
    </row>
    <row r="133">
      <c r="A133" s="39">
        <f>IF(C133="","","ISS-"&amp;TEXT(ROW()-4,"0000"))</f>
        <v/>
      </c>
      <c r="B133" s="47" t="n"/>
      <c r="C133" s="50" t="n"/>
      <c r="D133" s="49">
        <f>IF(C133="","",IFERROR(INDEX('رصيد المخزن'!$B$5:$B$304,MATCH(C133,'رصيد المخزن'!$A$5:$A$304,0)),""))</f>
        <v/>
      </c>
      <c r="E133" s="39">
        <f>IF(C133="","",IFERROR(INDEX('رصيد المخزن'!$C$5:$C$304,MATCH(C133,'رصيد المخزن'!$A$5:$A$304,0)),""))</f>
        <v/>
      </c>
      <c r="F133" s="39">
        <f>IF(C133="","",IFERROR(INDEX('رصيد المخزن'!$D$5:$D$304,MATCH(C133,'رصيد المخزن'!$A$5:$A$304,0)),""))</f>
        <v/>
      </c>
      <c r="G133" s="41" t="n"/>
      <c r="H133" s="40" t="n"/>
      <c r="I133" s="40" t="n"/>
      <c r="J133" s="46">
        <f>IF(C133="","",IFERROR(INDEX('رصيد المخزن'!$H$5:$H$304,MATCH(C133,'رصيد المخزن'!$A$5:$A$304,0)),""))</f>
        <v/>
      </c>
      <c r="K133" s="49">
        <f>IF(C133="","",IF(N(J133)&lt;0,"صرف أكثر من الرصيد!",""))</f>
        <v/>
      </c>
    </row>
    <row r="134">
      <c r="A134" s="39">
        <f>IF(C134="","","ISS-"&amp;TEXT(ROW()-4,"0000"))</f>
        <v/>
      </c>
      <c r="B134" s="47" t="n"/>
      <c r="C134" s="50" t="n"/>
      <c r="D134" s="49">
        <f>IF(C134="","",IFERROR(INDEX('رصيد المخزن'!$B$5:$B$304,MATCH(C134,'رصيد المخزن'!$A$5:$A$304,0)),""))</f>
        <v/>
      </c>
      <c r="E134" s="39">
        <f>IF(C134="","",IFERROR(INDEX('رصيد المخزن'!$C$5:$C$304,MATCH(C134,'رصيد المخزن'!$A$5:$A$304,0)),""))</f>
        <v/>
      </c>
      <c r="F134" s="39">
        <f>IF(C134="","",IFERROR(INDEX('رصيد المخزن'!$D$5:$D$304,MATCH(C134,'رصيد المخزن'!$A$5:$A$304,0)),""))</f>
        <v/>
      </c>
      <c r="G134" s="41" t="n"/>
      <c r="H134" s="40" t="n"/>
      <c r="I134" s="40" t="n"/>
      <c r="J134" s="46">
        <f>IF(C134="","",IFERROR(INDEX('رصيد المخزن'!$H$5:$H$304,MATCH(C134,'رصيد المخزن'!$A$5:$A$304,0)),""))</f>
        <v/>
      </c>
      <c r="K134" s="49">
        <f>IF(C134="","",IF(N(J134)&lt;0,"صرف أكثر من الرصيد!",""))</f>
        <v/>
      </c>
    </row>
    <row r="135">
      <c r="A135" s="39">
        <f>IF(C135="","","ISS-"&amp;TEXT(ROW()-4,"0000"))</f>
        <v/>
      </c>
      <c r="B135" s="47" t="n"/>
      <c r="C135" s="50" t="n"/>
      <c r="D135" s="49">
        <f>IF(C135="","",IFERROR(INDEX('رصيد المخزن'!$B$5:$B$304,MATCH(C135,'رصيد المخزن'!$A$5:$A$304,0)),""))</f>
        <v/>
      </c>
      <c r="E135" s="39">
        <f>IF(C135="","",IFERROR(INDEX('رصيد المخزن'!$C$5:$C$304,MATCH(C135,'رصيد المخزن'!$A$5:$A$304,0)),""))</f>
        <v/>
      </c>
      <c r="F135" s="39">
        <f>IF(C135="","",IFERROR(INDEX('رصيد المخزن'!$D$5:$D$304,MATCH(C135,'رصيد المخزن'!$A$5:$A$304,0)),""))</f>
        <v/>
      </c>
      <c r="G135" s="41" t="n"/>
      <c r="H135" s="40" t="n"/>
      <c r="I135" s="40" t="n"/>
      <c r="J135" s="46">
        <f>IF(C135="","",IFERROR(INDEX('رصيد المخزن'!$H$5:$H$304,MATCH(C135,'رصيد المخزن'!$A$5:$A$304,0)),""))</f>
        <v/>
      </c>
      <c r="K135" s="49">
        <f>IF(C135="","",IF(N(J135)&lt;0,"صرف أكثر من الرصيد!",""))</f>
        <v/>
      </c>
    </row>
    <row r="136">
      <c r="A136" s="39">
        <f>IF(C136="","","ISS-"&amp;TEXT(ROW()-4,"0000"))</f>
        <v/>
      </c>
      <c r="B136" s="47" t="n"/>
      <c r="C136" s="50" t="n"/>
      <c r="D136" s="49">
        <f>IF(C136="","",IFERROR(INDEX('رصيد المخزن'!$B$5:$B$304,MATCH(C136,'رصيد المخزن'!$A$5:$A$304,0)),""))</f>
        <v/>
      </c>
      <c r="E136" s="39">
        <f>IF(C136="","",IFERROR(INDEX('رصيد المخزن'!$C$5:$C$304,MATCH(C136,'رصيد المخزن'!$A$5:$A$304,0)),""))</f>
        <v/>
      </c>
      <c r="F136" s="39">
        <f>IF(C136="","",IFERROR(INDEX('رصيد المخزن'!$D$5:$D$304,MATCH(C136,'رصيد المخزن'!$A$5:$A$304,0)),""))</f>
        <v/>
      </c>
      <c r="G136" s="41" t="n"/>
      <c r="H136" s="40" t="n"/>
      <c r="I136" s="40" t="n"/>
      <c r="J136" s="46">
        <f>IF(C136="","",IFERROR(INDEX('رصيد المخزن'!$H$5:$H$304,MATCH(C136,'رصيد المخزن'!$A$5:$A$304,0)),""))</f>
        <v/>
      </c>
      <c r="K136" s="49">
        <f>IF(C136="","",IF(N(J136)&lt;0,"صرف أكثر من الرصيد!",""))</f>
        <v/>
      </c>
    </row>
    <row r="137">
      <c r="A137" s="39">
        <f>IF(C137="","","ISS-"&amp;TEXT(ROW()-4,"0000"))</f>
        <v/>
      </c>
      <c r="B137" s="47" t="n"/>
      <c r="C137" s="50" t="n"/>
      <c r="D137" s="49">
        <f>IF(C137="","",IFERROR(INDEX('رصيد المخزن'!$B$5:$B$304,MATCH(C137,'رصيد المخزن'!$A$5:$A$304,0)),""))</f>
        <v/>
      </c>
      <c r="E137" s="39">
        <f>IF(C137="","",IFERROR(INDEX('رصيد المخزن'!$C$5:$C$304,MATCH(C137,'رصيد المخزن'!$A$5:$A$304,0)),""))</f>
        <v/>
      </c>
      <c r="F137" s="39">
        <f>IF(C137="","",IFERROR(INDEX('رصيد المخزن'!$D$5:$D$304,MATCH(C137,'رصيد المخزن'!$A$5:$A$304,0)),""))</f>
        <v/>
      </c>
      <c r="G137" s="41" t="n"/>
      <c r="H137" s="40" t="n"/>
      <c r="I137" s="40" t="n"/>
      <c r="J137" s="46">
        <f>IF(C137="","",IFERROR(INDEX('رصيد المخزن'!$H$5:$H$304,MATCH(C137,'رصيد المخزن'!$A$5:$A$304,0)),""))</f>
        <v/>
      </c>
      <c r="K137" s="49">
        <f>IF(C137="","",IF(N(J137)&lt;0,"صرف أكثر من الرصيد!",""))</f>
        <v/>
      </c>
    </row>
    <row r="138">
      <c r="A138" s="39">
        <f>IF(C138="","","ISS-"&amp;TEXT(ROW()-4,"0000"))</f>
        <v/>
      </c>
      <c r="B138" s="47" t="n"/>
      <c r="C138" s="50" t="n"/>
      <c r="D138" s="49">
        <f>IF(C138="","",IFERROR(INDEX('رصيد المخزن'!$B$5:$B$304,MATCH(C138,'رصيد المخزن'!$A$5:$A$304,0)),""))</f>
        <v/>
      </c>
      <c r="E138" s="39">
        <f>IF(C138="","",IFERROR(INDEX('رصيد المخزن'!$C$5:$C$304,MATCH(C138,'رصيد المخزن'!$A$5:$A$304,0)),""))</f>
        <v/>
      </c>
      <c r="F138" s="39">
        <f>IF(C138="","",IFERROR(INDEX('رصيد المخزن'!$D$5:$D$304,MATCH(C138,'رصيد المخزن'!$A$5:$A$304,0)),""))</f>
        <v/>
      </c>
      <c r="G138" s="41" t="n"/>
      <c r="H138" s="40" t="n"/>
      <c r="I138" s="40" t="n"/>
      <c r="J138" s="46">
        <f>IF(C138="","",IFERROR(INDEX('رصيد المخزن'!$H$5:$H$304,MATCH(C138,'رصيد المخزن'!$A$5:$A$304,0)),""))</f>
        <v/>
      </c>
      <c r="K138" s="49">
        <f>IF(C138="","",IF(N(J138)&lt;0,"صرف أكثر من الرصيد!",""))</f>
        <v/>
      </c>
    </row>
    <row r="139">
      <c r="A139" s="39">
        <f>IF(C139="","","ISS-"&amp;TEXT(ROW()-4,"0000"))</f>
        <v/>
      </c>
      <c r="B139" s="47" t="n"/>
      <c r="C139" s="50" t="n"/>
      <c r="D139" s="49">
        <f>IF(C139="","",IFERROR(INDEX('رصيد المخزن'!$B$5:$B$304,MATCH(C139,'رصيد المخزن'!$A$5:$A$304,0)),""))</f>
        <v/>
      </c>
      <c r="E139" s="39">
        <f>IF(C139="","",IFERROR(INDEX('رصيد المخزن'!$C$5:$C$304,MATCH(C139,'رصيد المخزن'!$A$5:$A$304,0)),""))</f>
        <v/>
      </c>
      <c r="F139" s="39">
        <f>IF(C139="","",IFERROR(INDEX('رصيد المخزن'!$D$5:$D$304,MATCH(C139,'رصيد المخزن'!$A$5:$A$304,0)),""))</f>
        <v/>
      </c>
      <c r="G139" s="41" t="n"/>
      <c r="H139" s="40" t="n"/>
      <c r="I139" s="40" t="n"/>
      <c r="J139" s="46">
        <f>IF(C139="","",IFERROR(INDEX('رصيد المخزن'!$H$5:$H$304,MATCH(C139,'رصيد المخزن'!$A$5:$A$304,0)),""))</f>
        <v/>
      </c>
      <c r="K139" s="49">
        <f>IF(C139="","",IF(N(J139)&lt;0,"صرف أكثر من الرصيد!",""))</f>
        <v/>
      </c>
    </row>
    <row r="140">
      <c r="A140" s="39">
        <f>IF(C140="","","ISS-"&amp;TEXT(ROW()-4,"0000"))</f>
        <v/>
      </c>
      <c r="B140" s="47" t="n"/>
      <c r="C140" s="50" t="n"/>
      <c r="D140" s="49">
        <f>IF(C140="","",IFERROR(INDEX('رصيد المخزن'!$B$5:$B$304,MATCH(C140,'رصيد المخزن'!$A$5:$A$304,0)),""))</f>
        <v/>
      </c>
      <c r="E140" s="39">
        <f>IF(C140="","",IFERROR(INDEX('رصيد المخزن'!$C$5:$C$304,MATCH(C140,'رصيد المخزن'!$A$5:$A$304,0)),""))</f>
        <v/>
      </c>
      <c r="F140" s="39">
        <f>IF(C140="","",IFERROR(INDEX('رصيد المخزن'!$D$5:$D$304,MATCH(C140,'رصيد المخزن'!$A$5:$A$304,0)),""))</f>
        <v/>
      </c>
      <c r="G140" s="41" t="n"/>
      <c r="H140" s="40" t="n"/>
      <c r="I140" s="40" t="n"/>
      <c r="J140" s="46">
        <f>IF(C140="","",IFERROR(INDEX('رصيد المخزن'!$H$5:$H$304,MATCH(C140,'رصيد المخزن'!$A$5:$A$304,0)),""))</f>
        <v/>
      </c>
      <c r="K140" s="49">
        <f>IF(C140="","",IF(N(J140)&lt;0,"صرف أكثر من الرصيد!",""))</f>
        <v/>
      </c>
    </row>
    <row r="141">
      <c r="A141" s="39">
        <f>IF(C141="","","ISS-"&amp;TEXT(ROW()-4,"0000"))</f>
        <v/>
      </c>
      <c r="B141" s="47" t="n"/>
      <c r="C141" s="50" t="n"/>
      <c r="D141" s="49">
        <f>IF(C141="","",IFERROR(INDEX('رصيد المخزن'!$B$5:$B$304,MATCH(C141,'رصيد المخزن'!$A$5:$A$304,0)),""))</f>
        <v/>
      </c>
      <c r="E141" s="39">
        <f>IF(C141="","",IFERROR(INDEX('رصيد المخزن'!$C$5:$C$304,MATCH(C141,'رصيد المخزن'!$A$5:$A$304,0)),""))</f>
        <v/>
      </c>
      <c r="F141" s="39">
        <f>IF(C141="","",IFERROR(INDEX('رصيد المخزن'!$D$5:$D$304,MATCH(C141,'رصيد المخزن'!$A$5:$A$304,0)),""))</f>
        <v/>
      </c>
      <c r="G141" s="41" t="n"/>
      <c r="H141" s="40" t="n"/>
      <c r="I141" s="40" t="n"/>
      <c r="J141" s="46">
        <f>IF(C141="","",IFERROR(INDEX('رصيد المخزن'!$H$5:$H$304,MATCH(C141,'رصيد المخزن'!$A$5:$A$304,0)),""))</f>
        <v/>
      </c>
      <c r="K141" s="49">
        <f>IF(C141="","",IF(N(J141)&lt;0,"صرف أكثر من الرصيد!",""))</f>
        <v/>
      </c>
    </row>
    <row r="142">
      <c r="A142" s="39">
        <f>IF(C142="","","ISS-"&amp;TEXT(ROW()-4,"0000"))</f>
        <v/>
      </c>
      <c r="B142" s="47" t="n"/>
      <c r="C142" s="50" t="n"/>
      <c r="D142" s="49">
        <f>IF(C142="","",IFERROR(INDEX('رصيد المخزن'!$B$5:$B$304,MATCH(C142,'رصيد المخزن'!$A$5:$A$304,0)),""))</f>
        <v/>
      </c>
      <c r="E142" s="39">
        <f>IF(C142="","",IFERROR(INDEX('رصيد المخزن'!$C$5:$C$304,MATCH(C142,'رصيد المخزن'!$A$5:$A$304,0)),""))</f>
        <v/>
      </c>
      <c r="F142" s="39">
        <f>IF(C142="","",IFERROR(INDEX('رصيد المخزن'!$D$5:$D$304,MATCH(C142,'رصيد المخزن'!$A$5:$A$304,0)),""))</f>
        <v/>
      </c>
      <c r="G142" s="41" t="n"/>
      <c r="H142" s="40" t="n"/>
      <c r="I142" s="40" t="n"/>
      <c r="J142" s="46">
        <f>IF(C142="","",IFERROR(INDEX('رصيد المخزن'!$H$5:$H$304,MATCH(C142,'رصيد المخزن'!$A$5:$A$304,0)),""))</f>
        <v/>
      </c>
      <c r="K142" s="49">
        <f>IF(C142="","",IF(N(J142)&lt;0,"صرف أكثر من الرصيد!",""))</f>
        <v/>
      </c>
    </row>
    <row r="143">
      <c r="A143" s="39">
        <f>IF(C143="","","ISS-"&amp;TEXT(ROW()-4,"0000"))</f>
        <v/>
      </c>
      <c r="B143" s="47" t="n"/>
      <c r="C143" s="50" t="n"/>
      <c r="D143" s="49">
        <f>IF(C143="","",IFERROR(INDEX('رصيد المخزن'!$B$5:$B$304,MATCH(C143,'رصيد المخزن'!$A$5:$A$304,0)),""))</f>
        <v/>
      </c>
      <c r="E143" s="39">
        <f>IF(C143="","",IFERROR(INDEX('رصيد المخزن'!$C$5:$C$304,MATCH(C143,'رصيد المخزن'!$A$5:$A$304,0)),""))</f>
        <v/>
      </c>
      <c r="F143" s="39">
        <f>IF(C143="","",IFERROR(INDEX('رصيد المخزن'!$D$5:$D$304,MATCH(C143,'رصيد المخزن'!$A$5:$A$304,0)),""))</f>
        <v/>
      </c>
      <c r="G143" s="41" t="n"/>
      <c r="H143" s="40" t="n"/>
      <c r="I143" s="40" t="n"/>
      <c r="J143" s="46">
        <f>IF(C143="","",IFERROR(INDEX('رصيد المخزن'!$H$5:$H$304,MATCH(C143,'رصيد المخزن'!$A$5:$A$304,0)),""))</f>
        <v/>
      </c>
      <c r="K143" s="49">
        <f>IF(C143="","",IF(N(J143)&lt;0,"صرف أكثر من الرصيد!",""))</f>
        <v/>
      </c>
    </row>
    <row r="144">
      <c r="A144" s="39">
        <f>IF(C144="","","ISS-"&amp;TEXT(ROW()-4,"0000"))</f>
        <v/>
      </c>
      <c r="B144" s="47" t="n"/>
      <c r="C144" s="50" t="n"/>
      <c r="D144" s="49">
        <f>IF(C144="","",IFERROR(INDEX('رصيد المخزن'!$B$5:$B$304,MATCH(C144,'رصيد المخزن'!$A$5:$A$304,0)),""))</f>
        <v/>
      </c>
      <c r="E144" s="39">
        <f>IF(C144="","",IFERROR(INDEX('رصيد المخزن'!$C$5:$C$304,MATCH(C144,'رصيد المخزن'!$A$5:$A$304,0)),""))</f>
        <v/>
      </c>
      <c r="F144" s="39">
        <f>IF(C144="","",IFERROR(INDEX('رصيد المخزن'!$D$5:$D$304,MATCH(C144,'رصيد المخزن'!$A$5:$A$304,0)),""))</f>
        <v/>
      </c>
      <c r="G144" s="41" t="n"/>
      <c r="H144" s="40" t="n"/>
      <c r="I144" s="40" t="n"/>
      <c r="J144" s="46">
        <f>IF(C144="","",IFERROR(INDEX('رصيد المخزن'!$H$5:$H$304,MATCH(C144,'رصيد المخزن'!$A$5:$A$304,0)),""))</f>
        <v/>
      </c>
      <c r="K144" s="49">
        <f>IF(C144="","",IF(N(J144)&lt;0,"صرف أكثر من الرصيد!",""))</f>
        <v/>
      </c>
    </row>
    <row r="145">
      <c r="A145" s="39">
        <f>IF(C145="","","ISS-"&amp;TEXT(ROW()-4,"0000"))</f>
        <v/>
      </c>
      <c r="B145" s="47" t="n"/>
      <c r="C145" s="50" t="n"/>
      <c r="D145" s="49">
        <f>IF(C145="","",IFERROR(INDEX('رصيد المخزن'!$B$5:$B$304,MATCH(C145,'رصيد المخزن'!$A$5:$A$304,0)),""))</f>
        <v/>
      </c>
      <c r="E145" s="39">
        <f>IF(C145="","",IFERROR(INDEX('رصيد المخزن'!$C$5:$C$304,MATCH(C145,'رصيد المخزن'!$A$5:$A$304,0)),""))</f>
        <v/>
      </c>
      <c r="F145" s="39">
        <f>IF(C145="","",IFERROR(INDEX('رصيد المخزن'!$D$5:$D$304,MATCH(C145,'رصيد المخزن'!$A$5:$A$304,0)),""))</f>
        <v/>
      </c>
      <c r="G145" s="41" t="n"/>
      <c r="H145" s="40" t="n"/>
      <c r="I145" s="40" t="n"/>
      <c r="J145" s="46">
        <f>IF(C145="","",IFERROR(INDEX('رصيد المخزن'!$H$5:$H$304,MATCH(C145,'رصيد المخزن'!$A$5:$A$304,0)),""))</f>
        <v/>
      </c>
      <c r="K145" s="49">
        <f>IF(C145="","",IF(N(J145)&lt;0,"صرف أكثر من الرصيد!",""))</f>
        <v/>
      </c>
    </row>
    <row r="146">
      <c r="A146" s="39">
        <f>IF(C146="","","ISS-"&amp;TEXT(ROW()-4,"0000"))</f>
        <v/>
      </c>
      <c r="B146" s="47" t="n"/>
      <c r="C146" s="50" t="n"/>
      <c r="D146" s="49">
        <f>IF(C146="","",IFERROR(INDEX('رصيد المخزن'!$B$5:$B$304,MATCH(C146,'رصيد المخزن'!$A$5:$A$304,0)),""))</f>
        <v/>
      </c>
      <c r="E146" s="39">
        <f>IF(C146="","",IFERROR(INDEX('رصيد المخزن'!$C$5:$C$304,MATCH(C146,'رصيد المخزن'!$A$5:$A$304,0)),""))</f>
        <v/>
      </c>
      <c r="F146" s="39">
        <f>IF(C146="","",IFERROR(INDEX('رصيد المخزن'!$D$5:$D$304,MATCH(C146,'رصيد المخزن'!$A$5:$A$304,0)),""))</f>
        <v/>
      </c>
      <c r="G146" s="41" t="n"/>
      <c r="H146" s="40" t="n"/>
      <c r="I146" s="40" t="n"/>
      <c r="J146" s="46">
        <f>IF(C146="","",IFERROR(INDEX('رصيد المخزن'!$H$5:$H$304,MATCH(C146,'رصيد المخزن'!$A$5:$A$304,0)),""))</f>
        <v/>
      </c>
      <c r="K146" s="49">
        <f>IF(C146="","",IF(N(J146)&lt;0,"صرف أكثر من الرصيد!",""))</f>
        <v/>
      </c>
    </row>
    <row r="147">
      <c r="A147" s="39">
        <f>IF(C147="","","ISS-"&amp;TEXT(ROW()-4,"0000"))</f>
        <v/>
      </c>
      <c r="B147" s="47" t="n"/>
      <c r="C147" s="50" t="n"/>
      <c r="D147" s="49">
        <f>IF(C147="","",IFERROR(INDEX('رصيد المخزن'!$B$5:$B$304,MATCH(C147,'رصيد المخزن'!$A$5:$A$304,0)),""))</f>
        <v/>
      </c>
      <c r="E147" s="39">
        <f>IF(C147="","",IFERROR(INDEX('رصيد المخزن'!$C$5:$C$304,MATCH(C147,'رصيد المخزن'!$A$5:$A$304,0)),""))</f>
        <v/>
      </c>
      <c r="F147" s="39">
        <f>IF(C147="","",IFERROR(INDEX('رصيد المخزن'!$D$5:$D$304,MATCH(C147,'رصيد المخزن'!$A$5:$A$304,0)),""))</f>
        <v/>
      </c>
      <c r="G147" s="41" t="n"/>
      <c r="H147" s="40" t="n"/>
      <c r="I147" s="40" t="n"/>
      <c r="J147" s="46">
        <f>IF(C147="","",IFERROR(INDEX('رصيد المخزن'!$H$5:$H$304,MATCH(C147,'رصيد المخزن'!$A$5:$A$304,0)),""))</f>
        <v/>
      </c>
      <c r="K147" s="49">
        <f>IF(C147="","",IF(N(J147)&lt;0,"صرف أكثر من الرصيد!",""))</f>
        <v/>
      </c>
    </row>
    <row r="148">
      <c r="A148" s="39">
        <f>IF(C148="","","ISS-"&amp;TEXT(ROW()-4,"0000"))</f>
        <v/>
      </c>
      <c r="B148" s="47" t="n"/>
      <c r="C148" s="50" t="n"/>
      <c r="D148" s="49">
        <f>IF(C148="","",IFERROR(INDEX('رصيد المخزن'!$B$5:$B$304,MATCH(C148,'رصيد المخزن'!$A$5:$A$304,0)),""))</f>
        <v/>
      </c>
      <c r="E148" s="39">
        <f>IF(C148="","",IFERROR(INDEX('رصيد المخزن'!$C$5:$C$304,MATCH(C148,'رصيد المخزن'!$A$5:$A$304,0)),""))</f>
        <v/>
      </c>
      <c r="F148" s="39">
        <f>IF(C148="","",IFERROR(INDEX('رصيد المخزن'!$D$5:$D$304,MATCH(C148,'رصيد المخزن'!$A$5:$A$304,0)),""))</f>
        <v/>
      </c>
      <c r="G148" s="41" t="n"/>
      <c r="H148" s="40" t="n"/>
      <c r="I148" s="40" t="n"/>
      <c r="J148" s="46">
        <f>IF(C148="","",IFERROR(INDEX('رصيد المخزن'!$H$5:$H$304,MATCH(C148,'رصيد المخزن'!$A$5:$A$304,0)),""))</f>
        <v/>
      </c>
      <c r="K148" s="49">
        <f>IF(C148="","",IF(N(J148)&lt;0,"صرف أكثر من الرصيد!",""))</f>
        <v/>
      </c>
    </row>
    <row r="149">
      <c r="A149" s="39">
        <f>IF(C149="","","ISS-"&amp;TEXT(ROW()-4,"0000"))</f>
        <v/>
      </c>
      <c r="B149" s="47" t="n"/>
      <c r="C149" s="50" t="n"/>
      <c r="D149" s="49">
        <f>IF(C149="","",IFERROR(INDEX('رصيد المخزن'!$B$5:$B$304,MATCH(C149,'رصيد المخزن'!$A$5:$A$304,0)),""))</f>
        <v/>
      </c>
      <c r="E149" s="39">
        <f>IF(C149="","",IFERROR(INDEX('رصيد المخزن'!$C$5:$C$304,MATCH(C149,'رصيد المخزن'!$A$5:$A$304,0)),""))</f>
        <v/>
      </c>
      <c r="F149" s="39">
        <f>IF(C149="","",IFERROR(INDEX('رصيد المخزن'!$D$5:$D$304,MATCH(C149,'رصيد المخزن'!$A$5:$A$304,0)),""))</f>
        <v/>
      </c>
      <c r="G149" s="41" t="n"/>
      <c r="H149" s="40" t="n"/>
      <c r="I149" s="40" t="n"/>
      <c r="J149" s="46">
        <f>IF(C149="","",IFERROR(INDEX('رصيد المخزن'!$H$5:$H$304,MATCH(C149,'رصيد المخزن'!$A$5:$A$304,0)),""))</f>
        <v/>
      </c>
      <c r="K149" s="49">
        <f>IF(C149="","",IF(N(J149)&lt;0,"صرف أكثر من الرصيد!",""))</f>
        <v/>
      </c>
    </row>
    <row r="150">
      <c r="A150" s="39">
        <f>IF(C150="","","ISS-"&amp;TEXT(ROW()-4,"0000"))</f>
        <v/>
      </c>
      <c r="B150" s="47" t="n"/>
      <c r="C150" s="50" t="n"/>
      <c r="D150" s="49">
        <f>IF(C150="","",IFERROR(INDEX('رصيد المخزن'!$B$5:$B$304,MATCH(C150,'رصيد المخزن'!$A$5:$A$304,0)),""))</f>
        <v/>
      </c>
      <c r="E150" s="39">
        <f>IF(C150="","",IFERROR(INDEX('رصيد المخزن'!$C$5:$C$304,MATCH(C150,'رصيد المخزن'!$A$5:$A$304,0)),""))</f>
        <v/>
      </c>
      <c r="F150" s="39">
        <f>IF(C150="","",IFERROR(INDEX('رصيد المخزن'!$D$5:$D$304,MATCH(C150,'رصيد المخزن'!$A$5:$A$304,0)),""))</f>
        <v/>
      </c>
      <c r="G150" s="41" t="n"/>
      <c r="H150" s="40" t="n"/>
      <c r="I150" s="40" t="n"/>
      <c r="J150" s="46">
        <f>IF(C150="","",IFERROR(INDEX('رصيد المخزن'!$H$5:$H$304,MATCH(C150,'رصيد المخزن'!$A$5:$A$304,0)),""))</f>
        <v/>
      </c>
      <c r="K150" s="49">
        <f>IF(C150="","",IF(N(J150)&lt;0,"صرف أكثر من الرصيد!",""))</f>
        <v/>
      </c>
    </row>
    <row r="151">
      <c r="A151" s="39">
        <f>IF(C151="","","ISS-"&amp;TEXT(ROW()-4,"0000"))</f>
        <v/>
      </c>
      <c r="B151" s="47" t="n"/>
      <c r="C151" s="50" t="n"/>
      <c r="D151" s="49">
        <f>IF(C151="","",IFERROR(INDEX('رصيد المخزن'!$B$5:$B$304,MATCH(C151,'رصيد المخزن'!$A$5:$A$304,0)),""))</f>
        <v/>
      </c>
      <c r="E151" s="39">
        <f>IF(C151="","",IFERROR(INDEX('رصيد المخزن'!$C$5:$C$304,MATCH(C151,'رصيد المخزن'!$A$5:$A$304,0)),""))</f>
        <v/>
      </c>
      <c r="F151" s="39">
        <f>IF(C151="","",IFERROR(INDEX('رصيد المخزن'!$D$5:$D$304,MATCH(C151,'رصيد المخزن'!$A$5:$A$304,0)),""))</f>
        <v/>
      </c>
      <c r="G151" s="41" t="n"/>
      <c r="H151" s="40" t="n"/>
      <c r="I151" s="40" t="n"/>
      <c r="J151" s="46">
        <f>IF(C151="","",IFERROR(INDEX('رصيد المخزن'!$H$5:$H$304,MATCH(C151,'رصيد المخزن'!$A$5:$A$304,0)),""))</f>
        <v/>
      </c>
      <c r="K151" s="49">
        <f>IF(C151="","",IF(N(J151)&lt;0,"صرف أكثر من الرصيد!",""))</f>
        <v/>
      </c>
    </row>
    <row r="152">
      <c r="A152" s="39">
        <f>IF(C152="","","ISS-"&amp;TEXT(ROW()-4,"0000"))</f>
        <v/>
      </c>
      <c r="B152" s="47" t="n"/>
      <c r="C152" s="50" t="n"/>
      <c r="D152" s="49">
        <f>IF(C152="","",IFERROR(INDEX('رصيد المخزن'!$B$5:$B$304,MATCH(C152,'رصيد المخزن'!$A$5:$A$304,0)),""))</f>
        <v/>
      </c>
      <c r="E152" s="39">
        <f>IF(C152="","",IFERROR(INDEX('رصيد المخزن'!$C$5:$C$304,MATCH(C152,'رصيد المخزن'!$A$5:$A$304,0)),""))</f>
        <v/>
      </c>
      <c r="F152" s="39">
        <f>IF(C152="","",IFERROR(INDEX('رصيد المخزن'!$D$5:$D$304,MATCH(C152,'رصيد المخزن'!$A$5:$A$304,0)),""))</f>
        <v/>
      </c>
      <c r="G152" s="41" t="n"/>
      <c r="H152" s="40" t="n"/>
      <c r="I152" s="40" t="n"/>
      <c r="J152" s="46">
        <f>IF(C152="","",IFERROR(INDEX('رصيد المخزن'!$H$5:$H$304,MATCH(C152,'رصيد المخزن'!$A$5:$A$304,0)),""))</f>
        <v/>
      </c>
      <c r="K152" s="49">
        <f>IF(C152="","",IF(N(J152)&lt;0,"صرف أكثر من الرصيد!",""))</f>
        <v/>
      </c>
    </row>
    <row r="153">
      <c r="A153" s="39">
        <f>IF(C153="","","ISS-"&amp;TEXT(ROW()-4,"0000"))</f>
        <v/>
      </c>
      <c r="B153" s="47" t="n"/>
      <c r="C153" s="50" t="n"/>
      <c r="D153" s="49">
        <f>IF(C153="","",IFERROR(INDEX('رصيد المخزن'!$B$5:$B$304,MATCH(C153,'رصيد المخزن'!$A$5:$A$304,0)),""))</f>
        <v/>
      </c>
      <c r="E153" s="39">
        <f>IF(C153="","",IFERROR(INDEX('رصيد المخزن'!$C$5:$C$304,MATCH(C153,'رصيد المخزن'!$A$5:$A$304,0)),""))</f>
        <v/>
      </c>
      <c r="F153" s="39">
        <f>IF(C153="","",IFERROR(INDEX('رصيد المخزن'!$D$5:$D$304,MATCH(C153,'رصيد المخزن'!$A$5:$A$304,0)),""))</f>
        <v/>
      </c>
      <c r="G153" s="41" t="n"/>
      <c r="H153" s="40" t="n"/>
      <c r="I153" s="40" t="n"/>
      <c r="J153" s="46">
        <f>IF(C153="","",IFERROR(INDEX('رصيد المخزن'!$H$5:$H$304,MATCH(C153,'رصيد المخزن'!$A$5:$A$304,0)),""))</f>
        <v/>
      </c>
      <c r="K153" s="49">
        <f>IF(C153="","",IF(N(J153)&lt;0,"صرف أكثر من الرصيد!",""))</f>
        <v/>
      </c>
    </row>
    <row r="154">
      <c r="A154" s="39">
        <f>IF(C154="","","ISS-"&amp;TEXT(ROW()-4,"0000"))</f>
        <v/>
      </c>
      <c r="B154" s="47" t="n"/>
      <c r="C154" s="50" t="n"/>
      <c r="D154" s="49">
        <f>IF(C154="","",IFERROR(INDEX('رصيد المخزن'!$B$5:$B$304,MATCH(C154,'رصيد المخزن'!$A$5:$A$304,0)),""))</f>
        <v/>
      </c>
      <c r="E154" s="39">
        <f>IF(C154="","",IFERROR(INDEX('رصيد المخزن'!$C$5:$C$304,MATCH(C154,'رصيد المخزن'!$A$5:$A$304,0)),""))</f>
        <v/>
      </c>
      <c r="F154" s="39">
        <f>IF(C154="","",IFERROR(INDEX('رصيد المخزن'!$D$5:$D$304,MATCH(C154,'رصيد المخزن'!$A$5:$A$304,0)),""))</f>
        <v/>
      </c>
      <c r="G154" s="41" t="n"/>
      <c r="H154" s="40" t="n"/>
      <c r="I154" s="40" t="n"/>
      <c r="J154" s="46">
        <f>IF(C154="","",IFERROR(INDEX('رصيد المخزن'!$H$5:$H$304,MATCH(C154,'رصيد المخزن'!$A$5:$A$304,0)),""))</f>
        <v/>
      </c>
      <c r="K154" s="49">
        <f>IF(C154="","",IF(N(J154)&lt;0,"صرف أكثر من الرصيد!",""))</f>
        <v/>
      </c>
    </row>
    <row r="155">
      <c r="A155" s="39">
        <f>IF(C155="","","ISS-"&amp;TEXT(ROW()-4,"0000"))</f>
        <v/>
      </c>
      <c r="B155" s="47" t="n"/>
      <c r="C155" s="50" t="n"/>
      <c r="D155" s="49">
        <f>IF(C155="","",IFERROR(INDEX('رصيد المخزن'!$B$5:$B$304,MATCH(C155,'رصيد المخزن'!$A$5:$A$304,0)),""))</f>
        <v/>
      </c>
      <c r="E155" s="39">
        <f>IF(C155="","",IFERROR(INDEX('رصيد المخزن'!$C$5:$C$304,MATCH(C155,'رصيد المخزن'!$A$5:$A$304,0)),""))</f>
        <v/>
      </c>
      <c r="F155" s="39">
        <f>IF(C155="","",IFERROR(INDEX('رصيد المخزن'!$D$5:$D$304,MATCH(C155,'رصيد المخزن'!$A$5:$A$304,0)),""))</f>
        <v/>
      </c>
      <c r="G155" s="41" t="n"/>
      <c r="H155" s="40" t="n"/>
      <c r="I155" s="40" t="n"/>
      <c r="J155" s="46">
        <f>IF(C155="","",IFERROR(INDEX('رصيد المخزن'!$H$5:$H$304,MATCH(C155,'رصيد المخزن'!$A$5:$A$304,0)),""))</f>
        <v/>
      </c>
      <c r="K155" s="49">
        <f>IF(C155="","",IF(N(J155)&lt;0,"صرف أكثر من الرصيد!",""))</f>
        <v/>
      </c>
    </row>
    <row r="156">
      <c r="A156" s="39">
        <f>IF(C156="","","ISS-"&amp;TEXT(ROW()-4,"0000"))</f>
        <v/>
      </c>
      <c r="B156" s="47" t="n"/>
      <c r="C156" s="50" t="n"/>
      <c r="D156" s="49">
        <f>IF(C156="","",IFERROR(INDEX('رصيد المخزن'!$B$5:$B$304,MATCH(C156,'رصيد المخزن'!$A$5:$A$304,0)),""))</f>
        <v/>
      </c>
      <c r="E156" s="39">
        <f>IF(C156="","",IFERROR(INDEX('رصيد المخزن'!$C$5:$C$304,MATCH(C156,'رصيد المخزن'!$A$5:$A$304,0)),""))</f>
        <v/>
      </c>
      <c r="F156" s="39">
        <f>IF(C156="","",IFERROR(INDEX('رصيد المخزن'!$D$5:$D$304,MATCH(C156,'رصيد المخزن'!$A$5:$A$304,0)),""))</f>
        <v/>
      </c>
      <c r="G156" s="41" t="n"/>
      <c r="H156" s="40" t="n"/>
      <c r="I156" s="40" t="n"/>
      <c r="J156" s="46">
        <f>IF(C156="","",IFERROR(INDEX('رصيد المخزن'!$H$5:$H$304,MATCH(C156,'رصيد المخزن'!$A$5:$A$304,0)),""))</f>
        <v/>
      </c>
      <c r="K156" s="49">
        <f>IF(C156="","",IF(N(J156)&lt;0,"صرف أكثر من الرصيد!",""))</f>
        <v/>
      </c>
    </row>
    <row r="157">
      <c r="A157" s="39">
        <f>IF(C157="","","ISS-"&amp;TEXT(ROW()-4,"0000"))</f>
        <v/>
      </c>
      <c r="B157" s="47" t="n"/>
      <c r="C157" s="50" t="n"/>
      <c r="D157" s="49">
        <f>IF(C157="","",IFERROR(INDEX('رصيد المخزن'!$B$5:$B$304,MATCH(C157,'رصيد المخزن'!$A$5:$A$304,0)),""))</f>
        <v/>
      </c>
      <c r="E157" s="39">
        <f>IF(C157="","",IFERROR(INDEX('رصيد المخزن'!$C$5:$C$304,MATCH(C157,'رصيد المخزن'!$A$5:$A$304,0)),""))</f>
        <v/>
      </c>
      <c r="F157" s="39">
        <f>IF(C157="","",IFERROR(INDEX('رصيد المخزن'!$D$5:$D$304,MATCH(C157,'رصيد المخزن'!$A$5:$A$304,0)),""))</f>
        <v/>
      </c>
      <c r="G157" s="41" t="n"/>
      <c r="H157" s="40" t="n"/>
      <c r="I157" s="40" t="n"/>
      <c r="J157" s="46">
        <f>IF(C157="","",IFERROR(INDEX('رصيد المخزن'!$H$5:$H$304,MATCH(C157,'رصيد المخزن'!$A$5:$A$304,0)),""))</f>
        <v/>
      </c>
      <c r="K157" s="49">
        <f>IF(C157="","",IF(N(J157)&lt;0,"صرف أكثر من الرصيد!",""))</f>
        <v/>
      </c>
    </row>
    <row r="158">
      <c r="A158" s="39">
        <f>IF(C158="","","ISS-"&amp;TEXT(ROW()-4,"0000"))</f>
        <v/>
      </c>
      <c r="B158" s="47" t="n"/>
      <c r="C158" s="50" t="n"/>
      <c r="D158" s="49">
        <f>IF(C158="","",IFERROR(INDEX('رصيد المخزن'!$B$5:$B$304,MATCH(C158,'رصيد المخزن'!$A$5:$A$304,0)),""))</f>
        <v/>
      </c>
      <c r="E158" s="39">
        <f>IF(C158="","",IFERROR(INDEX('رصيد المخزن'!$C$5:$C$304,MATCH(C158,'رصيد المخزن'!$A$5:$A$304,0)),""))</f>
        <v/>
      </c>
      <c r="F158" s="39">
        <f>IF(C158="","",IFERROR(INDEX('رصيد المخزن'!$D$5:$D$304,MATCH(C158,'رصيد المخزن'!$A$5:$A$304,0)),""))</f>
        <v/>
      </c>
      <c r="G158" s="41" t="n"/>
      <c r="H158" s="40" t="n"/>
      <c r="I158" s="40" t="n"/>
      <c r="J158" s="46">
        <f>IF(C158="","",IFERROR(INDEX('رصيد المخزن'!$H$5:$H$304,MATCH(C158,'رصيد المخزن'!$A$5:$A$304,0)),""))</f>
        <v/>
      </c>
      <c r="K158" s="49">
        <f>IF(C158="","",IF(N(J158)&lt;0,"صرف أكثر من الرصيد!",""))</f>
        <v/>
      </c>
    </row>
    <row r="159">
      <c r="A159" s="39">
        <f>IF(C159="","","ISS-"&amp;TEXT(ROW()-4,"0000"))</f>
        <v/>
      </c>
      <c r="B159" s="47" t="n"/>
      <c r="C159" s="50" t="n"/>
      <c r="D159" s="49">
        <f>IF(C159="","",IFERROR(INDEX('رصيد المخزن'!$B$5:$B$304,MATCH(C159,'رصيد المخزن'!$A$5:$A$304,0)),""))</f>
        <v/>
      </c>
      <c r="E159" s="39">
        <f>IF(C159="","",IFERROR(INDEX('رصيد المخزن'!$C$5:$C$304,MATCH(C159,'رصيد المخزن'!$A$5:$A$304,0)),""))</f>
        <v/>
      </c>
      <c r="F159" s="39">
        <f>IF(C159="","",IFERROR(INDEX('رصيد المخزن'!$D$5:$D$304,MATCH(C159,'رصيد المخزن'!$A$5:$A$304,0)),""))</f>
        <v/>
      </c>
      <c r="G159" s="41" t="n"/>
      <c r="H159" s="40" t="n"/>
      <c r="I159" s="40" t="n"/>
      <c r="J159" s="46">
        <f>IF(C159="","",IFERROR(INDEX('رصيد المخزن'!$H$5:$H$304,MATCH(C159,'رصيد المخزن'!$A$5:$A$304,0)),""))</f>
        <v/>
      </c>
      <c r="K159" s="49">
        <f>IF(C159="","",IF(N(J159)&lt;0,"صرف أكثر من الرصيد!",""))</f>
        <v/>
      </c>
    </row>
    <row r="160">
      <c r="A160" s="39">
        <f>IF(C160="","","ISS-"&amp;TEXT(ROW()-4,"0000"))</f>
        <v/>
      </c>
      <c r="B160" s="47" t="n"/>
      <c r="C160" s="50" t="n"/>
      <c r="D160" s="49">
        <f>IF(C160="","",IFERROR(INDEX('رصيد المخزن'!$B$5:$B$304,MATCH(C160,'رصيد المخزن'!$A$5:$A$304,0)),""))</f>
        <v/>
      </c>
      <c r="E160" s="39">
        <f>IF(C160="","",IFERROR(INDEX('رصيد المخزن'!$C$5:$C$304,MATCH(C160,'رصيد المخزن'!$A$5:$A$304,0)),""))</f>
        <v/>
      </c>
      <c r="F160" s="39">
        <f>IF(C160="","",IFERROR(INDEX('رصيد المخزن'!$D$5:$D$304,MATCH(C160,'رصيد المخزن'!$A$5:$A$304,0)),""))</f>
        <v/>
      </c>
      <c r="G160" s="41" t="n"/>
      <c r="H160" s="40" t="n"/>
      <c r="I160" s="40" t="n"/>
      <c r="J160" s="46">
        <f>IF(C160="","",IFERROR(INDEX('رصيد المخزن'!$H$5:$H$304,MATCH(C160,'رصيد المخزن'!$A$5:$A$304,0)),""))</f>
        <v/>
      </c>
      <c r="K160" s="49">
        <f>IF(C160="","",IF(N(J160)&lt;0,"صرف أكثر من الرصيد!",""))</f>
        <v/>
      </c>
    </row>
    <row r="161">
      <c r="A161" s="39">
        <f>IF(C161="","","ISS-"&amp;TEXT(ROW()-4,"0000"))</f>
        <v/>
      </c>
      <c r="B161" s="47" t="n"/>
      <c r="C161" s="50" t="n"/>
      <c r="D161" s="49">
        <f>IF(C161="","",IFERROR(INDEX('رصيد المخزن'!$B$5:$B$304,MATCH(C161,'رصيد المخزن'!$A$5:$A$304,0)),""))</f>
        <v/>
      </c>
      <c r="E161" s="39">
        <f>IF(C161="","",IFERROR(INDEX('رصيد المخزن'!$C$5:$C$304,MATCH(C161,'رصيد المخزن'!$A$5:$A$304,0)),""))</f>
        <v/>
      </c>
      <c r="F161" s="39">
        <f>IF(C161="","",IFERROR(INDEX('رصيد المخزن'!$D$5:$D$304,MATCH(C161,'رصيد المخزن'!$A$5:$A$304,0)),""))</f>
        <v/>
      </c>
      <c r="G161" s="41" t="n"/>
      <c r="H161" s="40" t="n"/>
      <c r="I161" s="40" t="n"/>
      <c r="J161" s="46">
        <f>IF(C161="","",IFERROR(INDEX('رصيد المخزن'!$H$5:$H$304,MATCH(C161,'رصيد المخزن'!$A$5:$A$304,0)),""))</f>
        <v/>
      </c>
      <c r="K161" s="49">
        <f>IF(C161="","",IF(N(J161)&lt;0,"صرف أكثر من الرصيد!",""))</f>
        <v/>
      </c>
    </row>
    <row r="162">
      <c r="A162" s="39">
        <f>IF(C162="","","ISS-"&amp;TEXT(ROW()-4,"0000"))</f>
        <v/>
      </c>
      <c r="B162" s="47" t="n"/>
      <c r="C162" s="50" t="n"/>
      <c r="D162" s="49">
        <f>IF(C162="","",IFERROR(INDEX('رصيد المخزن'!$B$5:$B$304,MATCH(C162,'رصيد المخزن'!$A$5:$A$304,0)),""))</f>
        <v/>
      </c>
      <c r="E162" s="39">
        <f>IF(C162="","",IFERROR(INDEX('رصيد المخزن'!$C$5:$C$304,MATCH(C162,'رصيد المخزن'!$A$5:$A$304,0)),""))</f>
        <v/>
      </c>
      <c r="F162" s="39">
        <f>IF(C162="","",IFERROR(INDEX('رصيد المخزن'!$D$5:$D$304,MATCH(C162,'رصيد المخزن'!$A$5:$A$304,0)),""))</f>
        <v/>
      </c>
      <c r="G162" s="41" t="n"/>
      <c r="H162" s="40" t="n"/>
      <c r="I162" s="40" t="n"/>
      <c r="J162" s="46">
        <f>IF(C162="","",IFERROR(INDEX('رصيد المخزن'!$H$5:$H$304,MATCH(C162,'رصيد المخزن'!$A$5:$A$304,0)),""))</f>
        <v/>
      </c>
      <c r="K162" s="49">
        <f>IF(C162="","",IF(N(J162)&lt;0,"صرف أكثر من الرصيد!",""))</f>
        <v/>
      </c>
    </row>
    <row r="163">
      <c r="A163" s="39">
        <f>IF(C163="","","ISS-"&amp;TEXT(ROW()-4,"0000"))</f>
        <v/>
      </c>
      <c r="B163" s="47" t="n"/>
      <c r="C163" s="50" t="n"/>
      <c r="D163" s="49">
        <f>IF(C163="","",IFERROR(INDEX('رصيد المخزن'!$B$5:$B$304,MATCH(C163,'رصيد المخزن'!$A$5:$A$304,0)),""))</f>
        <v/>
      </c>
      <c r="E163" s="39">
        <f>IF(C163="","",IFERROR(INDEX('رصيد المخزن'!$C$5:$C$304,MATCH(C163,'رصيد المخزن'!$A$5:$A$304,0)),""))</f>
        <v/>
      </c>
      <c r="F163" s="39">
        <f>IF(C163="","",IFERROR(INDEX('رصيد المخزن'!$D$5:$D$304,MATCH(C163,'رصيد المخزن'!$A$5:$A$304,0)),""))</f>
        <v/>
      </c>
      <c r="G163" s="41" t="n"/>
      <c r="H163" s="40" t="n"/>
      <c r="I163" s="40" t="n"/>
      <c r="J163" s="46">
        <f>IF(C163="","",IFERROR(INDEX('رصيد المخزن'!$H$5:$H$304,MATCH(C163,'رصيد المخزن'!$A$5:$A$304,0)),""))</f>
        <v/>
      </c>
      <c r="K163" s="49">
        <f>IF(C163="","",IF(N(J163)&lt;0,"صرف أكثر من الرصيد!",""))</f>
        <v/>
      </c>
    </row>
    <row r="164">
      <c r="A164" s="39">
        <f>IF(C164="","","ISS-"&amp;TEXT(ROW()-4,"0000"))</f>
        <v/>
      </c>
      <c r="B164" s="47" t="n"/>
      <c r="C164" s="50" t="n"/>
      <c r="D164" s="49">
        <f>IF(C164="","",IFERROR(INDEX('رصيد المخزن'!$B$5:$B$304,MATCH(C164,'رصيد المخزن'!$A$5:$A$304,0)),""))</f>
        <v/>
      </c>
      <c r="E164" s="39">
        <f>IF(C164="","",IFERROR(INDEX('رصيد المخزن'!$C$5:$C$304,MATCH(C164,'رصيد المخزن'!$A$5:$A$304,0)),""))</f>
        <v/>
      </c>
      <c r="F164" s="39">
        <f>IF(C164="","",IFERROR(INDEX('رصيد المخزن'!$D$5:$D$304,MATCH(C164,'رصيد المخزن'!$A$5:$A$304,0)),""))</f>
        <v/>
      </c>
      <c r="G164" s="41" t="n"/>
      <c r="H164" s="40" t="n"/>
      <c r="I164" s="40" t="n"/>
      <c r="J164" s="46">
        <f>IF(C164="","",IFERROR(INDEX('رصيد المخزن'!$H$5:$H$304,MATCH(C164,'رصيد المخزن'!$A$5:$A$304,0)),""))</f>
        <v/>
      </c>
      <c r="K164" s="49">
        <f>IF(C164="","",IF(N(J164)&lt;0,"صرف أكثر من الرصيد!",""))</f>
        <v/>
      </c>
    </row>
    <row r="165">
      <c r="A165" s="39">
        <f>IF(C165="","","ISS-"&amp;TEXT(ROW()-4,"0000"))</f>
        <v/>
      </c>
      <c r="B165" s="47" t="n"/>
      <c r="C165" s="50" t="n"/>
      <c r="D165" s="49">
        <f>IF(C165="","",IFERROR(INDEX('رصيد المخزن'!$B$5:$B$304,MATCH(C165,'رصيد المخزن'!$A$5:$A$304,0)),""))</f>
        <v/>
      </c>
      <c r="E165" s="39">
        <f>IF(C165="","",IFERROR(INDEX('رصيد المخزن'!$C$5:$C$304,MATCH(C165,'رصيد المخزن'!$A$5:$A$304,0)),""))</f>
        <v/>
      </c>
      <c r="F165" s="39">
        <f>IF(C165="","",IFERROR(INDEX('رصيد المخزن'!$D$5:$D$304,MATCH(C165,'رصيد المخزن'!$A$5:$A$304,0)),""))</f>
        <v/>
      </c>
      <c r="G165" s="41" t="n"/>
      <c r="H165" s="40" t="n"/>
      <c r="I165" s="40" t="n"/>
      <c r="J165" s="46">
        <f>IF(C165="","",IFERROR(INDEX('رصيد المخزن'!$H$5:$H$304,MATCH(C165,'رصيد المخزن'!$A$5:$A$304,0)),""))</f>
        <v/>
      </c>
      <c r="K165" s="49">
        <f>IF(C165="","",IF(N(J165)&lt;0,"صرف أكثر من الرصيد!",""))</f>
        <v/>
      </c>
    </row>
    <row r="166">
      <c r="A166" s="39">
        <f>IF(C166="","","ISS-"&amp;TEXT(ROW()-4,"0000"))</f>
        <v/>
      </c>
      <c r="B166" s="47" t="n"/>
      <c r="C166" s="50" t="n"/>
      <c r="D166" s="49">
        <f>IF(C166="","",IFERROR(INDEX('رصيد المخزن'!$B$5:$B$304,MATCH(C166,'رصيد المخزن'!$A$5:$A$304,0)),""))</f>
        <v/>
      </c>
      <c r="E166" s="39">
        <f>IF(C166="","",IFERROR(INDEX('رصيد المخزن'!$C$5:$C$304,MATCH(C166,'رصيد المخزن'!$A$5:$A$304,0)),""))</f>
        <v/>
      </c>
      <c r="F166" s="39">
        <f>IF(C166="","",IFERROR(INDEX('رصيد المخزن'!$D$5:$D$304,MATCH(C166,'رصيد المخزن'!$A$5:$A$304,0)),""))</f>
        <v/>
      </c>
      <c r="G166" s="41" t="n"/>
      <c r="H166" s="40" t="n"/>
      <c r="I166" s="40" t="n"/>
      <c r="J166" s="46">
        <f>IF(C166="","",IFERROR(INDEX('رصيد المخزن'!$H$5:$H$304,MATCH(C166,'رصيد المخزن'!$A$5:$A$304,0)),""))</f>
        <v/>
      </c>
      <c r="K166" s="49">
        <f>IF(C166="","",IF(N(J166)&lt;0,"صرف أكثر من الرصيد!",""))</f>
        <v/>
      </c>
    </row>
    <row r="167">
      <c r="A167" s="39">
        <f>IF(C167="","","ISS-"&amp;TEXT(ROW()-4,"0000"))</f>
        <v/>
      </c>
      <c r="B167" s="47" t="n"/>
      <c r="C167" s="50" t="n"/>
      <c r="D167" s="49">
        <f>IF(C167="","",IFERROR(INDEX('رصيد المخزن'!$B$5:$B$304,MATCH(C167,'رصيد المخزن'!$A$5:$A$304,0)),""))</f>
        <v/>
      </c>
      <c r="E167" s="39">
        <f>IF(C167="","",IFERROR(INDEX('رصيد المخزن'!$C$5:$C$304,MATCH(C167,'رصيد المخزن'!$A$5:$A$304,0)),""))</f>
        <v/>
      </c>
      <c r="F167" s="39">
        <f>IF(C167="","",IFERROR(INDEX('رصيد المخزن'!$D$5:$D$304,MATCH(C167,'رصيد المخزن'!$A$5:$A$304,0)),""))</f>
        <v/>
      </c>
      <c r="G167" s="41" t="n"/>
      <c r="H167" s="40" t="n"/>
      <c r="I167" s="40" t="n"/>
      <c r="J167" s="46">
        <f>IF(C167="","",IFERROR(INDEX('رصيد المخزن'!$H$5:$H$304,MATCH(C167,'رصيد المخزن'!$A$5:$A$304,0)),""))</f>
        <v/>
      </c>
      <c r="K167" s="49">
        <f>IF(C167="","",IF(N(J167)&lt;0,"صرف أكثر من الرصيد!",""))</f>
        <v/>
      </c>
    </row>
    <row r="168">
      <c r="A168" s="39">
        <f>IF(C168="","","ISS-"&amp;TEXT(ROW()-4,"0000"))</f>
        <v/>
      </c>
      <c r="B168" s="47" t="n"/>
      <c r="C168" s="50" t="n"/>
      <c r="D168" s="49">
        <f>IF(C168="","",IFERROR(INDEX('رصيد المخزن'!$B$5:$B$304,MATCH(C168,'رصيد المخزن'!$A$5:$A$304,0)),""))</f>
        <v/>
      </c>
      <c r="E168" s="39">
        <f>IF(C168="","",IFERROR(INDEX('رصيد المخزن'!$C$5:$C$304,MATCH(C168,'رصيد المخزن'!$A$5:$A$304,0)),""))</f>
        <v/>
      </c>
      <c r="F168" s="39">
        <f>IF(C168="","",IFERROR(INDEX('رصيد المخزن'!$D$5:$D$304,MATCH(C168,'رصيد المخزن'!$A$5:$A$304,0)),""))</f>
        <v/>
      </c>
      <c r="G168" s="41" t="n"/>
      <c r="H168" s="40" t="n"/>
      <c r="I168" s="40" t="n"/>
      <c r="J168" s="46">
        <f>IF(C168="","",IFERROR(INDEX('رصيد المخزن'!$H$5:$H$304,MATCH(C168,'رصيد المخزن'!$A$5:$A$304,0)),""))</f>
        <v/>
      </c>
      <c r="K168" s="49">
        <f>IF(C168="","",IF(N(J168)&lt;0,"صرف أكثر من الرصيد!",""))</f>
        <v/>
      </c>
    </row>
    <row r="169">
      <c r="A169" s="39">
        <f>IF(C169="","","ISS-"&amp;TEXT(ROW()-4,"0000"))</f>
        <v/>
      </c>
      <c r="B169" s="47" t="n"/>
      <c r="C169" s="50" t="n"/>
      <c r="D169" s="49">
        <f>IF(C169="","",IFERROR(INDEX('رصيد المخزن'!$B$5:$B$304,MATCH(C169,'رصيد المخزن'!$A$5:$A$304,0)),""))</f>
        <v/>
      </c>
      <c r="E169" s="39">
        <f>IF(C169="","",IFERROR(INDEX('رصيد المخزن'!$C$5:$C$304,MATCH(C169,'رصيد المخزن'!$A$5:$A$304,0)),""))</f>
        <v/>
      </c>
      <c r="F169" s="39">
        <f>IF(C169="","",IFERROR(INDEX('رصيد المخزن'!$D$5:$D$304,MATCH(C169,'رصيد المخزن'!$A$5:$A$304,0)),""))</f>
        <v/>
      </c>
      <c r="G169" s="41" t="n"/>
      <c r="H169" s="40" t="n"/>
      <c r="I169" s="40" t="n"/>
      <c r="J169" s="46">
        <f>IF(C169="","",IFERROR(INDEX('رصيد المخزن'!$H$5:$H$304,MATCH(C169,'رصيد المخزن'!$A$5:$A$304,0)),""))</f>
        <v/>
      </c>
      <c r="K169" s="49">
        <f>IF(C169="","",IF(N(J169)&lt;0,"صرف أكثر من الرصيد!",""))</f>
        <v/>
      </c>
    </row>
    <row r="170">
      <c r="A170" s="39">
        <f>IF(C170="","","ISS-"&amp;TEXT(ROW()-4,"0000"))</f>
        <v/>
      </c>
      <c r="B170" s="47" t="n"/>
      <c r="C170" s="50" t="n"/>
      <c r="D170" s="49">
        <f>IF(C170="","",IFERROR(INDEX('رصيد المخزن'!$B$5:$B$304,MATCH(C170,'رصيد المخزن'!$A$5:$A$304,0)),""))</f>
        <v/>
      </c>
      <c r="E170" s="39">
        <f>IF(C170="","",IFERROR(INDEX('رصيد المخزن'!$C$5:$C$304,MATCH(C170,'رصيد المخزن'!$A$5:$A$304,0)),""))</f>
        <v/>
      </c>
      <c r="F170" s="39">
        <f>IF(C170="","",IFERROR(INDEX('رصيد المخزن'!$D$5:$D$304,MATCH(C170,'رصيد المخزن'!$A$5:$A$304,0)),""))</f>
        <v/>
      </c>
      <c r="G170" s="41" t="n"/>
      <c r="H170" s="40" t="n"/>
      <c r="I170" s="40" t="n"/>
      <c r="J170" s="46">
        <f>IF(C170="","",IFERROR(INDEX('رصيد المخزن'!$H$5:$H$304,MATCH(C170,'رصيد المخزن'!$A$5:$A$304,0)),""))</f>
        <v/>
      </c>
      <c r="K170" s="49">
        <f>IF(C170="","",IF(N(J170)&lt;0,"صرف أكثر من الرصيد!",""))</f>
        <v/>
      </c>
    </row>
    <row r="171">
      <c r="A171" s="39">
        <f>IF(C171="","","ISS-"&amp;TEXT(ROW()-4,"0000"))</f>
        <v/>
      </c>
      <c r="B171" s="47" t="n"/>
      <c r="C171" s="50" t="n"/>
      <c r="D171" s="49">
        <f>IF(C171="","",IFERROR(INDEX('رصيد المخزن'!$B$5:$B$304,MATCH(C171,'رصيد المخزن'!$A$5:$A$304,0)),""))</f>
        <v/>
      </c>
      <c r="E171" s="39">
        <f>IF(C171="","",IFERROR(INDEX('رصيد المخزن'!$C$5:$C$304,MATCH(C171,'رصيد المخزن'!$A$5:$A$304,0)),""))</f>
        <v/>
      </c>
      <c r="F171" s="39">
        <f>IF(C171="","",IFERROR(INDEX('رصيد المخزن'!$D$5:$D$304,MATCH(C171,'رصيد المخزن'!$A$5:$A$304,0)),""))</f>
        <v/>
      </c>
      <c r="G171" s="41" t="n"/>
      <c r="H171" s="40" t="n"/>
      <c r="I171" s="40" t="n"/>
      <c r="J171" s="46">
        <f>IF(C171="","",IFERROR(INDEX('رصيد المخزن'!$H$5:$H$304,MATCH(C171,'رصيد المخزن'!$A$5:$A$304,0)),""))</f>
        <v/>
      </c>
      <c r="K171" s="49">
        <f>IF(C171="","",IF(N(J171)&lt;0,"صرف أكثر من الرصيد!",""))</f>
        <v/>
      </c>
    </row>
    <row r="172">
      <c r="A172" s="39">
        <f>IF(C172="","","ISS-"&amp;TEXT(ROW()-4,"0000"))</f>
        <v/>
      </c>
      <c r="B172" s="47" t="n"/>
      <c r="C172" s="50" t="n"/>
      <c r="D172" s="49">
        <f>IF(C172="","",IFERROR(INDEX('رصيد المخزن'!$B$5:$B$304,MATCH(C172,'رصيد المخزن'!$A$5:$A$304,0)),""))</f>
        <v/>
      </c>
      <c r="E172" s="39">
        <f>IF(C172="","",IFERROR(INDEX('رصيد المخزن'!$C$5:$C$304,MATCH(C172,'رصيد المخزن'!$A$5:$A$304,0)),""))</f>
        <v/>
      </c>
      <c r="F172" s="39">
        <f>IF(C172="","",IFERROR(INDEX('رصيد المخزن'!$D$5:$D$304,MATCH(C172,'رصيد المخزن'!$A$5:$A$304,0)),""))</f>
        <v/>
      </c>
      <c r="G172" s="41" t="n"/>
      <c r="H172" s="40" t="n"/>
      <c r="I172" s="40" t="n"/>
      <c r="J172" s="46">
        <f>IF(C172="","",IFERROR(INDEX('رصيد المخزن'!$H$5:$H$304,MATCH(C172,'رصيد المخزن'!$A$5:$A$304,0)),""))</f>
        <v/>
      </c>
      <c r="K172" s="49">
        <f>IF(C172="","",IF(N(J172)&lt;0,"صرف أكثر من الرصيد!",""))</f>
        <v/>
      </c>
    </row>
    <row r="173">
      <c r="A173" s="39">
        <f>IF(C173="","","ISS-"&amp;TEXT(ROW()-4,"0000"))</f>
        <v/>
      </c>
      <c r="B173" s="47" t="n"/>
      <c r="C173" s="50" t="n"/>
      <c r="D173" s="49">
        <f>IF(C173="","",IFERROR(INDEX('رصيد المخزن'!$B$5:$B$304,MATCH(C173,'رصيد المخزن'!$A$5:$A$304,0)),""))</f>
        <v/>
      </c>
      <c r="E173" s="39">
        <f>IF(C173="","",IFERROR(INDEX('رصيد المخزن'!$C$5:$C$304,MATCH(C173,'رصيد المخزن'!$A$5:$A$304,0)),""))</f>
        <v/>
      </c>
      <c r="F173" s="39">
        <f>IF(C173="","",IFERROR(INDEX('رصيد المخزن'!$D$5:$D$304,MATCH(C173,'رصيد المخزن'!$A$5:$A$304,0)),""))</f>
        <v/>
      </c>
      <c r="G173" s="41" t="n"/>
      <c r="H173" s="40" t="n"/>
      <c r="I173" s="40" t="n"/>
      <c r="J173" s="46">
        <f>IF(C173="","",IFERROR(INDEX('رصيد المخزن'!$H$5:$H$304,MATCH(C173,'رصيد المخزن'!$A$5:$A$304,0)),""))</f>
        <v/>
      </c>
      <c r="K173" s="49">
        <f>IF(C173="","",IF(N(J173)&lt;0,"صرف أكثر من الرصيد!",""))</f>
        <v/>
      </c>
    </row>
    <row r="174">
      <c r="A174" s="39">
        <f>IF(C174="","","ISS-"&amp;TEXT(ROW()-4,"0000"))</f>
        <v/>
      </c>
      <c r="B174" s="47" t="n"/>
      <c r="C174" s="50" t="n"/>
      <c r="D174" s="49">
        <f>IF(C174="","",IFERROR(INDEX('رصيد المخزن'!$B$5:$B$304,MATCH(C174,'رصيد المخزن'!$A$5:$A$304,0)),""))</f>
        <v/>
      </c>
      <c r="E174" s="39">
        <f>IF(C174="","",IFERROR(INDEX('رصيد المخزن'!$C$5:$C$304,MATCH(C174,'رصيد المخزن'!$A$5:$A$304,0)),""))</f>
        <v/>
      </c>
      <c r="F174" s="39">
        <f>IF(C174="","",IFERROR(INDEX('رصيد المخزن'!$D$5:$D$304,MATCH(C174,'رصيد المخزن'!$A$5:$A$304,0)),""))</f>
        <v/>
      </c>
      <c r="G174" s="41" t="n"/>
      <c r="H174" s="40" t="n"/>
      <c r="I174" s="40" t="n"/>
      <c r="J174" s="46">
        <f>IF(C174="","",IFERROR(INDEX('رصيد المخزن'!$H$5:$H$304,MATCH(C174,'رصيد المخزن'!$A$5:$A$304,0)),""))</f>
        <v/>
      </c>
      <c r="K174" s="49">
        <f>IF(C174="","",IF(N(J174)&lt;0,"صرف أكثر من الرصيد!",""))</f>
        <v/>
      </c>
    </row>
    <row r="175">
      <c r="A175" s="39">
        <f>IF(C175="","","ISS-"&amp;TEXT(ROW()-4,"0000"))</f>
        <v/>
      </c>
      <c r="B175" s="47" t="n"/>
      <c r="C175" s="50" t="n"/>
      <c r="D175" s="49">
        <f>IF(C175="","",IFERROR(INDEX('رصيد المخزن'!$B$5:$B$304,MATCH(C175,'رصيد المخزن'!$A$5:$A$304,0)),""))</f>
        <v/>
      </c>
      <c r="E175" s="39">
        <f>IF(C175="","",IFERROR(INDEX('رصيد المخزن'!$C$5:$C$304,MATCH(C175,'رصيد المخزن'!$A$5:$A$304,0)),""))</f>
        <v/>
      </c>
      <c r="F175" s="39">
        <f>IF(C175="","",IFERROR(INDEX('رصيد المخزن'!$D$5:$D$304,MATCH(C175,'رصيد المخزن'!$A$5:$A$304,0)),""))</f>
        <v/>
      </c>
      <c r="G175" s="41" t="n"/>
      <c r="H175" s="40" t="n"/>
      <c r="I175" s="40" t="n"/>
      <c r="J175" s="46">
        <f>IF(C175="","",IFERROR(INDEX('رصيد المخزن'!$H$5:$H$304,MATCH(C175,'رصيد المخزن'!$A$5:$A$304,0)),""))</f>
        <v/>
      </c>
      <c r="K175" s="49">
        <f>IF(C175="","",IF(N(J175)&lt;0,"صرف أكثر من الرصيد!",""))</f>
        <v/>
      </c>
    </row>
    <row r="176">
      <c r="A176" s="39">
        <f>IF(C176="","","ISS-"&amp;TEXT(ROW()-4,"0000"))</f>
        <v/>
      </c>
      <c r="B176" s="47" t="n"/>
      <c r="C176" s="50" t="n"/>
      <c r="D176" s="49">
        <f>IF(C176="","",IFERROR(INDEX('رصيد المخزن'!$B$5:$B$304,MATCH(C176,'رصيد المخزن'!$A$5:$A$304,0)),""))</f>
        <v/>
      </c>
      <c r="E176" s="39">
        <f>IF(C176="","",IFERROR(INDEX('رصيد المخزن'!$C$5:$C$304,MATCH(C176,'رصيد المخزن'!$A$5:$A$304,0)),""))</f>
        <v/>
      </c>
      <c r="F176" s="39">
        <f>IF(C176="","",IFERROR(INDEX('رصيد المخزن'!$D$5:$D$304,MATCH(C176,'رصيد المخزن'!$A$5:$A$304,0)),""))</f>
        <v/>
      </c>
      <c r="G176" s="41" t="n"/>
      <c r="H176" s="40" t="n"/>
      <c r="I176" s="40" t="n"/>
      <c r="J176" s="46">
        <f>IF(C176="","",IFERROR(INDEX('رصيد المخزن'!$H$5:$H$304,MATCH(C176,'رصيد المخزن'!$A$5:$A$304,0)),""))</f>
        <v/>
      </c>
      <c r="K176" s="49">
        <f>IF(C176="","",IF(N(J176)&lt;0,"صرف أكثر من الرصيد!",""))</f>
        <v/>
      </c>
    </row>
    <row r="177">
      <c r="A177" s="39">
        <f>IF(C177="","","ISS-"&amp;TEXT(ROW()-4,"0000"))</f>
        <v/>
      </c>
      <c r="B177" s="47" t="n"/>
      <c r="C177" s="50" t="n"/>
      <c r="D177" s="49">
        <f>IF(C177="","",IFERROR(INDEX('رصيد المخزن'!$B$5:$B$304,MATCH(C177,'رصيد المخزن'!$A$5:$A$304,0)),""))</f>
        <v/>
      </c>
      <c r="E177" s="39">
        <f>IF(C177="","",IFERROR(INDEX('رصيد المخزن'!$C$5:$C$304,MATCH(C177,'رصيد المخزن'!$A$5:$A$304,0)),""))</f>
        <v/>
      </c>
      <c r="F177" s="39">
        <f>IF(C177="","",IFERROR(INDEX('رصيد المخزن'!$D$5:$D$304,MATCH(C177,'رصيد المخزن'!$A$5:$A$304,0)),""))</f>
        <v/>
      </c>
      <c r="G177" s="41" t="n"/>
      <c r="H177" s="40" t="n"/>
      <c r="I177" s="40" t="n"/>
      <c r="J177" s="46">
        <f>IF(C177="","",IFERROR(INDEX('رصيد المخزن'!$H$5:$H$304,MATCH(C177,'رصيد المخزن'!$A$5:$A$304,0)),""))</f>
        <v/>
      </c>
      <c r="K177" s="49">
        <f>IF(C177="","",IF(N(J177)&lt;0,"صرف أكثر من الرصيد!",""))</f>
        <v/>
      </c>
    </row>
    <row r="178">
      <c r="A178" s="39">
        <f>IF(C178="","","ISS-"&amp;TEXT(ROW()-4,"0000"))</f>
        <v/>
      </c>
      <c r="B178" s="47" t="n"/>
      <c r="C178" s="50" t="n"/>
      <c r="D178" s="49">
        <f>IF(C178="","",IFERROR(INDEX('رصيد المخزن'!$B$5:$B$304,MATCH(C178,'رصيد المخزن'!$A$5:$A$304,0)),""))</f>
        <v/>
      </c>
      <c r="E178" s="39">
        <f>IF(C178="","",IFERROR(INDEX('رصيد المخزن'!$C$5:$C$304,MATCH(C178,'رصيد المخزن'!$A$5:$A$304,0)),""))</f>
        <v/>
      </c>
      <c r="F178" s="39">
        <f>IF(C178="","",IFERROR(INDEX('رصيد المخزن'!$D$5:$D$304,MATCH(C178,'رصيد المخزن'!$A$5:$A$304,0)),""))</f>
        <v/>
      </c>
      <c r="G178" s="41" t="n"/>
      <c r="H178" s="40" t="n"/>
      <c r="I178" s="40" t="n"/>
      <c r="J178" s="46">
        <f>IF(C178="","",IFERROR(INDEX('رصيد المخزن'!$H$5:$H$304,MATCH(C178,'رصيد المخزن'!$A$5:$A$304,0)),""))</f>
        <v/>
      </c>
      <c r="K178" s="49">
        <f>IF(C178="","",IF(N(J178)&lt;0,"صرف أكثر من الرصيد!",""))</f>
        <v/>
      </c>
    </row>
    <row r="179">
      <c r="A179" s="39">
        <f>IF(C179="","","ISS-"&amp;TEXT(ROW()-4,"0000"))</f>
        <v/>
      </c>
      <c r="B179" s="47" t="n"/>
      <c r="C179" s="50" t="n"/>
      <c r="D179" s="49">
        <f>IF(C179="","",IFERROR(INDEX('رصيد المخزن'!$B$5:$B$304,MATCH(C179,'رصيد المخزن'!$A$5:$A$304,0)),""))</f>
        <v/>
      </c>
      <c r="E179" s="39">
        <f>IF(C179="","",IFERROR(INDEX('رصيد المخزن'!$C$5:$C$304,MATCH(C179,'رصيد المخزن'!$A$5:$A$304,0)),""))</f>
        <v/>
      </c>
      <c r="F179" s="39">
        <f>IF(C179="","",IFERROR(INDEX('رصيد المخزن'!$D$5:$D$304,MATCH(C179,'رصيد المخزن'!$A$5:$A$304,0)),""))</f>
        <v/>
      </c>
      <c r="G179" s="41" t="n"/>
      <c r="H179" s="40" t="n"/>
      <c r="I179" s="40" t="n"/>
      <c r="J179" s="46">
        <f>IF(C179="","",IFERROR(INDEX('رصيد المخزن'!$H$5:$H$304,MATCH(C179,'رصيد المخزن'!$A$5:$A$304,0)),""))</f>
        <v/>
      </c>
      <c r="K179" s="49">
        <f>IF(C179="","",IF(N(J179)&lt;0,"صرف أكثر من الرصيد!",""))</f>
        <v/>
      </c>
    </row>
    <row r="180">
      <c r="A180" s="39">
        <f>IF(C180="","","ISS-"&amp;TEXT(ROW()-4,"0000"))</f>
        <v/>
      </c>
      <c r="B180" s="47" t="n"/>
      <c r="C180" s="50" t="n"/>
      <c r="D180" s="49">
        <f>IF(C180="","",IFERROR(INDEX('رصيد المخزن'!$B$5:$B$304,MATCH(C180,'رصيد المخزن'!$A$5:$A$304,0)),""))</f>
        <v/>
      </c>
      <c r="E180" s="39">
        <f>IF(C180="","",IFERROR(INDEX('رصيد المخزن'!$C$5:$C$304,MATCH(C180,'رصيد المخزن'!$A$5:$A$304,0)),""))</f>
        <v/>
      </c>
      <c r="F180" s="39">
        <f>IF(C180="","",IFERROR(INDEX('رصيد المخزن'!$D$5:$D$304,MATCH(C180,'رصيد المخزن'!$A$5:$A$304,0)),""))</f>
        <v/>
      </c>
      <c r="G180" s="41" t="n"/>
      <c r="H180" s="40" t="n"/>
      <c r="I180" s="40" t="n"/>
      <c r="J180" s="46">
        <f>IF(C180="","",IFERROR(INDEX('رصيد المخزن'!$H$5:$H$304,MATCH(C180,'رصيد المخزن'!$A$5:$A$304,0)),""))</f>
        <v/>
      </c>
      <c r="K180" s="49">
        <f>IF(C180="","",IF(N(J180)&lt;0,"صرف أكثر من الرصيد!",""))</f>
        <v/>
      </c>
    </row>
    <row r="181">
      <c r="A181" s="39">
        <f>IF(C181="","","ISS-"&amp;TEXT(ROW()-4,"0000"))</f>
        <v/>
      </c>
      <c r="B181" s="47" t="n"/>
      <c r="C181" s="50" t="n"/>
      <c r="D181" s="49">
        <f>IF(C181="","",IFERROR(INDEX('رصيد المخزن'!$B$5:$B$304,MATCH(C181,'رصيد المخزن'!$A$5:$A$304,0)),""))</f>
        <v/>
      </c>
      <c r="E181" s="39">
        <f>IF(C181="","",IFERROR(INDEX('رصيد المخزن'!$C$5:$C$304,MATCH(C181,'رصيد المخزن'!$A$5:$A$304,0)),""))</f>
        <v/>
      </c>
      <c r="F181" s="39">
        <f>IF(C181="","",IFERROR(INDEX('رصيد المخزن'!$D$5:$D$304,MATCH(C181,'رصيد المخزن'!$A$5:$A$304,0)),""))</f>
        <v/>
      </c>
      <c r="G181" s="41" t="n"/>
      <c r="H181" s="40" t="n"/>
      <c r="I181" s="40" t="n"/>
      <c r="J181" s="46">
        <f>IF(C181="","",IFERROR(INDEX('رصيد المخزن'!$H$5:$H$304,MATCH(C181,'رصيد المخزن'!$A$5:$A$304,0)),""))</f>
        <v/>
      </c>
      <c r="K181" s="49">
        <f>IF(C181="","",IF(N(J181)&lt;0,"صرف أكثر من الرصيد!",""))</f>
        <v/>
      </c>
    </row>
    <row r="182">
      <c r="A182" s="39">
        <f>IF(C182="","","ISS-"&amp;TEXT(ROW()-4,"0000"))</f>
        <v/>
      </c>
      <c r="B182" s="47" t="n"/>
      <c r="C182" s="50" t="n"/>
      <c r="D182" s="49">
        <f>IF(C182="","",IFERROR(INDEX('رصيد المخزن'!$B$5:$B$304,MATCH(C182,'رصيد المخزن'!$A$5:$A$304,0)),""))</f>
        <v/>
      </c>
      <c r="E182" s="39">
        <f>IF(C182="","",IFERROR(INDEX('رصيد المخزن'!$C$5:$C$304,MATCH(C182,'رصيد المخزن'!$A$5:$A$304,0)),""))</f>
        <v/>
      </c>
      <c r="F182" s="39">
        <f>IF(C182="","",IFERROR(INDEX('رصيد المخزن'!$D$5:$D$304,MATCH(C182,'رصيد المخزن'!$A$5:$A$304,0)),""))</f>
        <v/>
      </c>
      <c r="G182" s="41" t="n"/>
      <c r="H182" s="40" t="n"/>
      <c r="I182" s="40" t="n"/>
      <c r="J182" s="46">
        <f>IF(C182="","",IFERROR(INDEX('رصيد المخزن'!$H$5:$H$304,MATCH(C182,'رصيد المخزن'!$A$5:$A$304,0)),""))</f>
        <v/>
      </c>
      <c r="K182" s="49">
        <f>IF(C182="","",IF(N(J182)&lt;0,"صرف أكثر من الرصيد!",""))</f>
        <v/>
      </c>
    </row>
    <row r="183">
      <c r="A183" s="39">
        <f>IF(C183="","","ISS-"&amp;TEXT(ROW()-4,"0000"))</f>
        <v/>
      </c>
      <c r="B183" s="47" t="n"/>
      <c r="C183" s="50" t="n"/>
      <c r="D183" s="49">
        <f>IF(C183="","",IFERROR(INDEX('رصيد المخزن'!$B$5:$B$304,MATCH(C183,'رصيد المخزن'!$A$5:$A$304,0)),""))</f>
        <v/>
      </c>
      <c r="E183" s="39">
        <f>IF(C183="","",IFERROR(INDEX('رصيد المخزن'!$C$5:$C$304,MATCH(C183,'رصيد المخزن'!$A$5:$A$304,0)),""))</f>
        <v/>
      </c>
      <c r="F183" s="39">
        <f>IF(C183="","",IFERROR(INDEX('رصيد المخزن'!$D$5:$D$304,MATCH(C183,'رصيد المخزن'!$A$5:$A$304,0)),""))</f>
        <v/>
      </c>
      <c r="G183" s="41" t="n"/>
      <c r="H183" s="40" t="n"/>
      <c r="I183" s="40" t="n"/>
      <c r="J183" s="46">
        <f>IF(C183="","",IFERROR(INDEX('رصيد المخزن'!$H$5:$H$304,MATCH(C183,'رصيد المخزن'!$A$5:$A$304,0)),""))</f>
        <v/>
      </c>
      <c r="K183" s="49">
        <f>IF(C183="","",IF(N(J183)&lt;0,"صرف أكثر من الرصيد!",""))</f>
        <v/>
      </c>
    </row>
    <row r="184">
      <c r="A184" s="39">
        <f>IF(C184="","","ISS-"&amp;TEXT(ROW()-4,"0000"))</f>
        <v/>
      </c>
      <c r="B184" s="47" t="n"/>
      <c r="C184" s="50" t="n"/>
      <c r="D184" s="49">
        <f>IF(C184="","",IFERROR(INDEX('رصيد المخزن'!$B$5:$B$304,MATCH(C184,'رصيد المخزن'!$A$5:$A$304,0)),""))</f>
        <v/>
      </c>
      <c r="E184" s="39">
        <f>IF(C184="","",IFERROR(INDEX('رصيد المخزن'!$C$5:$C$304,MATCH(C184,'رصيد المخزن'!$A$5:$A$304,0)),""))</f>
        <v/>
      </c>
      <c r="F184" s="39">
        <f>IF(C184="","",IFERROR(INDEX('رصيد المخزن'!$D$5:$D$304,MATCH(C184,'رصيد المخزن'!$A$5:$A$304,0)),""))</f>
        <v/>
      </c>
      <c r="G184" s="41" t="n"/>
      <c r="H184" s="40" t="n"/>
      <c r="I184" s="40" t="n"/>
      <c r="J184" s="46">
        <f>IF(C184="","",IFERROR(INDEX('رصيد المخزن'!$H$5:$H$304,MATCH(C184,'رصيد المخزن'!$A$5:$A$304,0)),""))</f>
        <v/>
      </c>
      <c r="K184" s="49">
        <f>IF(C184="","",IF(N(J184)&lt;0,"صرف أكثر من الرصيد!",""))</f>
        <v/>
      </c>
    </row>
    <row r="185">
      <c r="A185" s="39">
        <f>IF(C185="","","ISS-"&amp;TEXT(ROW()-4,"0000"))</f>
        <v/>
      </c>
      <c r="B185" s="47" t="n"/>
      <c r="C185" s="50" t="n"/>
      <c r="D185" s="49">
        <f>IF(C185="","",IFERROR(INDEX('رصيد المخزن'!$B$5:$B$304,MATCH(C185,'رصيد المخزن'!$A$5:$A$304,0)),""))</f>
        <v/>
      </c>
      <c r="E185" s="39">
        <f>IF(C185="","",IFERROR(INDEX('رصيد المخزن'!$C$5:$C$304,MATCH(C185,'رصيد المخزن'!$A$5:$A$304,0)),""))</f>
        <v/>
      </c>
      <c r="F185" s="39">
        <f>IF(C185="","",IFERROR(INDEX('رصيد المخزن'!$D$5:$D$304,MATCH(C185,'رصيد المخزن'!$A$5:$A$304,0)),""))</f>
        <v/>
      </c>
      <c r="G185" s="41" t="n"/>
      <c r="H185" s="40" t="n"/>
      <c r="I185" s="40" t="n"/>
      <c r="J185" s="46">
        <f>IF(C185="","",IFERROR(INDEX('رصيد المخزن'!$H$5:$H$304,MATCH(C185,'رصيد المخزن'!$A$5:$A$304,0)),""))</f>
        <v/>
      </c>
      <c r="K185" s="49">
        <f>IF(C185="","",IF(N(J185)&lt;0,"صرف أكثر من الرصيد!",""))</f>
        <v/>
      </c>
    </row>
    <row r="186">
      <c r="A186" s="39">
        <f>IF(C186="","","ISS-"&amp;TEXT(ROW()-4,"0000"))</f>
        <v/>
      </c>
      <c r="B186" s="47" t="n"/>
      <c r="C186" s="50" t="n"/>
      <c r="D186" s="49">
        <f>IF(C186="","",IFERROR(INDEX('رصيد المخزن'!$B$5:$B$304,MATCH(C186,'رصيد المخزن'!$A$5:$A$304,0)),""))</f>
        <v/>
      </c>
      <c r="E186" s="39">
        <f>IF(C186="","",IFERROR(INDEX('رصيد المخزن'!$C$5:$C$304,MATCH(C186,'رصيد المخزن'!$A$5:$A$304,0)),""))</f>
        <v/>
      </c>
      <c r="F186" s="39">
        <f>IF(C186="","",IFERROR(INDEX('رصيد المخزن'!$D$5:$D$304,MATCH(C186,'رصيد المخزن'!$A$5:$A$304,0)),""))</f>
        <v/>
      </c>
      <c r="G186" s="41" t="n"/>
      <c r="H186" s="40" t="n"/>
      <c r="I186" s="40" t="n"/>
      <c r="J186" s="46">
        <f>IF(C186="","",IFERROR(INDEX('رصيد المخزن'!$H$5:$H$304,MATCH(C186,'رصيد المخزن'!$A$5:$A$304,0)),""))</f>
        <v/>
      </c>
      <c r="K186" s="49">
        <f>IF(C186="","",IF(N(J186)&lt;0,"صرف أكثر من الرصيد!",""))</f>
        <v/>
      </c>
    </row>
    <row r="187">
      <c r="A187" s="39">
        <f>IF(C187="","","ISS-"&amp;TEXT(ROW()-4,"0000"))</f>
        <v/>
      </c>
      <c r="B187" s="47" t="n"/>
      <c r="C187" s="50" t="n"/>
      <c r="D187" s="49">
        <f>IF(C187="","",IFERROR(INDEX('رصيد المخزن'!$B$5:$B$304,MATCH(C187,'رصيد المخزن'!$A$5:$A$304,0)),""))</f>
        <v/>
      </c>
      <c r="E187" s="39">
        <f>IF(C187="","",IFERROR(INDEX('رصيد المخزن'!$C$5:$C$304,MATCH(C187,'رصيد المخزن'!$A$5:$A$304,0)),""))</f>
        <v/>
      </c>
      <c r="F187" s="39">
        <f>IF(C187="","",IFERROR(INDEX('رصيد المخزن'!$D$5:$D$304,MATCH(C187,'رصيد المخزن'!$A$5:$A$304,0)),""))</f>
        <v/>
      </c>
      <c r="G187" s="41" t="n"/>
      <c r="H187" s="40" t="n"/>
      <c r="I187" s="40" t="n"/>
      <c r="J187" s="46">
        <f>IF(C187="","",IFERROR(INDEX('رصيد المخزن'!$H$5:$H$304,MATCH(C187,'رصيد المخزن'!$A$5:$A$304,0)),""))</f>
        <v/>
      </c>
      <c r="K187" s="49">
        <f>IF(C187="","",IF(N(J187)&lt;0,"صرف أكثر من الرصيد!",""))</f>
        <v/>
      </c>
    </row>
    <row r="188">
      <c r="A188" s="39">
        <f>IF(C188="","","ISS-"&amp;TEXT(ROW()-4,"0000"))</f>
        <v/>
      </c>
      <c r="B188" s="47" t="n"/>
      <c r="C188" s="50" t="n"/>
      <c r="D188" s="49">
        <f>IF(C188="","",IFERROR(INDEX('رصيد المخزن'!$B$5:$B$304,MATCH(C188,'رصيد المخزن'!$A$5:$A$304,0)),""))</f>
        <v/>
      </c>
      <c r="E188" s="39">
        <f>IF(C188="","",IFERROR(INDEX('رصيد المخزن'!$C$5:$C$304,MATCH(C188,'رصيد المخزن'!$A$5:$A$304,0)),""))</f>
        <v/>
      </c>
      <c r="F188" s="39">
        <f>IF(C188="","",IFERROR(INDEX('رصيد المخزن'!$D$5:$D$304,MATCH(C188,'رصيد المخزن'!$A$5:$A$304,0)),""))</f>
        <v/>
      </c>
      <c r="G188" s="41" t="n"/>
      <c r="H188" s="40" t="n"/>
      <c r="I188" s="40" t="n"/>
      <c r="J188" s="46">
        <f>IF(C188="","",IFERROR(INDEX('رصيد المخزن'!$H$5:$H$304,MATCH(C188,'رصيد المخزن'!$A$5:$A$304,0)),""))</f>
        <v/>
      </c>
      <c r="K188" s="49">
        <f>IF(C188="","",IF(N(J188)&lt;0,"صرف أكثر من الرصيد!",""))</f>
        <v/>
      </c>
    </row>
    <row r="189">
      <c r="A189" s="39">
        <f>IF(C189="","","ISS-"&amp;TEXT(ROW()-4,"0000"))</f>
        <v/>
      </c>
      <c r="B189" s="47" t="n"/>
      <c r="C189" s="50" t="n"/>
      <c r="D189" s="49">
        <f>IF(C189="","",IFERROR(INDEX('رصيد المخزن'!$B$5:$B$304,MATCH(C189,'رصيد المخزن'!$A$5:$A$304,0)),""))</f>
        <v/>
      </c>
      <c r="E189" s="39">
        <f>IF(C189="","",IFERROR(INDEX('رصيد المخزن'!$C$5:$C$304,MATCH(C189,'رصيد المخزن'!$A$5:$A$304,0)),""))</f>
        <v/>
      </c>
      <c r="F189" s="39">
        <f>IF(C189="","",IFERROR(INDEX('رصيد المخزن'!$D$5:$D$304,MATCH(C189,'رصيد المخزن'!$A$5:$A$304,0)),""))</f>
        <v/>
      </c>
      <c r="G189" s="41" t="n"/>
      <c r="H189" s="40" t="n"/>
      <c r="I189" s="40" t="n"/>
      <c r="J189" s="46">
        <f>IF(C189="","",IFERROR(INDEX('رصيد المخزن'!$H$5:$H$304,MATCH(C189,'رصيد المخزن'!$A$5:$A$304,0)),""))</f>
        <v/>
      </c>
      <c r="K189" s="49">
        <f>IF(C189="","",IF(N(J189)&lt;0,"صرف أكثر من الرصيد!",""))</f>
        <v/>
      </c>
    </row>
    <row r="190">
      <c r="A190" s="39">
        <f>IF(C190="","","ISS-"&amp;TEXT(ROW()-4,"0000"))</f>
        <v/>
      </c>
      <c r="B190" s="47" t="n"/>
      <c r="C190" s="50" t="n"/>
      <c r="D190" s="49">
        <f>IF(C190="","",IFERROR(INDEX('رصيد المخزن'!$B$5:$B$304,MATCH(C190,'رصيد المخزن'!$A$5:$A$304,0)),""))</f>
        <v/>
      </c>
      <c r="E190" s="39">
        <f>IF(C190="","",IFERROR(INDEX('رصيد المخزن'!$C$5:$C$304,MATCH(C190,'رصيد المخزن'!$A$5:$A$304,0)),""))</f>
        <v/>
      </c>
      <c r="F190" s="39">
        <f>IF(C190="","",IFERROR(INDEX('رصيد المخزن'!$D$5:$D$304,MATCH(C190,'رصيد المخزن'!$A$5:$A$304,0)),""))</f>
        <v/>
      </c>
      <c r="G190" s="41" t="n"/>
      <c r="H190" s="40" t="n"/>
      <c r="I190" s="40" t="n"/>
      <c r="J190" s="46">
        <f>IF(C190="","",IFERROR(INDEX('رصيد المخزن'!$H$5:$H$304,MATCH(C190,'رصيد المخزن'!$A$5:$A$304,0)),""))</f>
        <v/>
      </c>
      <c r="K190" s="49">
        <f>IF(C190="","",IF(N(J190)&lt;0,"صرف أكثر من الرصيد!",""))</f>
        <v/>
      </c>
    </row>
    <row r="191">
      <c r="A191" s="39">
        <f>IF(C191="","","ISS-"&amp;TEXT(ROW()-4,"0000"))</f>
        <v/>
      </c>
      <c r="B191" s="47" t="n"/>
      <c r="C191" s="50" t="n"/>
      <c r="D191" s="49">
        <f>IF(C191="","",IFERROR(INDEX('رصيد المخزن'!$B$5:$B$304,MATCH(C191,'رصيد المخزن'!$A$5:$A$304,0)),""))</f>
        <v/>
      </c>
      <c r="E191" s="39">
        <f>IF(C191="","",IFERROR(INDEX('رصيد المخزن'!$C$5:$C$304,MATCH(C191,'رصيد المخزن'!$A$5:$A$304,0)),""))</f>
        <v/>
      </c>
      <c r="F191" s="39">
        <f>IF(C191="","",IFERROR(INDEX('رصيد المخزن'!$D$5:$D$304,MATCH(C191,'رصيد المخزن'!$A$5:$A$304,0)),""))</f>
        <v/>
      </c>
      <c r="G191" s="41" t="n"/>
      <c r="H191" s="40" t="n"/>
      <c r="I191" s="40" t="n"/>
      <c r="J191" s="46">
        <f>IF(C191="","",IFERROR(INDEX('رصيد المخزن'!$H$5:$H$304,MATCH(C191,'رصيد المخزن'!$A$5:$A$304,0)),""))</f>
        <v/>
      </c>
      <c r="K191" s="49">
        <f>IF(C191="","",IF(N(J191)&lt;0,"صرف أكثر من الرصيد!",""))</f>
        <v/>
      </c>
    </row>
    <row r="192">
      <c r="A192" s="39">
        <f>IF(C192="","","ISS-"&amp;TEXT(ROW()-4,"0000"))</f>
        <v/>
      </c>
      <c r="B192" s="47" t="n"/>
      <c r="C192" s="50" t="n"/>
      <c r="D192" s="49">
        <f>IF(C192="","",IFERROR(INDEX('رصيد المخزن'!$B$5:$B$304,MATCH(C192,'رصيد المخزن'!$A$5:$A$304,0)),""))</f>
        <v/>
      </c>
      <c r="E192" s="39">
        <f>IF(C192="","",IFERROR(INDEX('رصيد المخزن'!$C$5:$C$304,MATCH(C192,'رصيد المخزن'!$A$5:$A$304,0)),""))</f>
        <v/>
      </c>
      <c r="F192" s="39">
        <f>IF(C192="","",IFERROR(INDEX('رصيد المخزن'!$D$5:$D$304,MATCH(C192,'رصيد المخزن'!$A$5:$A$304,0)),""))</f>
        <v/>
      </c>
      <c r="G192" s="41" t="n"/>
      <c r="H192" s="40" t="n"/>
      <c r="I192" s="40" t="n"/>
      <c r="J192" s="46">
        <f>IF(C192="","",IFERROR(INDEX('رصيد المخزن'!$H$5:$H$304,MATCH(C192,'رصيد المخزن'!$A$5:$A$304,0)),""))</f>
        <v/>
      </c>
      <c r="K192" s="49">
        <f>IF(C192="","",IF(N(J192)&lt;0,"صرف أكثر من الرصيد!",""))</f>
        <v/>
      </c>
    </row>
    <row r="193">
      <c r="A193" s="39">
        <f>IF(C193="","","ISS-"&amp;TEXT(ROW()-4,"0000"))</f>
        <v/>
      </c>
      <c r="B193" s="47" t="n"/>
      <c r="C193" s="50" t="n"/>
      <c r="D193" s="49">
        <f>IF(C193="","",IFERROR(INDEX('رصيد المخزن'!$B$5:$B$304,MATCH(C193,'رصيد المخزن'!$A$5:$A$304,0)),""))</f>
        <v/>
      </c>
      <c r="E193" s="39">
        <f>IF(C193="","",IFERROR(INDEX('رصيد المخزن'!$C$5:$C$304,MATCH(C193,'رصيد المخزن'!$A$5:$A$304,0)),""))</f>
        <v/>
      </c>
      <c r="F193" s="39">
        <f>IF(C193="","",IFERROR(INDEX('رصيد المخزن'!$D$5:$D$304,MATCH(C193,'رصيد المخزن'!$A$5:$A$304,0)),""))</f>
        <v/>
      </c>
      <c r="G193" s="41" t="n"/>
      <c r="H193" s="40" t="n"/>
      <c r="I193" s="40" t="n"/>
      <c r="J193" s="46">
        <f>IF(C193="","",IFERROR(INDEX('رصيد المخزن'!$H$5:$H$304,MATCH(C193,'رصيد المخزن'!$A$5:$A$304,0)),""))</f>
        <v/>
      </c>
      <c r="K193" s="49">
        <f>IF(C193="","",IF(N(J193)&lt;0,"صرف أكثر من الرصيد!",""))</f>
        <v/>
      </c>
    </row>
    <row r="194">
      <c r="A194" s="39">
        <f>IF(C194="","","ISS-"&amp;TEXT(ROW()-4,"0000"))</f>
        <v/>
      </c>
      <c r="B194" s="47" t="n"/>
      <c r="C194" s="50" t="n"/>
      <c r="D194" s="49">
        <f>IF(C194="","",IFERROR(INDEX('رصيد المخزن'!$B$5:$B$304,MATCH(C194,'رصيد المخزن'!$A$5:$A$304,0)),""))</f>
        <v/>
      </c>
      <c r="E194" s="39">
        <f>IF(C194="","",IFERROR(INDEX('رصيد المخزن'!$C$5:$C$304,MATCH(C194,'رصيد المخزن'!$A$5:$A$304,0)),""))</f>
        <v/>
      </c>
      <c r="F194" s="39">
        <f>IF(C194="","",IFERROR(INDEX('رصيد المخزن'!$D$5:$D$304,MATCH(C194,'رصيد المخزن'!$A$5:$A$304,0)),""))</f>
        <v/>
      </c>
      <c r="G194" s="41" t="n"/>
      <c r="H194" s="40" t="n"/>
      <c r="I194" s="40" t="n"/>
      <c r="J194" s="46">
        <f>IF(C194="","",IFERROR(INDEX('رصيد المخزن'!$H$5:$H$304,MATCH(C194,'رصيد المخزن'!$A$5:$A$304,0)),""))</f>
        <v/>
      </c>
      <c r="K194" s="49">
        <f>IF(C194="","",IF(N(J194)&lt;0,"صرف أكثر من الرصيد!",""))</f>
        <v/>
      </c>
    </row>
    <row r="195">
      <c r="A195" s="39">
        <f>IF(C195="","","ISS-"&amp;TEXT(ROW()-4,"0000"))</f>
        <v/>
      </c>
      <c r="B195" s="47" t="n"/>
      <c r="C195" s="50" t="n"/>
      <c r="D195" s="49">
        <f>IF(C195="","",IFERROR(INDEX('رصيد المخزن'!$B$5:$B$304,MATCH(C195,'رصيد المخزن'!$A$5:$A$304,0)),""))</f>
        <v/>
      </c>
      <c r="E195" s="39">
        <f>IF(C195="","",IFERROR(INDEX('رصيد المخزن'!$C$5:$C$304,MATCH(C195,'رصيد المخزن'!$A$5:$A$304,0)),""))</f>
        <v/>
      </c>
      <c r="F195" s="39">
        <f>IF(C195="","",IFERROR(INDEX('رصيد المخزن'!$D$5:$D$304,MATCH(C195,'رصيد المخزن'!$A$5:$A$304,0)),""))</f>
        <v/>
      </c>
      <c r="G195" s="41" t="n"/>
      <c r="H195" s="40" t="n"/>
      <c r="I195" s="40" t="n"/>
      <c r="J195" s="46">
        <f>IF(C195="","",IFERROR(INDEX('رصيد المخزن'!$H$5:$H$304,MATCH(C195,'رصيد المخزن'!$A$5:$A$304,0)),""))</f>
        <v/>
      </c>
      <c r="K195" s="49">
        <f>IF(C195="","",IF(N(J195)&lt;0,"صرف أكثر من الرصيد!",""))</f>
        <v/>
      </c>
    </row>
    <row r="196">
      <c r="A196" s="39">
        <f>IF(C196="","","ISS-"&amp;TEXT(ROW()-4,"0000"))</f>
        <v/>
      </c>
      <c r="B196" s="47" t="n"/>
      <c r="C196" s="50" t="n"/>
      <c r="D196" s="49">
        <f>IF(C196="","",IFERROR(INDEX('رصيد المخزن'!$B$5:$B$304,MATCH(C196,'رصيد المخزن'!$A$5:$A$304,0)),""))</f>
        <v/>
      </c>
      <c r="E196" s="39">
        <f>IF(C196="","",IFERROR(INDEX('رصيد المخزن'!$C$5:$C$304,MATCH(C196,'رصيد المخزن'!$A$5:$A$304,0)),""))</f>
        <v/>
      </c>
      <c r="F196" s="39">
        <f>IF(C196="","",IFERROR(INDEX('رصيد المخزن'!$D$5:$D$304,MATCH(C196,'رصيد المخزن'!$A$5:$A$304,0)),""))</f>
        <v/>
      </c>
      <c r="G196" s="41" t="n"/>
      <c r="H196" s="40" t="n"/>
      <c r="I196" s="40" t="n"/>
      <c r="J196" s="46">
        <f>IF(C196="","",IFERROR(INDEX('رصيد المخزن'!$H$5:$H$304,MATCH(C196,'رصيد المخزن'!$A$5:$A$304,0)),""))</f>
        <v/>
      </c>
      <c r="K196" s="49">
        <f>IF(C196="","",IF(N(J196)&lt;0,"صرف أكثر من الرصيد!",""))</f>
        <v/>
      </c>
    </row>
    <row r="197">
      <c r="A197" s="39">
        <f>IF(C197="","","ISS-"&amp;TEXT(ROW()-4,"0000"))</f>
        <v/>
      </c>
      <c r="B197" s="47" t="n"/>
      <c r="C197" s="50" t="n"/>
      <c r="D197" s="49">
        <f>IF(C197="","",IFERROR(INDEX('رصيد المخزن'!$B$5:$B$304,MATCH(C197,'رصيد المخزن'!$A$5:$A$304,0)),""))</f>
        <v/>
      </c>
      <c r="E197" s="39">
        <f>IF(C197="","",IFERROR(INDEX('رصيد المخزن'!$C$5:$C$304,MATCH(C197,'رصيد المخزن'!$A$5:$A$304,0)),""))</f>
        <v/>
      </c>
      <c r="F197" s="39">
        <f>IF(C197="","",IFERROR(INDEX('رصيد المخزن'!$D$5:$D$304,MATCH(C197,'رصيد المخزن'!$A$5:$A$304,0)),""))</f>
        <v/>
      </c>
      <c r="G197" s="41" t="n"/>
      <c r="H197" s="40" t="n"/>
      <c r="I197" s="40" t="n"/>
      <c r="J197" s="46">
        <f>IF(C197="","",IFERROR(INDEX('رصيد المخزن'!$H$5:$H$304,MATCH(C197,'رصيد المخزن'!$A$5:$A$304,0)),""))</f>
        <v/>
      </c>
      <c r="K197" s="49">
        <f>IF(C197="","",IF(N(J197)&lt;0,"صرف أكثر من الرصيد!",""))</f>
        <v/>
      </c>
    </row>
    <row r="198">
      <c r="A198" s="39">
        <f>IF(C198="","","ISS-"&amp;TEXT(ROW()-4,"0000"))</f>
        <v/>
      </c>
      <c r="B198" s="47" t="n"/>
      <c r="C198" s="50" t="n"/>
      <c r="D198" s="49">
        <f>IF(C198="","",IFERROR(INDEX('رصيد المخزن'!$B$5:$B$304,MATCH(C198,'رصيد المخزن'!$A$5:$A$304,0)),""))</f>
        <v/>
      </c>
      <c r="E198" s="39">
        <f>IF(C198="","",IFERROR(INDEX('رصيد المخزن'!$C$5:$C$304,MATCH(C198,'رصيد المخزن'!$A$5:$A$304,0)),""))</f>
        <v/>
      </c>
      <c r="F198" s="39">
        <f>IF(C198="","",IFERROR(INDEX('رصيد المخزن'!$D$5:$D$304,MATCH(C198,'رصيد المخزن'!$A$5:$A$304,0)),""))</f>
        <v/>
      </c>
      <c r="G198" s="41" t="n"/>
      <c r="H198" s="40" t="n"/>
      <c r="I198" s="40" t="n"/>
      <c r="J198" s="46">
        <f>IF(C198="","",IFERROR(INDEX('رصيد المخزن'!$H$5:$H$304,MATCH(C198,'رصيد المخزن'!$A$5:$A$304,0)),""))</f>
        <v/>
      </c>
      <c r="K198" s="49">
        <f>IF(C198="","",IF(N(J198)&lt;0,"صرف أكثر من الرصيد!",""))</f>
        <v/>
      </c>
    </row>
    <row r="199">
      <c r="A199" s="39">
        <f>IF(C199="","","ISS-"&amp;TEXT(ROW()-4,"0000"))</f>
        <v/>
      </c>
      <c r="B199" s="47" t="n"/>
      <c r="C199" s="50" t="n"/>
      <c r="D199" s="49">
        <f>IF(C199="","",IFERROR(INDEX('رصيد المخزن'!$B$5:$B$304,MATCH(C199,'رصيد المخزن'!$A$5:$A$304,0)),""))</f>
        <v/>
      </c>
      <c r="E199" s="39">
        <f>IF(C199="","",IFERROR(INDEX('رصيد المخزن'!$C$5:$C$304,MATCH(C199,'رصيد المخزن'!$A$5:$A$304,0)),""))</f>
        <v/>
      </c>
      <c r="F199" s="39">
        <f>IF(C199="","",IFERROR(INDEX('رصيد المخزن'!$D$5:$D$304,MATCH(C199,'رصيد المخزن'!$A$5:$A$304,0)),""))</f>
        <v/>
      </c>
      <c r="G199" s="41" t="n"/>
      <c r="H199" s="40" t="n"/>
      <c r="I199" s="40" t="n"/>
      <c r="J199" s="46">
        <f>IF(C199="","",IFERROR(INDEX('رصيد المخزن'!$H$5:$H$304,MATCH(C199,'رصيد المخزن'!$A$5:$A$304,0)),""))</f>
        <v/>
      </c>
      <c r="K199" s="49">
        <f>IF(C199="","",IF(N(J199)&lt;0,"صرف أكثر من الرصيد!",""))</f>
        <v/>
      </c>
    </row>
    <row r="200">
      <c r="A200" s="39">
        <f>IF(C200="","","ISS-"&amp;TEXT(ROW()-4,"0000"))</f>
        <v/>
      </c>
      <c r="B200" s="47" t="n"/>
      <c r="C200" s="50" t="n"/>
      <c r="D200" s="49">
        <f>IF(C200="","",IFERROR(INDEX('رصيد المخزن'!$B$5:$B$304,MATCH(C200,'رصيد المخزن'!$A$5:$A$304,0)),""))</f>
        <v/>
      </c>
      <c r="E200" s="39">
        <f>IF(C200="","",IFERROR(INDEX('رصيد المخزن'!$C$5:$C$304,MATCH(C200,'رصيد المخزن'!$A$5:$A$304,0)),""))</f>
        <v/>
      </c>
      <c r="F200" s="39">
        <f>IF(C200="","",IFERROR(INDEX('رصيد المخزن'!$D$5:$D$304,MATCH(C200,'رصيد المخزن'!$A$5:$A$304,0)),""))</f>
        <v/>
      </c>
      <c r="G200" s="41" t="n"/>
      <c r="H200" s="40" t="n"/>
      <c r="I200" s="40" t="n"/>
      <c r="J200" s="46">
        <f>IF(C200="","",IFERROR(INDEX('رصيد المخزن'!$H$5:$H$304,MATCH(C200,'رصيد المخزن'!$A$5:$A$304,0)),""))</f>
        <v/>
      </c>
      <c r="K200" s="49">
        <f>IF(C200="","",IF(N(J200)&lt;0,"صرف أكثر من الرصيد!",""))</f>
        <v/>
      </c>
    </row>
    <row r="201">
      <c r="A201" s="39">
        <f>IF(C201="","","ISS-"&amp;TEXT(ROW()-4,"0000"))</f>
        <v/>
      </c>
      <c r="B201" s="47" t="n"/>
      <c r="C201" s="50" t="n"/>
      <c r="D201" s="49">
        <f>IF(C201="","",IFERROR(INDEX('رصيد المخزن'!$B$5:$B$304,MATCH(C201,'رصيد المخزن'!$A$5:$A$304,0)),""))</f>
        <v/>
      </c>
      <c r="E201" s="39">
        <f>IF(C201="","",IFERROR(INDEX('رصيد المخزن'!$C$5:$C$304,MATCH(C201,'رصيد المخزن'!$A$5:$A$304,0)),""))</f>
        <v/>
      </c>
      <c r="F201" s="39">
        <f>IF(C201="","",IFERROR(INDEX('رصيد المخزن'!$D$5:$D$304,MATCH(C201,'رصيد المخزن'!$A$5:$A$304,0)),""))</f>
        <v/>
      </c>
      <c r="G201" s="41" t="n"/>
      <c r="H201" s="40" t="n"/>
      <c r="I201" s="40" t="n"/>
      <c r="J201" s="46">
        <f>IF(C201="","",IFERROR(INDEX('رصيد المخزن'!$H$5:$H$304,MATCH(C201,'رصيد المخزن'!$A$5:$A$304,0)),""))</f>
        <v/>
      </c>
      <c r="K201" s="49">
        <f>IF(C201="","",IF(N(J201)&lt;0,"صرف أكثر من الرصيد!",""))</f>
        <v/>
      </c>
    </row>
    <row r="202">
      <c r="A202" s="39">
        <f>IF(C202="","","ISS-"&amp;TEXT(ROW()-4,"0000"))</f>
        <v/>
      </c>
      <c r="B202" s="47" t="n"/>
      <c r="C202" s="50" t="n"/>
      <c r="D202" s="49">
        <f>IF(C202="","",IFERROR(INDEX('رصيد المخزن'!$B$5:$B$304,MATCH(C202,'رصيد المخزن'!$A$5:$A$304,0)),""))</f>
        <v/>
      </c>
      <c r="E202" s="39">
        <f>IF(C202="","",IFERROR(INDEX('رصيد المخزن'!$C$5:$C$304,MATCH(C202,'رصيد المخزن'!$A$5:$A$304,0)),""))</f>
        <v/>
      </c>
      <c r="F202" s="39">
        <f>IF(C202="","",IFERROR(INDEX('رصيد المخزن'!$D$5:$D$304,MATCH(C202,'رصيد المخزن'!$A$5:$A$304,0)),""))</f>
        <v/>
      </c>
      <c r="G202" s="41" t="n"/>
      <c r="H202" s="40" t="n"/>
      <c r="I202" s="40" t="n"/>
      <c r="J202" s="46">
        <f>IF(C202="","",IFERROR(INDEX('رصيد المخزن'!$H$5:$H$304,MATCH(C202,'رصيد المخزن'!$A$5:$A$304,0)),""))</f>
        <v/>
      </c>
      <c r="K202" s="49">
        <f>IF(C202="","",IF(N(J202)&lt;0,"صرف أكثر من الرصيد!",""))</f>
        <v/>
      </c>
    </row>
    <row r="203">
      <c r="A203" s="39">
        <f>IF(C203="","","ISS-"&amp;TEXT(ROW()-4,"0000"))</f>
        <v/>
      </c>
      <c r="B203" s="47" t="n"/>
      <c r="C203" s="50" t="n"/>
      <c r="D203" s="49">
        <f>IF(C203="","",IFERROR(INDEX('رصيد المخزن'!$B$5:$B$304,MATCH(C203,'رصيد المخزن'!$A$5:$A$304,0)),""))</f>
        <v/>
      </c>
      <c r="E203" s="39">
        <f>IF(C203="","",IFERROR(INDEX('رصيد المخزن'!$C$5:$C$304,MATCH(C203,'رصيد المخزن'!$A$5:$A$304,0)),""))</f>
        <v/>
      </c>
      <c r="F203" s="39">
        <f>IF(C203="","",IFERROR(INDEX('رصيد المخزن'!$D$5:$D$304,MATCH(C203,'رصيد المخزن'!$A$5:$A$304,0)),""))</f>
        <v/>
      </c>
      <c r="G203" s="41" t="n"/>
      <c r="H203" s="40" t="n"/>
      <c r="I203" s="40" t="n"/>
      <c r="J203" s="46">
        <f>IF(C203="","",IFERROR(INDEX('رصيد المخزن'!$H$5:$H$304,MATCH(C203,'رصيد المخزن'!$A$5:$A$304,0)),""))</f>
        <v/>
      </c>
      <c r="K203" s="49">
        <f>IF(C203="","",IF(N(J203)&lt;0,"صرف أكثر من الرصيد!",""))</f>
        <v/>
      </c>
    </row>
    <row r="204">
      <c r="A204" s="39">
        <f>IF(C204="","","ISS-"&amp;TEXT(ROW()-4,"0000"))</f>
        <v/>
      </c>
      <c r="B204" s="47" t="n"/>
      <c r="C204" s="50" t="n"/>
      <c r="D204" s="49">
        <f>IF(C204="","",IFERROR(INDEX('رصيد المخزن'!$B$5:$B$304,MATCH(C204,'رصيد المخزن'!$A$5:$A$304,0)),""))</f>
        <v/>
      </c>
      <c r="E204" s="39">
        <f>IF(C204="","",IFERROR(INDEX('رصيد المخزن'!$C$5:$C$304,MATCH(C204,'رصيد المخزن'!$A$5:$A$304,0)),""))</f>
        <v/>
      </c>
      <c r="F204" s="39">
        <f>IF(C204="","",IFERROR(INDEX('رصيد المخزن'!$D$5:$D$304,MATCH(C204,'رصيد المخزن'!$A$5:$A$304,0)),""))</f>
        <v/>
      </c>
      <c r="G204" s="41" t="n"/>
      <c r="H204" s="40" t="n"/>
      <c r="I204" s="40" t="n"/>
      <c r="J204" s="46">
        <f>IF(C204="","",IFERROR(INDEX('رصيد المخزن'!$H$5:$H$304,MATCH(C204,'رصيد المخزن'!$A$5:$A$304,0)),""))</f>
        <v/>
      </c>
      <c r="K204" s="49">
        <f>IF(C204="","",IF(N(J204)&lt;0,"صرف أكثر من الرصيد!",""))</f>
        <v/>
      </c>
    </row>
    <row r="205">
      <c r="A205" s="39">
        <f>IF(C205="","","ISS-"&amp;TEXT(ROW()-4,"0000"))</f>
        <v/>
      </c>
      <c r="B205" s="47" t="n"/>
      <c r="C205" s="50" t="n"/>
      <c r="D205" s="49">
        <f>IF(C205="","",IFERROR(INDEX('رصيد المخزن'!$B$5:$B$304,MATCH(C205,'رصيد المخزن'!$A$5:$A$304,0)),""))</f>
        <v/>
      </c>
      <c r="E205" s="39">
        <f>IF(C205="","",IFERROR(INDEX('رصيد المخزن'!$C$5:$C$304,MATCH(C205,'رصيد المخزن'!$A$5:$A$304,0)),""))</f>
        <v/>
      </c>
      <c r="F205" s="39">
        <f>IF(C205="","",IFERROR(INDEX('رصيد المخزن'!$D$5:$D$304,MATCH(C205,'رصيد المخزن'!$A$5:$A$304,0)),""))</f>
        <v/>
      </c>
      <c r="G205" s="41" t="n"/>
      <c r="H205" s="40" t="n"/>
      <c r="I205" s="40" t="n"/>
      <c r="J205" s="46">
        <f>IF(C205="","",IFERROR(INDEX('رصيد المخزن'!$H$5:$H$304,MATCH(C205,'رصيد المخزن'!$A$5:$A$304,0)),""))</f>
        <v/>
      </c>
      <c r="K205" s="49">
        <f>IF(C205="","",IF(N(J205)&lt;0,"صرف أكثر من الرصيد!",""))</f>
        <v/>
      </c>
    </row>
    <row r="206">
      <c r="A206" s="39">
        <f>IF(C206="","","ISS-"&amp;TEXT(ROW()-4,"0000"))</f>
        <v/>
      </c>
      <c r="B206" s="47" t="n"/>
      <c r="C206" s="50" t="n"/>
      <c r="D206" s="49">
        <f>IF(C206="","",IFERROR(INDEX('رصيد المخزن'!$B$5:$B$304,MATCH(C206,'رصيد المخزن'!$A$5:$A$304,0)),""))</f>
        <v/>
      </c>
      <c r="E206" s="39">
        <f>IF(C206="","",IFERROR(INDEX('رصيد المخزن'!$C$5:$C$304,MATCH(C206,'رصيد المخزن'!$A$5:$A$304,0)),""))</f>
        <v/>
      </c>
      <c r="F206" s="39">
        <f>IF(C206="","",IFERROR(INDEX('رصيد المخزن'!$D$5:$D$304,MATCH(C206,'رصيد المخزن'!$A$5:$A$304,0)),""))</f>
        <v/>
      </c>
      <c r="G206" s="41" t="n"/>
      <c r="H206" s="40" t="n"/>
      <c r="I206" s="40" t="n"/>
      <c r="J206" s="46">
        <f>IF(C206="","",IFERROR(INDEX('رصيد المخزن'!$H$5:$H$304,MATCH(C206,'رصيد المخزن'!$A$5:$A$304,0)),""))</f>
        <v/>
      </c>
      <c r="K206" s="49">
        <f>IF(C206="","",IF(N(J206)&lt;0,"صرف أكثر من الرصيد!",""))</f>
        <v/>
      </c>
    </row>
    <row r="207">
      <c r="A207" s="39">
        <f>IF(C207="","","ISS-"&amp;TEXT(ROW()-4,"0000"))</f>
        <v/>
      </c>
      <c r="B207" s="47" t="n"/>
      <c r="C207" s="50" t="n"/>
      <c r="D207" s="49">
        <f>IF(C207="","",IFERROR(INDEX('رصيد المخزن'!$B$5:$B$304,MATCH(C207,'رصيد المخزن'!$A$5:$A$304,0)),""))</f>
        <v/>
      </c>
      <c r="E207" s="39">
        <f>IF(C207="","",IFERROR(INDEX('رصيد المخزن'!$C$5:$C$304,MATCH(C207,'رصيد المخزن'!$A$5:$A$304,0)),""))</f>
        <v/>
      </c>
      <c r="F207" s="39">
        <f>IF(C207="","",IFERROR(INDEX('رصيد المخزن'!$D$5:$D$304,MATCH(C207,'رصيد المخزن'!$A$5:$A$304,0)),""))</f>
        <v/>
      </c>
      <c r="G207" s="41" t="n"/>
      <c r="H207" s="40" t="n"/>
      <c r="I207" s="40" t="n"/>
      <c r="J207" s="46">
        <f>IF(C207="","",IFERROR(INDEX('رصيد المخزن'!$H$5:$H$304,MATCH(C207,'رصيد المخزن'!$A$5:$A$304,0)),""))</f>
        <v/>
      </c>
      <c r="K207" s="49">
        <f>IF(C207="","",IF(N(J207)&lt;0,"صرف أكثر من الرصيد!",""))</f>
        <v/>
      </c>
    </row>
    <row r="208">
      <c r="A208" s="39">
        <f>IF(C208="","","ISS-"&amp;TEXT(ROW()-4,"0000"))</f>
        <v/>
      </c>
      <c r="B208" s="47" t="n"/>
      <c r="C208" s="50" t="n"/>
      <c r="D208" s="49">
        <f>IF(C208="","",IFERROR(INDEX('رصيد المخزن'!$B$5:$B$304,MATCH(C208,'رصيد المخزن'!$A$5:$A$304,0)),""))</f>
        <v/>
      </c>
      <c r="E208" s="39">
        <f>IF(C208="","",IFERROR(INDEX('رصيد المخزن'!$C$5:$C$304,MATCH(C208,'رصيد المخزن'!$A$5:$A$304,0)),""))</f>
        <v/>
      </c>
      <c r="F208" s="39">
        <f>IF(C208="","",IFERROR(INDEX('رصيد المخزن'!$D$5:$D$304,MATCH(C208,'رصيد المخزن'!$A$5:$A$304,0)),""))</f>
        <v/>
      </c>
      <c r="G208" s="41" t="n"/>
      <c r="H208" s="40" t="n"/>
      <c r="I208" s="40" t="n"/>
      <c r="J208" s="46">
        <f>IF(C208="","",IFERROR(INDEX('رصيد المخزن'!$H$5:$H$304,MATCH(C208,'رصيد المخزن'!$A$5:$A$304,0)),""))</f>
        <v/>
      </c>
      <c r="K208" s="49">
        <f>IF(C208="","",IF(N(J208)&lt;0,"صرف أكثر من الرصيد!",""))</f>
        <v/>
      </c>
    </row>
    <row r="209">
      <c r="A209" s="39">
        <f>IF(C209="","","ISS-"&amp;TEXT(ROW()-4,"0000"))</f>
        <v/>
      </c>
      <c r="B209" s="47" t="n"/>
      <c r="C209" s="50" t="n"/>
      <c r="D209" s="49">
        <f>IF(C209="","",IFERROR(INDEX('رصيد المخزن'!$B$5:$B$304,MATCH(C209,'رصيد المخزن'!$A$5:$A$304,0)),""))</f>
        <v/>
      </c>
      <c r="E209" s="39">
        <f>IF(C209="","",IFERROR(INDEX('رصيد المخزن'!$C$5:$C$304,MATCH(C209,'رصيد المخزن'!$A$5:$A$304,0)),""))</f>
        <v/>
      </c>
      <c r="F209" s="39">
        <f>IF(C209="","",IFERROR(INDEX('رصيد المخزن'!$D$5:$D$304,MATCH(C209,'رصيد المخزن'!$A$5:$A$304,0)),""))</f>
        <v/>
      </c>
      <c r="G209" s="41" t="n"/>
      <c r="H209" s="40" t="n"/>
      <c r="I209" s="40" t="n"/>
      <c r="J209" s="46">
        <f>IF(C209="","",IFERROR(INDEX('رصيد المخزن'!$H$5:$H$304,MATCH(C209,'رصيد المخزن'!$A$5:$A$304,0)),""))</f>
        <v/>
      </c>
      <c r="K209" s="49">
        <f>IF(C209="","",IF(N(J209)&lt;0,"صرف أكثر من الرصيد!",""))</f>
        <v/>
      </c>
    </row>
    <row r="210">
      <c r="A210" s="39">
        <f>IF(C210="","","ISS-"&amp;TEXT(ROW()-4,"0000"))</f>
        <v/>
      </c>
      <c r="B210" s="47" t="n"/>
      <c r="C210" s="50" t="n"/>
      <c r="D210" s="49">
        <f>IF(C210="","",IFERROR(INDEX('رصيد المخزن'!$B$5:$B$304,MATCH(C210,'رصيد المخزن'!$A$5:$A$304,0)),""))</f>
        <v/>
      </c>
      <c r="E210" s="39">
        <f>IF(C210="","",IFERROR(INDEX('رصيد المخزن'!$C$5:$C$304,MATCH(C210,'رصيد المخزن'!$A$5:$A$304,0)),""))</f>
        <v/>
      </c>
      <c r="F210" s="39">
        <f>IF(C210="","",IFERROR(INDEX('رصيد المخزن'!$D$5:$D$304,MATCH(C210,'رصيد المخزن'!$A$5:$A$304,0)),""))</f>
        <v/>
      </c>
      <c r="G210" s="41" t="n"/>
      <c r="H210" s="40" t="n"/>
      <c r="I210" s="40" t="n"/>
      <c r="J210" s="46">
        <f>IF(C210="","",IFERROR(INDEX('رصيد المخزن'!$H$5:$H$304,MATCH(C210,'رصيد المخزن'!$A$5:$A$304,0)),""))</f>
        <v/>
      </c>
      <c r="K210" s="49">
        <f>IF(C210="","",IF(N(J210)&lt;0,"صرف أكثر من الرصيد!",""))</f>
        <v/>
      </c>
    </row>
    <row r="211">
      <c r="A211" s="39">
        <f>IF(C211="","","ISS-"&amp;TEXT(ROW()-4,"0000"))</f>
        <v/>
      </c>
      <c r="B211" s="47" t="n"/>
      <c r="C211" s="50" t="n"/>
      <c r="D211" s="49">
        <f>IF(C211="","",IFERROR(INDEX('رصيد المخزن'!$B$5:$B$304,MATCH(C211,'رصيد المخزن'!$A$5:$A$304,0)),""))</f>
        <v/>
      </c>
      <c r="E211" s="39">
        <f>IF(C211="","",IFERROR(INDEX('رصيد المخزن'!$C$5:$C$304,MATCH(C211,'رصيد المخزن'!$A$5:$A$304,0)),""))</f>
        <v/>
      </c>
      <c r="F211" s="39">
        <f>IF(C211="","",IFERROR(INDEX('رصيد المخزن'!$D$5:$D$304,MATCH(C211,'رصيد المخزن'!$A$5:$A$304,0)),""))</f>
        <v/>
      </c>
      <c r="G211" s="41" t="n"/>
      <c r="H211" s="40" t="n"/>
      <c r="I211" s="40" t="n"/>
      <c r="J211" s="46">
        <f>IF(C211="","",IFERROR(INDEX('رصيد المخزن'!$H$5:$H$304,MATCH(C211,'رصيد المخزن'!$A$5:$A$304,0)),""))</f>
        <v/>
      </c>
      <c r="K211" s="49">
        <f>IF(C211="","",IF(N(J211)&lt;0,"صرف أكثر من الرصيد!",""))</f>
        <v/>
      </c>
    </row>
    <row r="212">
      <c r="A212" s="39">
        <f>IF(C212="","","ISS-"&amp;TEXT(ROW()-4,"0000"))</f>
        <v/>
      </c>
      <c r="B212" s="47" t="n"/>
      <c r="C212" s="50" t="n"/>
      <c r="D212" s="49">
        <f>IF(C212="","",IFERROR(INDEX('رصيد المخزن'!$B$5:$B$304,MATCH(C212,'رصيد المخزن'!$A$5:$A$304,0)),""))</f>
        <v/>
      </c>
      <c r="E212" s="39">
        <f>IF(C212="","",IFERROR(INDEX('رصيد المخزن'!$C$5:$C$304,MATCH(C212,'رصيد المخزن'!$A$5:$A$304,0)),""))</f>
        <v/>
      </c>
      <c r="F212" s="39">
        <f>IF(C212="","",IFERROR(INDEX('رصيد المخزن'!$D$5:$D$304,MATCH(C212,'رصيد المخزن'!$A$5:$A$304,0)),""))</f>
        <v/>
      </c>
      <c r="G212" s="41" t="n"/>
      <c r="H212" s="40" t="n"/>
      <c r="I212" s="40" t="n"/>
      <c r="J212" s="46">
        <f>IF(C212="","",IFERROR(INDEX('رصيد المخزن'!$H$5:$H$304,MATCH(C212,'رصيد المخزن'!$A$5:$A$304,0)),""))</f>
        <v/>
      </c>
      <c r="K212" s="49">
        <f>IF(C212="","",IF(N(J212)&lt;0,"صرف أكثر من الرصيد!",""))</f>
        <v/>
      </c>
    </row>
    <row r="213">
      <c r="A213" s="39">
        <f>IF(C213="","","ISS-"&amp;TEXT(ROW()-4,"0000"))</f>
        <v/>
      </c>
      <c r="B213" s="47" t="n"/>
      <c r="C213" s="50" t="n"/>
      <c r="D213" s="49">
        <f>IF(C213="","",IFERROR(INDEX('رصيد المخزن'!$B$5:$B$304,MATCH(C213,'رصيد المخزن'!$A$5:$A$304,0)),""))</f>
        <v/>
      </c>
      <c r="E213" s="39">
        <f>IF(C213="","",IFERROR(INDEX('رصيد المخزن'!$C$5:$C$304,MATCH(C213,'رصيد المخزن'!$A$5:$A$304,0)),""))</f>
        <v/>
      </c>
      <c r="F213" s="39">
        <f>IF(C213="","",IFERROR(INDEX('رصيد المخزن'!$D$5:$D$304,MATCH(C213,'رصيد المخزن'!$A$5:$A$304,0)),""))</f>
        <v/>
      </c>
      <c r="G213" s="41" t="n"/>
      <c r="H213" s="40" t="n"/>
      <c r="I213" s="40" t="n"/>
      <c r="J213" s="46">
        <f>IF(C213="","",IFERROR(INDEX('رصيد المخزن'!$H$5:$H$304,MATCH(C213,'رصيد المخزن'!$A$5:$A$304,0)),""))</f>
        <v/>
      </c>
      <c r="K213" s="49">
        <f>IF(C213="","",IF(N(J213)&lt;0,"صرف أكثر من الرصيد!",""))</f>
        <v/>
      </c>
    </row>
    <row r="214">
      <c r="A214" s="39">
        <f>IF(C214="","","ISS-"&amp;TEXT(ROW()-4,"0000"))</f>
        <v/>
      </c>
      <c r="B214" s="47" t="n"/>
      <c r="C214" s="50" t="n"/>
      <c r="D214" s="49">
        <f>IF(C214="","",IFERROR(INDEX('رصيد المخزن'!$B$5:$B$304,MATCH(C214,'رصيد المخزن'!$A$5:$A$304,0)),""))</f>
        <v/>
      </c>
      <c r="E214" s="39">
        <f>IF(C214="","",IFERROR(INDEX('رصيد المخزن'!$C$5:$C$304,MATCH(C214,'رصيد المخزن'!$A$5:$A$304,0)),""))</f>
        <v/>
      </c>
      <c r="F214" s="39">
        <f>IF(C214="","",IFERROR(INDEX('رصيد المخزن'!$D$5:$D$304,MATCH(C214,'رصيد المخزن'!$A$5:$A$304,0)),""))</f>
        <v/>
      </c>
      <c r="G214" s="41" t="n"/>
      <c r="H214" s="40" t="n"/>
      <c r="I214" s="40" t="n"/>
      <c r="J214" s="46">
        <f>IF(C214="","",IFERROR(INDEX('رصيد المخزن'!$H$5:$H$304,MATCH(C214,'رصيد المخزن'!$A$5:$A$304,0)),""))</f>
        <v/>
      </c>
      <c r="K214" s="49">
        <f>IF(C214="","",IF(N(J214)&lt;0,"صرف أكثر من الرصيد!",""))</f>
        <v/>
      </c>
    </row>
    <row r="215">
      <c r="A215" s="39">
        <f>IF(C215="","","ISS-"&amp;TEXT(ROW()-4,"0000"))</f>
        <v/>
      </c>
      <c r="B215" s="47" t="n"/>
      <c r="C215" s="50" t="n"/>
      <c r="D215" s="49">
        <f>IF(C215="","",IFERROR(INDEX('رصيد المخزن'!$B$5:$B$304,MATCH(C215,'رصيد المخزن'!$A$5:$A$304,0)),""))</f>
        <v/>
      </c>
      <c r="E215" s="39">
        <f>IF(C215="","",IFERROR(INDEX('رصيد المخزن'!$C$5:$C$304,MATCH(C215,'رصيد المخزن'!$A$5:$A$304,0)),""))</f>
        <v/>
      </c>
      <c r="F215" s="39">
        <f>IF(C215="","",IFERROR(INDEX('رصيد المخزن'!$D$5:$D$304,MATCH(C215,'رصيد المخزن'!$A$5:$A$304,0)),""))</f>
        <v/>
      </c>
      <c r="G215" s="41" t="n"/>
      <c r="H215" s="40" t="n"/>
      <c r="I215" s="40" t="n"/>
      <c r="J215" s="46">
        <f>IF(C215="","",IFERROR(INDEX('رصيد المخزن'!$H$5:$H$304,MATCH(C215,'رصيد المخزن'!$A$5:$A$304,0)),""))</f>
        <v/>
      </c>
      <c r="K215" s="49">
        <f>IF(C215="","",IF(N(J215)&lt;0,"صرف أكثر من الرصيد!",""))</f>
        <v/>
      </c>
    </row>
    <row r="216">
      <c r="A216" s="39">
        <f>IF(C216="","","ISS-"&amp;TEXT(ROW()-4,"0000"))</f>
        <v/>
      </c>
      <c r="B216" s="47" t="n"/>
      <c r="C216" s="50" t="n"/>
      <c r="D216" s="49">
        <f>IF(C216="","",IFERROR(INDEX('رصيد المخزن'!$B$5:$B$304,MATCH(C216,'رصيد المخزن'!$A$5:$A$304,0)),""))</f>
        <v/>
      </c>
      <c r="E216" s="39">
        <f>IF(C216="","",IFERROR(INDEX('رصيد المخزن'!$C$5:$C$304,MATCH(C216,'رصيد المخزن'!$A$5:$A$304,0)),""))</f>
        <v/>
      </c>
      <c r="F216" s="39">
        <f>IF(C216="","",IFERROR(INDEX('رصيد المخزن'!$D$5:$D$304,MATCH(C216,'رصيد المخزن'!$A$5:$A$304,0)),""))</f>
        <v/>
      </c>
      <c r="G216" s="41" t="n"/>
      <c r="H216" s="40" t="n"/>
      <c r="I216" s="40" t="n"/>
      <c r="J216" s="46">
        <f>IF(C216="","",IFERROR(INDEX('رصيد المخزن'!$H$5:$H$304,MATCH(C216,'رصيد المخزن'!$A$5:$A$304,0)),""))</f>
        <v/>
      </c>
      <c r="K216" s="49">
        <f>IF(C216="","",IF(N(J216)&lt;0,"صرف أكثر من الرصيد!",""))</f>
        <v/>
      </c>
    </row>
    <row r="217">
      <c r="A217" s="39">
        <f>IF(C217="","","ISS-"&amp;TEXT(ROW()-4,"0000"))</f>
        <v/>
      </c>
      <c r="B217" s="47" t="n"/>
      <c r="C217" s="50" t="n"/>
      <c r="D217" s="49">
        <f>IF(C217="","",IFERROR(INDEX('رصيد المخزن'!$B$5:$B$304,MATCH(C217,'رصيد المخزن'!$A$5:$A$304,0)),""))</f>
        <v/>
      </c>
      <c r="E217" s="39">
        <f>IF(C217="","",IFERROR(INDEX('رصيد المخزن'!$C$5:$C$304,MATCH(C217,'رصيد المخزن'!$A$5:$A$304,0)),""))</f>
        <v/>
      </c>
      <c r="F217" s="39">
        <f>IF(C217="","",IFERROR(INDEX('رصيد المخزن'!$D$5:$D$304,MATCH(C217,'رصيد المخزن'!$A$5:$A$304,0)),""))</f>
        <v/>
      </c>
      <c r="G217" s="41" t="n"/>
      <c r="H217" s="40" t="n"/>
      <c r="I217" s="40" t="n"/>
      <c r="J217" s="46">
        <f>IF(C217="","",IFERROR(INDEX('رصيد المخزن'!$H$5:$H$304,MATCH(C217,'رصيد المخزن'!$A$5:$A$304,0)),""))</f>
        <v/>
      </c>
      <c r="K217" s="49">
        <f>IF(C217="","",IF(N(J217)&lt;0,"صرف أكثر من الرصيد!",""))</f>
        <v/>
      </c>
    </row>
    <row r="218">
      <c r="A218" s="39">
        <f>IF(C218="","","ISS-"&amp;TEXT(ROW()-4,"0000"))</f>
        <v/>
      </c>
      <c r="B218" s="47" t="n"/>
      <c r="C218" s="50" t="n"/>
      <c r="D218" s="49">
        <f>IF(C218="","",IFERROR(INDEX('رصيد المخزن'!$B$5:$B$304,MATCH(C218,'رصيد المخزن'!$A$5:$A$304,0)),""))</f>
        <v/>
      </c>
      <c r="E218" s="39">
        <f>IF(C218="","",IFERROR(INDEX('رصيد المخزن'!$C$5:$C$304,MATCH(C218,'رصيد المخزن'!$A$5:$A$304,0)),""))</f>
        <v/>
      </c>
      <c r="F218" s="39">
        <f>IF(C218="","",IFERROR(INDEX('رصيد المخزن'!$D$5:$D$304,MATCH(C218,'رصيد المخزن'!$A$5:$A$304,0)),""))</f>
        <v/>
      </c>
      <c r="G218" s="41" t="n"/>
      <c r="H218" s="40" t="n"/>
      <c r="I218" s="40" t="n"/>
      <c r="J218" s="46">
        <f>IF(C218="","",IFERROR(INDEX('رصيد المخزن'!$H$5:$H$304,MATCH(C218,'رصيد المخزن'!$A$5:$A$304,0)),""))</f>
        <v/>
      </c>
      <c r="K218" s="49">
        <f>IF(C218="","",IF(N(J218)&lt;0,"صرف أكثر من الرصيد!",""))</f>
        <v/>
      </c>
    </row>
    <row r="219">
      <c r="A219" s="39">
        <f>IF(C219="","","ISS-"&amp;TEXT(ROW()-4,"0000"))</f>
        <v/>
      </c>
      <c r="B219" s="47" t="n"/>
      <c r="C219" s="50" t="n"/>
      <c r="D219" s="49">
        <f>IF(C219="","",IFERROR(INDEX('رصيد المخزن'!$B$5:$B$304,MATCH(C219,'رصيد المخزن'!$A$5:$A$304,0)),""))</f>
        <v/>
      </c>
      <c r="E219" s="39">
        <f>IF(C219="","",IFERROR(INDEX('رصيد المخزن'!$C$5:$C$304,MATCH(C219,'رصيد المخزن'!$A$5:$A$304,0)),""))</f>
        <v/>
      </c>
      <c r="F219" s="39">
        <f>IF(C219="","",IFERROR(INDEX('رصيد المخزن'!$D$5:$D$304,MATCH(C219,'رصيد المخزن'!$A$5:$A$304,0)),""))</f>
        <v/>
      </c>
      <c r="G219" s="41" t="n"/>
      <c r="H219" s="40" t="n"/>
      <c r="I219" s="40" t="n"/>
      <c r="J219" s="46">
        <f>IF(C219="","",IFERROR(INDEX('رصيد المخزن'!$H$5:$H$304,MATCH(C219,'رصيد المخزن'!$A$5:$A$304,0)),""))</f>
        <v/>
      </c>
      <c r="K219" s="49">
        <f>IF(C219="","",IF(N(J219)&lt;0,"صرف أكثر من الرصيد!",""))</f>
        <v/>
      </c>
    </row>
    <row r="220">
      <c r="A220" s="39">
        <f>IF(C220="","","ISS-"&amp;TEXT(ROW()-4,"0000"))</f>
        <v/>
      </c>
      <c r="B220" s="47" t="n"/>
      <c r="C220" s="50" t="n"/>
      <c r="D220" s="49">
        <f>IF(C220="","",IFERROR(INDEX('رصيد المخزن'!$B$5:$B$304,MATCH(C220,'رصيد المخزن'!$A$5:$A$304,0)),""))</f>
        <v/>
      </c>
      <c r="E220" s="39">
        <f>IF(C220="","",IFERROR(INDEX('رصيد المخزن'!$C$5:$C$304,MATCH(C220,'رصيد المخزن'!$A$5:$A$304,0)),""))</f>
        <v/>
      </c>
      <c r="F220" s="39">
        <f>IF(C220="","",IFERROR(INDEX('رصيد المخزن'!$D$5:$D$304,MATCH(C220,'رصيد المخزن'!$A$5:$A$304,0)),""))</f>
        <v/>
      </c>
      <c r="G220" s="41" t="n"/>
      <c r="H220" s="40" t="n"/>
      <c r="I220" s="40" t="n"/>
      <c r="J220" s="46">
        <f>IF(C220="","",IFERROR(INDEX('رصيد المخزن'!$H$5:$H$304,MATCH(C220,'رصيد المخزن'!$A$5:$A$304,0)),""))</f>
        <v/>
      </c>
      <c r="K220" s="49">
        <f>IF(C220="","",IF(N(J220)&lt;0,"صرف أكثر من الرصيد!",""))</f>
        <v/>
      </c>
    </row>
    <row r="221">
      <c r="A221" s="39">
        <f>IF(C221="","","ISS-"&amp;TEXT(ROW()-4,"0000"))</f>
        <v/>
      </c>
      <c r="B221" s="47" t="n"/>
      <c r="C221" s="50" t="n"/>
      <c r="D221" s="49">
        <f>IF(C221="","",IFERROR(INDEX('رصيد المخزن'!$B$5:$B$304,MATCH(C221,'رصيد المخزن'!$A$5:$A$304,0)),""))</f>
        <v/>
      </c>
      <c r="E221" s="39">
        <f>IF(C221="","",IFERROR(INDEX('رصيد المخزن'!$C$5:$C$304,MATCH(C221,'رصيد المخزن'!$A$5:$A$304,0)),""))</f>
        <v/>
      </c>
      <c r="F221" s="39">
        <f>IF(C221="","",IFERROR(INDEX('رصيد المخزن'!$D$5:$D$304,MATCH(C221,'رصيد المخزن'!$A$5:$A$304,0)),""))</f>
        <v/>
      </c>
      <c r="G221" s="41" t="n"/>
      <c r="H221" s="40" t="n"/>
      <c r="I221" s="40" t="n"/>
      <c r="J221" s="46">
        <f>IF(C221="","",IFERROR(INDEX('رصيد المخزن'!$H$5:$H$304,MATCH(C221,'رصيد المخزن'!$A$5:$A$304,0)),""))</f>
        <v/>
      </c>
      <c r="K221" s="49">
        <f>IF(C221="","",IF(N(J221)&lt;0,"صرف أكثر من الرصيد!",""))</f>
        <v/>
      </c>
    </row>
    <row r="222">
      <c r="A222" s="39">
        <f>IF(C222="","","ISS-"&amp;TEXT(ROW()-4,"0000"))</f>
        <v/>
      </c>
      <c r="B222" s="47" t="n"/>
      <c r="C222" s="50" t="n"/>
      <c r="D222" s="49">
        <f>IF(C222="","",IFERROR(INDEX('رصيد المخزن'!$B$5:$B$304,MATCH(C222,'رصيد المخزن'!$A$5:$A$304,0)),""))</f>
        <v/>
      </c>
      <c r="E222" s="39">
        <f>IF(C222="","",IFERROR(INDEX('رصيد المخزن'!$C$5:$C$304,MATCH(C222,'رصيد المخزن'!$A$5:$A$304,0)),""))</f>
        <v/>
      </c>
      <c r="F222" s="39">
        <f>IF(C222="","",IFERROR(INDEX('رصيد المخزن'!$D$5:$D$304,MATCH(C222,'رصيد المخزن'!$A$5:$A$304,0)),""))</f>
        <v/>
      </c>
      <c r="G222" s="41" t="n"/>
      <c r="H222" s="40" t="n"/>
      <c r="I222" s="40" t="n"/>
      <c r="J222" s="46">
        <f>IF(C222="","",IFERROR(INDEX('رصيد المخزن'!$H$5:$H$304,MATCH(C222,'رصيد المخزن'!$A$5:$A$304,0)),""))</f>
        <v/>
      </c>
      <c r="K222" s="49">
        <f>IF(C222="","",IF(N(J222)&lt;0,"صرف أكثر من الرصيد!",""))</f>
        <v/>
      </c>
    </row>
    <row r="223">
      <c r="A223" s="39">
        <f>IF(C223="","","ISS-"&amp;TEXT(ROW()-4,"0000"))</f>
        <v/>
      </c>
      <c r="B223" s="47" t="n"/>
      <c r="C223" s="50" t="n"/>
      <c r="D223" s="49">
        <f>IF(C223="","",IFERROR(INDEX('رصيد المخزن'!$B$5:$B$304,MATCH(C223,'رصيد المخزن'!$A$5:$A$304,0)),""))</f>
        <v/>
      </c>
      <c r="E223" s="39">
        <f>IF(C223="","",IFERROR(INDEX('رصيد المخزن'!$C$5:$C$304,MATCH(C223,'رصيد المخزن'!$A$5:$A$304,0)),""))</f>
        <v/>
      </c>
      <c r="F223" s="39">
        <f>IF(C223="","",IFERROR(INDEX('رصيد المخزن'!$D$5:$D$304,MATCH(C223,'رصيد المخزن'!$A$5:$A$304,0)),""))</f>
        <v/>
      </c>
      <c r="G223" s="41" t="n"/>
      <c r="H223" s="40" t="n"/>
      <c r="I223" s="40" t="n"/>
      <c r="J223" s="46">
        <f>IF(C223="","",IFERROR(INDEX('رصيد المخزن'!$H$5:$H$304,MATCH(C223,'رصيد المخزن'!$A$5:$A$304,0)),""))</f>
        <v/>
      </c>
      <c r="K223" s="49">
        <f>IF(C223="","",IF(N(J223)&lt;0,"صرف أكثر من الرصيد!",""))</f>
        <v/>
      </c>
    </row>
    <row r="224">
      <c r="A224" s="39">
        <f>IF(C224="","","ISS-"&amp;TEXT(ROW()-4,"0000"))</f>
        <v/>
      </c>
      <c r="B224" s="47" t="n"/>
      <c r="C224" s="50" t="n"/>
      <c r="D224" s="49">
        <f>IF(C224="","",IFERROR(INDEX('رصيد المخزن'!$B$5:$B$304,MATCH(C224,'رصيد المخزن'!$A$5:$A$304,0)),""))</f>
        <v/>
      </c>
      <c r="E224" s="39">
        <f>IF(C224="","",IFERROR(INDEX('رصيد المخزن'!$C$5:$C$304,MATCH(C224,'رصيد المخزن'!$A$5:$A$304,0)),""))</f>
        <v/>
      </c>
      <c r="F224" s="39">
        <f>IF(C224="","",IFERROR(INDEX('رصيد المخزن'!$D$5:$D$304,MATCH(C224,'رصيد المخزن'!$A$5:$A$304,0)),""))</f>
        <v/>
      </c>
      <c r="G224" s="41" t="n"/>
      <c r="H224" s="40" t="n"/>
      <c r="I224" s="40" t="n"/>
      <c r="J224" s="46">
        <f>IF(C224="","",IFERROR(INDEX('رصيد المخزن'!$H$5:$H$304,MATCH(C224,'رصيد المخزن'!$A$5:$A$304,0)),""))</f>
        <v/>
      </c>
      <c r="K224" s="49">
        <f>IF(C224="","",IF(N(J224)&lt;0,"صرف أكثر من الرصيد!",""))</f>
        <v/>
      </c>
    </row>
    <row r="225">
      <c r="A225" s="39">
        <f>IF(C225="","","ISS-"&amp;TEXT(ROW()-4,"0000"))</f>
        <v/>
      </c>
      <c r="B225" s="47" t="n"/>
      <c r="C225" s="50" t="n"/>
      <c r="D225" s="49">
        <f>IF(C225="","",IFERROR(INDEX('رصيد المخزن'!$B$5:$B$304,MATCH(C225,'رصيد المخزن'!$A$5:$A$304,0)),""))</f>
        <v/>
      </c>
      <c r="E225" s="39">
        <f>IF(C225="","",IFERROR(INDEX('رصيد المخزن'!$C$5:$C$304,MATCH(C225,'رصيد المخزن'!$A$5:$A$304,0)),""))</f>
        <v/>
      </c>
      <c r="F225" s="39">
        <f>IF(C225="","",IFERROR(INDEX('رصيد المخزن'!$D$5:$D$304,MATCH(C225,'رصيد المخزن'!$A$5:$A$304,0)),""))</f>
        <v/>
      </c>
      <c r="G225" s="41" t="n"/>
      <c r="H225" s="40" t="n"/>
      <c r="I225" s="40" t="n"/>
      <c r="J225" s="46">
        <f>IF(C225="","",IFERROR(INDEX('رصيد المخزن'!$H$5:$H$304,MATCH(C225,'رصيد المخزن'!$A$5:$A$304,0)),""))</f>
        <v/>
      </c>
      <c r="K225" s="49">
        <f>IF(C225="","",IF(N(J225)&lt;0,"صرف أكثر من الرصيد!",""))</f>
        <v/>
      </c>
    </row>
    <row r="226">
      <c r="A226" s="39">
        <f>IF(C226="","","ISS-"&amp;TEXT(ROW()-4,"0000"))</f>
        <v/>
      </c>
      <c r="B226" s="47" t="n"/>
      <c r="C226" s="50" t="n"/>
      <c r="D226" s="49">
        <f>IF(C226="","",IFERROR(INDEX('رصيد المخزن'!$B$5:$B$304,MATCH(C226,'رصيد المخزن'!$A$5:$A$304,0)),""))</f>
        <v/>
      </c>
      <c r="E226" s="39">
        <f>IF(C226="","",IFERROR(INDEX('رصيد المخزن'!$C$5:$C$304,MATCH(C226,'رصيد المخزن'!$A$5:$A$304,0)),""))</f>
        <v/>
      </c>
      <c r="F226" s="39">
        <f>IF(C226="","",IFERROR(INDEX('رصيد المخزن'!$D$5:$D$304,MATCH(C226,'رصيد المخزن'!$A$5:$A$304,0)),""))</f>
        <v/>
      </c>
      <c r="G226" s="41" t="n"/>
      <c r="H226" s="40" t="n"/>
      <c r="I226" s="40" t="n"/>
      <c r="J226" s="46">
        <f>IF(C226="","",IFERROR(INDEX('رصيد المخزن'!$H$5:$H$304,MATCH(C226,'رصيد المخزن'!$A$5:$A$304,0)),""))</f>
        <v/>
      </c>
      <c r="K226" s="49">
        <f>IF(C226="","",IF(N(J226)&lt;0,"صرف أكثر من الرصيد!",""))</f>
        <v/>
      </c>
    </row>
    <row r="227">
      <c r="A227" s="39">
        <f>IF(C227="","","ISS-"&amp;TEXT(ROW()-4,"0000"))</f>
        <v/>
      </c>
      <c r="B227" s="47" t="n"/>
      <c r="C227" s="50" t="n"/>
      <c r="D227" s="49">
        <f>IF(C227="","",IFERROR(INDEX('رصيد المخزن'!$B$5:$B$304,MATCH(C227,'رصيد المخزن'!$A$5:$A$304,0)),""))</f>
        <v/>
      </c>
      <c r="E227" s="39">
        <f>IF(C227="","",IFERROR(INDEX('رصيد المخزن'!$C$5:$C$304,MATCH(C227,'رصيد المخزن'!$A$5:$A$304,0)),""))</f>
        <v/>
      </c>
      <c r="F227" s="39">
        <f>IF(C227="","",IFERROR(INDEX('رصيد المخزن'!$D$5:$D$304,MATCH(C227,'رصيد المخزن'!$A$5:$A$304,0)),""))</f>
        <v/>
      </c>
      <c r="G227" s="41" t="n"/>
      <c r="H227" s="40" t="n"/>
      <c r="I227" s="40" t="n"/>
      <c r="J227" s="46">
        <f>IF(C227="","",IFERROR(INDEX('رصيد المخزن'!$H$5:$H$304,MATCH(C227,'رصيد المخزن'!$A$5:$A$304,0)),""))</f>
        <v/>
      </c>
      <c r="K227" s="49">
        <f>IF(C227="","",IF(N(J227)&lt;0,"صرف أكثر من الرصيد!",""))</f>
        <v/>
      </c>
    </row>
    <row r="228">
      <c r="A228" s="39">
        <f>IF(C228="","","ISS-"&amp;TEXT(ROW()-4,"0000"))</f>
        <v/>
      </c>
      <c r="B228" s="47" t="n"/>
      <c r="C228" s="50" t="n"/>
      <c r="D228" s="49">
        <f>IF(C228="","",IFERROR(INDEX('رصيد المخزن'!$B$5:$B$304,MATCH(C228,'رصيد المخزن'!$A$5:$A$304,0)),""))</f>
        <v/>
      </c>
      <c r="E228" s="39">
        <f>IF(C228="","",IFERROR(INDEX('رصيد المخزن'!$C$5:$C$304,MATCH(C228,'رصيد المخزن'!$A$5:$A$304,0)),""))</f>
        <v/>
      </c>
      <c r="F228" s="39">
        <f>IF(C228="","",IFERROR(INDEX('رصيد المخزن'!$D$5:$D$304,MATCH(C228,'رصيد المخزن'!$A$5:$A$304,0)),""))</f>
        <v/>
      </c>
      <c r="G228" s="41" t="n"/>
      <c r="H228" s="40" t="n"/>
      <c r="I228" s="40" t="n"/>
      <c r="J228" s="46">
        <f>IF(C228="","",IFERROR(INDEX('رصيد المخزن'!$H$5:$H$304,MATCH(C228,'رصيد المخزن'!$A$5:$A$304,0)),""))</f>
        <v/>
      </c>
      <c r="K228" s="49">
        <f>IF(C228="","",IF(N(J228)&lt;0,"صرف أكثر من الرصيد!",""))</f>
        <v/>
      </c>
    </row>
    <row r="229">
      <c r="A229" s="39">
        <f>IF(C229="","","ISS-"&amp;TEXT(ROW()-4,"0000"))</f>
        <v/>
      </c>
      <c r="B229" s="47" t="n"/>
      <c r="C229" s="50" t="n"/>
      <c r="D229" s="49">
        <f>IF(C229="","",IFERROR(INDEX('رصيد المخزن'!$B$5:$B$304,MATCH(C229,'رصيد المخزن'!$A$5:$A$304,0)),""))</f>
        <v/>
      </c>
      <c r="E229" s="39">
        <f>IF(C229="","",IFERROR(INDEX('رصيد المخزن'!$C$5:$C$304,MATCH(C229,'رصيد المخزن'!$A$5:$A$304,0)),""))</f>
        <v/>
      </c>
      <c r="F229" s="39">
        <f>IF(C229="","",IFERROR(INDEX('رصيد المخزن'!$D$5:$D$304,MATCH(C229,'رصيد المخزن'!$A$5:$A$304,0)),""))</f>
        <v/>
      </c>
      <c r="G229" s="41" t="n"/>
      <c r="H229" s="40" t="n"/>
      <c r="I229" s="40" t="n"/>
      <c r="J229" s="46">
        <f>IF(C229="","",IFERROR(INDEX('رصيد المخزن'!$H$5:$H$304,MATCH(C229,'رصيد المخزن'!$A$5:$A$304,0)),""))</f>
        <v/>
      </c>
      <c r="K229" s="49">
        <f>IF(C229="","",IF(N(J229)&lt;0,"صرف أكثر من الرصيد!",""))</f>
        <v/>
      </c>
    </row>
    <row r="230">
      <c r="A230" s="39">
        <f>IF(C230="","","ISS-"&amp;TEXT(ROW()-4,"0000"))</f>
        <v/>
      </c>
      <c r="B230" s="47" t="n"/>
      <c r="C230" s="50" t="n"/>
      <c r="D230" s="49">
        <f>IF(C230="","",IFERROR(INDEX('رصيد المخزن'!$B$5:$B$304,MATCH(C230,'رصيد المخزن'!$A$5:$A$304,0)),""))</f>
        <v/>
      </c>
      <c r="E230" s="39">
        <f>IF(C230="","",IFERROR(INDEX('رصيد المخزن'!$C$5:$C$304,MATCH(C230,'رصيد المخزن'!$A$5:$A$304,0)),""))</f>
        <v/>
      </c>
      <c r="F230" s="39">
        <f>IF(C230="","",IFERROR(INDEX('رصيد المخزن'!$D$5:$D$304,MATCH(C230,'رصيد المخزن'!$A$5:$A$304,0)),""))</f>
        <v/>
      </c>
      <c r="G230" s="41" t="n"/>
      <c r="H230" s="40" t="n"/>
      <c r="I230" s="40" t="n"/>
      <c r="J230" s="46">
        <f>IF(C230="","",IFERROR(INDEX('رصيد المخزن'!$H$5:$H$304,MATCH(C230,'رصيد المخزن'!$A$5:$A$304,0)),""))</f>
        <v/>
      </c>
      <c r="K230" s="49">
        <f>IF(C230="","",IF(N(J230)&lt;0,"صرف أكثر من الرصيد!",""))</f>
        <v/>
      </c>
    </row>
    <row r="231">
      <c r="A231" s="39">
        <f>IF(C231="","","ISS-"&amp;TEXT(ROW()-4,"0000"))</f>
        <v/>
      </c>
      <c r="B231" s="47" t="n"/>
      <c r="C231" s="50" t="n"/>
      <c r="D231" s="49">
        <f>IF(C231="","",IFERROR(INDEX('رصيد المخزن'!$B$5:$B$304,MATCH(C231,'رصيد المخزن'!$A$5:$A$304,0)),""))</f>
        <v/>
      </c>
      <c r="E231" s="39">
        <f>IF(C231="","",IFERROR(INDEX('رصيد المخزن'!$C$5:$C$304,MATCH(C231,'رصيد المخزن'!$A$5:$A$304,0)),""))</f>
        <v/>
      </c>
      <c r="F231" s="39">
        <f>IF(C231="","",IFERROR(INDEX('رصيد المخزن'!$D$5:$D$304,MATCH(C231,'رصيد المخزن'!$A$5:$A$304,0)),""))</f>
        <v/>
      </c>
      <c r="G231" s="41" t="n"/>
      <c r="H231" s="40" t="n"/>
      <c r="I231" s="40" t="n"/>
      <c r="J231" s="46">
        <f>IF(C231="","",IFERROR(INDEX('رصيد المخزن'!$H$5:$H$304,MATCH(C231,'رصيد المخزن'!$A$5:$A$304,0)),""))</f>
        <v/>
      </c>
      <c r="K231" s="49">
        <f>IF(C231="","",IF(N(J231)&lt;0,"صرف أكثر من الرصيد!",""))</f>
        <v/>
      </c>
    </row>
    <row r="232">
      <c r="A232" s="39">
        <f>IF(C232="","","ISS-"&amp;TEXT(ROW()-4,"0000"))</f>
        <v/>
      </c>
      <c r="B232" s="47" t="n"/>
      <c r="C232" s="50" t="n"/>
      <c r="D232" s="49">
        <f>IF(C232="","",IFERROR(INDEX('رصيد المخزن'!$B$5:$B$304,MATCH(C232,'رصيد المخزن'!$A$5:$A$304,0)),""))</f>
        <v/>
      </c>
      <c r="E232" s="39">
        <f>IF(C232="","",IFERROR(INDEX('رصيد المخزن'!$C$5:$C$304,MATCH(C232,'رصيد المخزن'!$A$5:$A$304,0)),""))</f>
        <v/>
      </c>
      <c r="F232" s="39">
        <f>IF(C232="","",IFERROR(INDEX('رصيد المخزن'!$D$5:$D$304,MATCH(C232,'رصيد المخزن'!$A$5:$A$304,0)),""))</f>
        <v/>
      </c>
      <c r="G232" s="41" t="n"/>
      <c r="H232" s="40" t="n"/>
      <c r="I232" s="40" t="n"/>
      <c r="J232" s="46">
        <f>IF(C232="","",IFERROR(INDEX('رصيد المخزن'!$H$5:$H$304,MATCH(C232,'رصيد المخزن'!$A$5:$A$304,0)),""))</f>
        <v/>
      </c>
      <c r="K232" s="49">
        <f>IF(C232="","",IF(N(J232)&lt;0,"صرف أكثر من الرصيد!",""))</f>
        <v/>
      </c>
    </row>
    <row r="233">
      <c r="A233" s="39">
        <f>IF(C233="","","ISS-"&amp;TEXT(ROW()-4,"0000"))</f>
        <v/>
      </c>
      <c r="B233" s="47" t="n"/>
      <c r="C233" s="50" t="n"/>
      <c r="D233" s="49">
        <f>IF(C233="","",IFERROR(INDEX('رصيد المخزن'!$B$5:$B$304,MATCH(C233,'رصيد المخزن'!$A$5:$A$304,0)),""))</f>
        <v/>
      </c>
      <c r="E233" s="39">
        <f>IF(C233="","",IFERROR(INDEX('رصيد المخزن'!$C$5:$C$304,MATCH(C233,'رصيد المخزن'!$A$5:$A$304,0)),""))</f>
        <v/>
      </c>
      <c r="F233" s="39">
        <f>IF(C233="","",IFERROR(INDEX('رصيد المخزن'!$D$5:$D$304,MATCH(C233,'رصيد المخزن'!$A$5:$A$304,0)),""))</f>
        <v/>
      </c>
      <c r="G233" s="41" t="n"/>
      <c r="H233" s="40" t="n"/>
      <c r="I233" s="40" t="n"/>
      <c r="J233" s="46">
        <f>IF(C233="","",IFERROR(INDEX('رصيد المخزن'!$H$5:$H$304,MATCH(C233,'رصيد المخزن'!$A$5:$A$304,0)),""))</f>
        <v/>
      </c>
      <c r="K233" s="49">
        <f>IF(C233="","",IF(N(J233)&lt;0,"صرف أكثر من الرصيد!",""))</f>
        <v/>
      </c>
    </row>
    <row r="234">
      <c r="A234" s="39">
        <f>IF(C234="","","ISS-"&amp;TEXT(ROW()-4,"0000"))</f>
        <v/>
      </c>
      <c r="B234" s="47" t="n"/>
      <c r="C234" s="50" t="n"/>
      <c r="D234" s="49">
        <f>IF(C234="","",IFERROR(INDEX('رصيد المخزن'!$B$5:$B$304,MATCH(C234,'رصيد المخزن'!$A$5:$A$304,0)),""))</f>
        <v/>
      </c>
      <c r="E234" s="39">
        <f>IF(C234="","",IFERROR(INDEX('رصيد المخزن'!$C$5:$C$304,MATCH(C234,'رصيد المخزن'!$A$5:$A$304,0)),""))</f>
        <v/>
      </c>
      <c r="F234" s="39">
        <f>IF(C234="","",IFERROR(INDEX('رصيد المخزن'!$D$5:$D$304,MATCH(C234,'رصيد المخزن'!$A$5:$A$304,0)),""))</f>
        <v/>
      </c>
      <c r="G234" s="41" t="n"/>
      <c r="H234" s="40" t="n"/>
      <c r="I234" s="40" t="n"/>
      <c r="J234" s="46">
        <f>IF(C234="","",IFERROR(INDEX('رصيد المخزن'!$H$5:$H$304,MATCH(C234,'رصيد المخزن'!$A$5:$A$304,0)),""))</f>
        <v/>
      </c>
      <c r="K234" s="49">
        <f>IF(C234="","",IF(N(J234)&lt;0,"صرف أكثر من الرصيد!",""))</f>
        <v/>
      </c>
    </row>
    <row r="235">
      <c r="A235" s="39">
        <f>IF(C235="","","ISS-"&amp;TEXT(ROW()-4,"0000"))</f>
        <v/>
      </c>
      <c r="B235" s="47" t="n"/>
      <c r="C235" s="50" t="n"/>
      <c r="D235" s="49">
        <f>IF(C235="","",IFERROR(INDEX('رصيد المخزن'!$B$5:$B$304,MATCH(C235,'رصيد المخزن'!$A$5:$A$304,0)),""))</f>
        <v/>
      </c>
      <c r="E235" s="39">
        <f>IF(C235="","",IFERROR(INDEX('رصيد المخزن'!$C$5:$C$304,MATCH(C235,'رصيد المخزن'!$A$5:$A$304,0)),""))</f>
        <v/>
      </c>
      <c r="F235" s="39">
        <f>IF(C235="","",IFERROR(INDEX('رصيد المخزن'!$D$5:$D$304,MATCH(C235,'رصيد المخزن'!$A$5:$A$304,0)),""))</f>
        <v/>
      </c>
      <c r="G235" s="41" t="n"/>
      <c r="H235" s="40" t="n"/>
      <c r="I235" s="40" t="n"/>
      <c r="J235" s="46">
        <f>IF(C235="","",IFERROR(INDEX('رصيد المخزن'!$H$5:$H$304,MATCH(C235,'رصيد المخزن'!$A$5:$A$304,0)),""))</f>
        <v/>
      </c>
      <c r="K235" s="49">
        <f>IF(C235="","",IF(N(J235)&lt;0,"صرف أكثر من الرصيد!",""))</f>
        <v/>
      </c>
    </row>
    <row r="236">
      <c r="A236" s="39">
        <f>IF(C236="","","ISS-"&amp;TEXT(ROW()-4,"0000"))</f>
        <v/>
      </c>
      <c r="B236" s="47" t="n"/>
      <c r="C236" s="50" t="n"/>
      <c r="D236" s="49">
        <f>IF(C236="","",IFERROR(INDEX('رصيد المخزن'!$B$5:$B$304,MATCH(C236,'رصيد المخزن'!$A$5:$A$304,0)),""))</f>
        <v/>
      </c>
      <c r="E236" s="39">
        <f>IF(C236="","",IFERROR(INDEX('رصيد المخزن'!$C$5:$C$304,MATCH(C236,'رصيد المخزن'!$A$5:$A$304,0)),""))</f>
        <v/>
      </c>
      <c r="F236" s="39">
        <f>IF(C236="","",IFERROR(INDEX('رصيد المخزن'!$D$5:$D$304,MATCH(C236,'رصيد المخزن'!$A$5:$A$304,0)),""))</f>
        <v/>
      </c>
      <c r="G236" s="41" t="n"/>
      <c r="H236" s="40" t="n"/>
      <c r="I236" s="40" t="n"/>
      <c r="J236" s="46">
        <f>IF(C236="","",IFERROR(INDEX('رصيد المخزن'!$H$5:$H$304,MATCH(C236,'رصيد المخزن'!$A$5:$A$304,0)),""))</f>
        <v/>
      </c>
      <c r="K236" s="49">
        <f>IF(C236="","",IF(N(J236)&lt;0,"صرف أكثر من الرصيد!",""))</f>
        <v/>
      </c>
    </row>
    <row r="237">
      <c r="A237" s="39">
        <f>IF(C237="","","ISS-"&amp;TEXT(ROW()-4,"0000"))</f>
        <v/>
      </c>
      <c r="B237" s="47" t="n"/>
      <c r="C237" s="50" t="n"/>
      <c r="D237" s="49">
        <f>IF(C237="","",IFERROR(INDEX('رصيد المخزن'!$B$5:$B$304,MATCH(C237,'رصيد المخزن'!$A$5:$A$304,0)),""))</f>
        <v/>
      </c>
      <c r="E237" s="39">
        <f>IF(C237="","",IFERROR(INDEX('رصيد المخزن'!$C$5:$C$304,MATCH(C237,'رصيد المخزن'!$A$5:$A$304,0)),""))</f>
        <v/>
      </c>
      <c r="F237" s="39">
        <f>IF(C237="","",IFERROR(INDEX('رصيد المخزن'!$D$5:$D$304,MATCH(C237,'رصيد المخزن'!$A$5:$A$304,0)),""))</f>
        <v/>
      </c>
      <c r="G237" s="41" t="n"/>
      <c r="H237" s="40" t="n"/>
      <c r="I237" s="40" t="n"/>
      <c r="J237" s="46">
        <f>IF(C237="","",IFERROR(INDEX('رصيد المخزن'!$H$5:$H$304,MATCH(C237,'رصيد المخزن'!$A$5:$A$304,0)),""))</f>
        <v/>
      </c>
      <c r="K237" s="49">
        <f>IF(C237="","",IF(N(J237)&lt;0,"صرف أكثر من الرصيد!",""))</f>
        <v/>
      </c>
    </row>
    <row r="238">
      <c r="A238" s="39">
        <f>IF(C238="","","ISS-"&amp;TEXT(ROW()-4,"0000"))</f>
        <v/>
      </c>
      <c r="B238" s="47" t="n"/>
      <c r="C238" s="50" t="n"/>
      <c r="D238" s="49">
        <f>IF(C238="","",IFERROR(INDEX('رصيد المخزن'!$B$5:$B$304,MATCH(C238,'رصيد المخزن'!$A$5:$A$304,0)),""))</f>
        <v/>
      </c>
      <c r="E238" s="39">
        <f>IF(C238="","",IFERROR(INDEX('رصيد المخزن'!$C$5:$C$304,MATCH(C238,'رصيد المخزن'!$A$5:$A$304,0)),""))</f>
        <v/>
      </c>
      <c r="F238" s="39">
        <f>IF(C238="","",IFERROR(INDEX('رصيد المخزن'!$D$5:$D$304,MATCH(C238,'رصيد المخزن'!$A$5:$A$304,0)),""))</f>
        <v/>
      </c>
      <c r="G238" s="41" t="n"/>
      <c r="H238" s="40" t="n"/>
      <c r="I238" s="40" t="n"/>
      <c r="J238" s="46">
        <f>IF(C238="","",IFERROR(INDEX('رصيد المخزن'!$H$5:$H$304,MATCH(C238,'رصيد المخزن'!$A$5:$A$304,0)),""))</f>
        <v/>
      </c>
      <c r="K238" s="49">
        <f>IF(C238="","",IF(N(J238)&lt;0,"صرف أكثر من الرصيد!",""))</f>
        <v/>
      </c>
    </row>
    <row r="239">
      <c r="A239" s="39">
        <f>IF(C239="","","ISS-"&amp;TEXT(ROW()-4,"0000"))</f>
        <v/>
      </c>
      <c r="B239" s="47" t="n"/>
      <c r="C239" s="50" t="n"/>
      <c r="D239" s="49">
        <f>IF(C239="","",IFERROR(INDEX('رصيد المخزن'!$B$5:$B$304,MATCH(C239,'رصيد المخزن'!$A$5:$A$304,0)),""))</f>
        <v/>
      </c>
      <c r="E239" s="39">
        <f>IF(C239="","",IFERROR(INDEX('رصيد المخزن'!$C$5:$C$304,MATCH(C239,'رصيد المخزن'!$A$5:$A$304,0)),""))</f>
        <v/>
      </c>
      <c r="F239" s="39">
        <f>IF(C239="","",IFERROR(INDEX('رصيد المخزن'!$D$5:$D$304,MATCH(C239,'رصيد المخزن'!$A$5:$A$304,0)),""))</f>
        <v/>
      </c>
      <c r="G239" s="41" t="n"/>
      <c r="H239" s="40" t="n"/>
      <c r="I239" s="40" t="n"/>
      <c r="J239" s="46">
        <f>IF(C239="","",IFERROR(INDEX('رصيد المخزن'!$H$5:$H$304,MATCH(C239,'رصيد المخزن'!$A$5:$A$304,0)),""))</f>
        <v/>
      </c>
      <c r="K239" s="49">
        <f>IF(C239="","",IF(N(J239)&lt;0,"صرف أكثر من الرصيد!",""))</f>
        <v/>
      </c>
    </row>
    <row r="240">
      <c r="A240" s="39">
        <f>IF(C240="","","ISS-"&amp;TEXT(ROW()-4,"0000"))</f>
        <v/>
      </c>
      <c r="B240" s="47" t="n"/>
      <c r="C240" s="50" t="n"/>
      <c r="D240" s="49">
        <f>IF(C240="","",IFERROR(INDEX('رصيد المخزن'!$B$5:$B$304,MATCH(C240,'رصيد المخزن'!$A$5:$A$304,0)),""))</f>
        <v/>
      </c>
      <c r="E240" s="39">
        <f>IF(C240="","",IFERROR(INDEX('رصيد المخزن'!$C$5:$C$304,MATCH(C240,'رصيد المخزن'!$A$5:$A$304,0)),""))</f>
        <v/>
      </c>
      <c r="F240" s="39">
        <f>IF(C240="","",IFERROR(INDEX('رصيد المخزن'!$D$5:$D$304,MATCH(C240,'رصيد المخزن'!$A$5:$A$304,0)),""))</f>
        <v/>
      </c>
      <c r="G240" s="41" t="n"/>
      <c r="H240" s="40" t="n"/>
      <c r="I240" s="40" t="n"/>
      <c r="J240" s="46">
        <f>IF(C240="","",IFERROR(INDEX('رصيد المخزن'!$H$5:$H$304,MATCH(C240,'رصيد المخزن'!$A$5:$A$304,0)),""))</f>
        <v/>
      </c>
      <c r="K240" s="49">
        <f>IF(C240="","",IF(N(J240)&lt;0,"صرف أكثر من الرصيد!",""))</f>
        <v/>
      </c>
    </row>
    <row r="241">
      <c r="A241" s="39">
        <f>IF(C241="","","ISS-"&amp;TEXT(ROW()-4,"0000"))</f>
        <v/>
      </c>
      <c r="B241" s="47" t="n"/>
      <c r="C241" s="50" t="n"/>
      <c r="D241" s="49">
        <f>IF(C241="","",IFERROR(INDEX('رصيد المخزن'!$B$5:$B$304,MATCH(C241,'رصيد المخزن'!$A$5:$A$304,0)),""))</f>
        <v/>
      </c>
      <c r="E241" s="39">
        <f>IF(C241="","",IFERROR(INDEX('رصيد المخزن'!$C$5:$C$304,MATCH(C241,'رصيد المخزن'!$A$5:$A$304,0)),""))</f>
        <v/>
      </c>
      <c r="F241" s="39">
        <f>IF(C241="","",IFERROR(INDEX('رصيد المخزن'!$D$5:$D$304,MATCH(C241,'رصيد المخزن'!$A$5:$A$304,0)),""))</f>
        <v/>
      </c>
      <c r="G241" s="41" t="n"/>
      <c r="H241" s="40" t="n"/>
      <c r="I241" s="40" t="n"/>
      <c r="J241" s="46">
        <f>IF(C241="","",IFERROR(INDEX('رصيد المخزن'!$H$5:$H$304,MATCH(C241,'رصيد المخزن'!$A$5:$A$304,0)),""))</f>
        <v/>
      </c>
      <c r="K241" s="49">
        <f>IF(C241="","",IF(N(J241)&lt;0,"صرف أكثر من الرصيد!",""))</f>
        <v/>
      </c>
    </row>
    <row r="242">
      <c r="A242" s="39">
        <f>IF(C242="","","ISS-"&amp;TEXT(ROW()-4,"0000"))</f>
        <v/>
      </c>
      <c r="B242" s="47" t="n"/>
      <c r="C242" s="50" t="n"/>
      <c r="D242" s="49">
        <f>IF(C242="","",IFERROR(INDEX('رصيد المخزن'!$B$5:$B$304,MATCH(C242,'رصيد المخزن'!$A$5:$A$304,0)),""))</f>
        <v/>
      </c>
      <c r="E242" s="39">
        <f>IF(C242="","",IFERROR(INDEX('رصيد المخزن'!$C$5:$C$304,MATCH(C242,'رصيد المخزن'!$A$5:$A$304,0)),""))</f>
        <v/>
      </c>
      <c r="F242" s="39">
        <f>IF(C242="","",IFERROR(INDEX('رصيد المخزن'!$D$5:$D$304,MATCH(C242,'رصيد المخزن'!$A$5:$A$304,0)),""))</f>
        <v/>
      </c>
      <c r="G242" s="41" t="n"/>
      <c r="H242" s="40" t="n"/>
      <c r="I242" s="40" t="n"/>
      <c r="J242" s="46">
        <f>IF(C242="","",IFERROR(INDEX('رصيد المخزن'!$H$5:$H$304,MATCH(C242,'رصيد المخزن'!$A$5:$A$304,0)),""))</f>
        <v/>
      </c>
      <c r="K242" s="49">
        <f>IF(C242="","",IF(N(J242)&lt;0,"صرف أكثر من الرصيد!",""))</f>
        <v/>
      </c>
    </row>
    <row r="243">
      <c r="A243" s="39">
        <f>IF(C243="","","ISS-"&amp;TEXT(ROW()-4,"0000"))</f>
        <v/>
      </c>
      <c r="B243" s="47" t="n"/>
      <c r="C243" s="50" t="n"/>
      <c r="D243" s="49">
        <f>IF(C243="","",IFERROR(INDEX('رصيد المخزن'!$B$5:$B$304,MATCH(C243,'رصيد المخزن'!$A$5:$A$304,0)),""))</f>
        <v/>
      </c>
      <c r="E243" s="39">
        <f>IF(C243="","",IFERROR(INDEX('رصيد المخزن'!$C$5:$C$304,MATCH(C243,'رصيد المخزن'!$A$5:$A$304,0)),""))</f>
        <v/>
      </c>
      <c r="F243" s="39">
        <f>IF(C243="","",IFERROR(INDEX('رصيد المخزن'!$D$5:$D$304,MATCH(C243,'رصيد المخزن'!$A$5:$A$304,0)),""))</f>
        <v/>
      </c>
      <c r="G243" s="41" t="n"/>
      <c r="H243" s="40" t="n"/>
      <c r="I243" s="40" t="n"/>
      <c r="J243" s="46">
        <f>IF(C243="","",IFERROR(INDEX('رصيد المخزن'!$H$5:$H$304,MATCH(C243,'رصيد المخزن'!$A$5:$A$304,0)),""))</f>
        <v/>
      </c>
      <c r="K243" s="49">
        <f>IF(C243="","",IF(N(J243)&lt;0,"صرف أكثر من الرصيد!",""))</f>
        <v/>
      </c>
    </row>
    <row r="244">
      <c r="A244" s="39">
        <f>IF(C244="","","ISS-"&amp;TEXT(ROW()-4,"0000"))</f>
        <v/>
      </c>
      <c r="B244" s="47" t="n"/>
      <c r="C244" s="50" t="n"/>
      <c r="D244" s="49">
        <f>IF(C244="","",IFERROR(INDEX('رصيد المخزن'!$B$5:$B$304,MATCH(C244,'رصيد المخزن'!$A$5:$A$304,0)),""))</f>
        <v/>
      </c>
      <c r="E244" s="39">
        <f>IF(C244="","",IFERROR(INDEX('رصيد المخزن'!$C$5:$C$304,MATCH(C244,'رصيد المخزن'!$A$5:$A$304,0)),""))</f>
        <v/>
      </c>
      <c r="F244" s="39">
        <f>IF(C244="","",IFERROR(INDEX('رصيد المخزن'!$D$5:$D$304,MATCH(C244,'رصيد المخزن'!$A$5:$A$304,0)),""))</f>
        <v/>
      </c>
      <c r="G244" s="41" t="n"/>
      <c r="H244" s="40" t="n"/>
      <c r="I244" s="40" t="n"/>
      <c r="J244" s="46">
        <f>IF(C244="","",IFERROR(INDEX('رصيد المخزن'!$H$5:$H$304,MATCH(C244,'رصيد المخزن'!$A$5:$A$304,0)),""))</f>
        <v/>
      </c>
      <c r="K244" s="49">
        <f>IF(C244="","",IF(N(J244)&lt;0,"صرف أكثر من الرصيد!",""))</f>
        <v/>
      </c>
    </row>
    <row r="245">
      <c r="A245" s="39">
        <f>IF(C245="","","ISS-"&amp;TEXT(ROW()-4,"0000"))</f>
        <v/>
      </c>
      <c r="B245" s="47" t="n"/>
      <c r="C245" s="50" t="n"/>
      <c r="D245" s="49">
        <f>IF(C245="","",IFERROR(INDEX('رصيد المخزن'!$B$5:$B$304,MATCH(C245,'رصيد المخزن'!$A$5:$A$304,0)),""))</f>
        <v/>
      </c>
      <c r="E245" s="39">
        <f>IF(C245="","",IFERROR(INDEX('رصيد المخزن'!$C$5:$C$304,MATCH(C245,'رصيد المخزن'!$A$5:$A$304,0)),""))</f>
        <v/>
      </c>
      <c r="F245" s="39">
        <f>IF(C245="","",IFERROR(INDEX('رصيد المخزن'!$D$5:$D$304,MATCH(C245,'رصيد المخزن'!$A$5:$A$304,0)),""))</f>
        <v/>
      </c>
      <c r="G245" s="41" t="n"/>
      <c r="H245" s="40" t="n"/>
      <c r="I245" s="40" t="n"/>
      <c r="J245" s="46">
        <f>IF(C245="","",IFERROR(INDEX('رصيد المخزن'!$H$5:$H$304,MATCH(C245,'رصيد المخزن'!$A$5:$A$304,0)),""))</f>
        <v/>
      </c>
      <c r="K245" s="49">
        <f>IF(C245="","",IF(N(J245)&lt;0,"صرف أكثر من الرصيد!",""))</f>
        <v/>
      </c>
    </row>
    <row r="246">
      <c r="A246" s="39">
        <f>IF(C246="","","ISS-"&amp;TEXT(ROW()-4,"0000"))</f>
        <v/>
      </c>
      <c r="B246" s="47" t="n"/>
      <c r="C246" s="50" t="n"/>
      <c r="D246" s="49">
        <f>IF(C246="","",IFERROR(INDEX('رصيد المخزن'!$B$5:$B$304,MATCH(C246,'رصيد المخزن'!$A$5:$A$304,0)),""))</f>
        <v/>
      </c>
      <c r="E246" s="39">
        <f>IF(C246="","",IFERROR(INDEX('رصيد المخزن'!$C$5:$C$304,MATCH(C246,'رصيد المخزن'!$A$5:$A$304,0)),""))</f>
        <v/>
      </c>
      <c r="F246" s="39">
        <f>IF(C246="","",IFERROR(INDEX('رصيد المخزن'!$D$5:$D$304,MATCH(C246,'رصيد المخزن'!$A$5:$A$304,0)),""))</f>
        <v/>
      </c>
      <c r="G246" s="41" t="n"/>
      <c r="H246" s="40" t="n"/>
      <c r="I246" s="40" t="n"/>
      <c r="J246" s="46">
        <f>IF(C246="","",IFERROR(INDEX('رصيد المخزن'!$H$5:$H$304,MATCH(C246,'رصيد المخزن'!$A$5:$A$304,0)),""))</f>
        <v/>
      </c>
      <c r="K246" s="49">
        <f>IF(C246="","",IF(N(J246)&lt;0,"صرف أكثر من الرصيد!",""))</f>
        <v/>
      </c>
    </row>
    <row r="247">
      <c r="A247" s="39">
        <f>IF(C247="","","ISS-"&amp;TEXT(ROW()-4,"0000"))</f>
        <v/>
      </c>
      <c r="B247" s="47" t="n"/>
      <c r="C247" s="50" t="n"/>
      <c r="D247" s="49">
        <f>IF(C247="","",IFERROR(INDEX('رصيد المخزن'!$B$5:$B$304,MATCH(C247,'رصيد المخزن'!$A$5:$A$304,0)),""))</f>
        <v/>
      </c>
      <c r="E247" s="39">
        <f>IF(C247="","",IFERROR(INDEX('رصيد المخزن'!$C$5:$C$304,MATCH(C247,'رصيد المخزن'!$A$5:$A$304,0)),""))</f>
        <v/>
      </c>
      <c r="F247" s="39">
        <f>IF(C247="","",IFERROR(INDEX('رصيد المخزن'!$D$5:$D$304,MATCH(C247,'رصيد المخزن'!$A$5:$A$304,0)),""))</f>
        <v/>
      </c>
      <c r="G247" s="41" t="n"/>
      <c r="H247" s="40" t="n"/>
      <c r="I247" s="40" t="n"/>
      <c r="J247" s="46">
        <f>IF(C247="","",IFERROR(INDEX('رصيد المخزن'!$H$5:$H$304,MATCH(C247,'رصيد المخزن'!$A$5:$A$304,0)),""))</f>
        <v/>
      </c>
      <c r="K247" s="49">
        <f>IF(C247="","",IF(N(J247)&lt;0,"صرف أكثر من الرصيد!",""))</f>
        <v/>
      </c>
    </row>
    <row r="248">
      <c r="A248" s="39">
        <f>IF(C248="","","ISS-"&amp;TEXT(ROW()-4,"0000"))</f>
        <v/>
      </c>
      <c r="B248" s="47" t="n"/>
      <c r="C248" s="50" t="n"/>
      <c r="D248" s="49">
        <f>IF(C248="","",IFERROR(INDEX('رصيد المخزن'!$B$5:$B$304,MATCH(C248,'رصيد المخزن'!$A$5:$A$304,0)),""))</f>
        <v/>
      </c>
      <c r="E248" s="39">
        <f>IF(C248="","",IFERROR(INDEX('رصيد المخزن'!$C$5:$C$304,MATCH(C248,'رصيد المخزن'!$A$5:$A$304,0)),""))</f>
        <v/>
      </c>
      <c r="F248" s="39">
        <f>IF(C248="","",IFERROR(INDEX('رصيد المخزن'!$D$5:$D$304,MATCH(C248,'رصيد المخزن'!$A$5:$A$304,0)),""))</f>
        <v/>
      </c>
      <c r="G248" s="41" t="n"/>
      <c r="H248" s="40" t="n"/>
      <c r="I248" s="40" t="n"/>
      <c r="J248" s="46">
        <f>IF(C248="","",IFERROR(INDEX('رصيد المخزن'!$H$5:$H$304,MATCH(C248,'رصيد المخزن'!$A$5:$A$304,0)),""))</f>
        <v/>
      </c>
      <c r="K248" s="49">
        <f>IF(C248="","",IF(N(J248)&lt;0,"صرف أكثر من الرصيد!",""))</f>
        <v/>
      </c>
    </row>
    <row r="249">
      <c r="A249" s="39">
        <f>IF(C249="","","ISS-"&amp;TEXT(ROW()-4,"0000"))</f>
        <v/>
      </c>
      <c r="B249" s="47" t="n"/>
      <c r="C249" s="50" t="n"/>
      <c r="D249" s="49">
        <f>IF(C249="","",IFERROR(INDEX('رصيد المخزن'!$B$5:$B$304,MATCH(C249,'رصيد المخزن'!$A$5:$A$304,0)),""))</f>
        <v/>
      </c>
      <c r="E249" s="39">
        <f>IF(C249="","",IFERROR(INDEX('رصيد المخزن'!$C$5:$C$304,MATCH(C249,'رصيد المخزن'!$A$5:$A$304,0)),""))</f>
        <v/>
      </c>
      <c r="F249" s="39">
        <f>IF(C249="","",IFERROR(INDEX('رصيد المخزن'!$D$5:$D$304,MATCH(C249,'رصيد المخزن'!$A$5:$A$304,0)),""))</f>
        <v/>
      </c>
      <c r="G249" s="41" t="n"/>
      <c r="H249" s="40" t="n"/>
      <c r="I249" s="40" t="n"/>
      <c r="J249" s="46">
        <f>IF(C249="","",IFERROR(INDEX('رصيد المخزن'!$H$5:$H$304,MATCH(C249,'رصيد المخزن'!$A$5:$A$304,0)),""))</f>
        <v/>
      </c>
      <c r="K249" s="49">
        <f>IF(C249="","",IF(N(J249)&lt;0,"صرف أكثر من الرصيد!",""))</f>
        <v/>
      </c>
    </row>
    <row r="250">
      <c r="A250" s="39">
        <f>IF(C250="","","ISS-"&amp;TEXT(ROW()-4,"0000"))</f>
        <v/>
      </c>
      <c r="B250" s="47" t="n"/>
      <c r="C250" s="50" t="n"/>
      <c r="D250" s="49">
        <f>IF(C250="","",IFERROR(INDEX('رصيد المخزن'!$B$5:$B$304,MATCH(C250,'رصيد المخزن'!$A$5:$A$304,0)),""))</f>
        <v/>
      </c>
      <c r="E250" s="39">
        <f>IF(C250="","",IFERROR(INDEX('رصيد المخزن'!$C$5:$C$304,MATCH(C250,'رصيد المخزن'!$A$5:$A$304,0)),""))</f>
        <v/>
      </c>
      <c r="F250" s="39">
        <f>IF(C250="","",IFERROR(INDEX('رصيد المخزن'!$D$5:$D$304,MATCH(C250,'رصيد المخزن'!$A$5:$A$304,0)),""))</f>
        <v/>
      </c>
      <c r="G250" s="41" t="n"/>
      <c r="H250" s="40" t="n"/>
      <c r="I250" s="40" t="n"/>
      <c r="J250" s="46">
        <f>IF(C250="","",IFERROR(INDEX('رصيد المخزن'!$H$5:$H$304,MATCH(C250,'رصيد المخزن'!$A$5:$A$304,0)),""))</f>
        <v/>
      </c>
      <c r="K250" s="49">
        <f>IF(C250="","",IF(N(J250)&lt;0,"صرف أكثر من الرصيد!",""))</f>
        <v/>
      </c>
    </row>
    <row r="251">
      <c r="A251" s="39">
        <f>IF(C251="","","ISS-"&amp;TEXT(ROW()-4,"0000"))</f>
        <v/>
      </c>
      <c r="B251" s="47" t="n"/>
      <c r="C251" s="50" t="n"/>
      <c r="D251" s="49">
        <f>IF(C251="","",IFERROR(INDEX('رصيد المخزن'!$B$5:$B$304,MATCH(C251,'رصيد المخزن'!$A$5:$A$304,0)),""))</f>
        <v/>
      </c>
      <c r="E251" s="39">
        <f>IF(C251="","",IFERROR(INDEX('رصيد المخزن'!$C$5:$C$304,MATCH(C251,'رصيد المخزن'!$A$5:$A$304,0)),""))</f>
        <v/>
      </c>
      <c r="F251" s="39">
        <f>IF(C251="","",IFERROR(INDEX('رصيد المخزن'!$D$5:$D$304,MATCH(C251,'رصيد المخزن'!$A$5:$A$304,0)),""))</f>
        <v/>
      </c>
      <c r="G251" s="41" t="n"/>
      <c r="H251" s="40" t="n"/>
      <c r="I251" s="40" t="n"/>
      <c r="J251" s="46">
        <f>IF(C251="","",IFERROR(INDEX('رصيد المخزن'!$H$5:$H$304,MATCH(C251,'رصيد المخزن'!$A$5:$A$304,0)),""))</f>
        <v/>
      </c>
      <c r="K251" s="49">
        <f>IF(C251="","",IF(N(J251)&lt;0,"صرف أكثر من الرصيد!",""))</f>
        <v/>
      </c>
    </row>
    <row r="252">
      <c r="A252" s="39">
        <f>IF(C252="","","ISS-"&amp;TEXT(ROW()-4,"0000"))</f>
        <v/>
      </c>
      <c r="B252" s="47" t="n"/>
      <c r="C252" s="50" t="n"/>
      <c r="D252" s="49">
        <f>IF(C252="","",IFERROR(INDEX('رصيد المخزن'!$B$5:$B$304,MATCH(C252,'رصيد المخزن'!$A$5:$A$304,0)),""))</f>
        <v/>
      </c>
      <c r="E252" s="39">
        <f>IF(C252="","",IFERROR(INDEX('رصيد المخزن'!$C$5:$C$304,MATCH(C252,'رصيد المخزن'!$A$5:$A$304,0)),""))</f>
        <v/>
      </c>
      <c r="F252" s="39">
        <f>IF(C252="","",IFERROR(INDEX('رصيد المخزن'!$D$5:$D$304,MATCH(C252,'رصيد المخزن'!$A$5:$A$304,0)),""))</f>
        <v/>
      </c>
      <c r="G252" s="41" t="n"/>
      <c r="H252" s="40" t="n"/>
      <c r="I252" s="40" t="n"/>
      <c r="J252" s="46">
        <f>IF(C252="","",IFERROR(INDEX('رصيد المخزن'!$H$5:$H$304,MATCH(C252,'رصيد المخزن'!$A$5:$A$304,0)),""))</f>
        <v/>
      </c>
      <c r="K252" s="49">
        <f>IF(C252="","",IF(N(J252)&lt;0,"صرف أكثر من الرصيد!",""))</f>
        <v/>
      </c>
    </row>
    <row r="253">
      <c r="A253" s="39">
        <f>IF(C253="","","ISS-"&amp;TEXT(ROW()-4,"0000"))</f>
        <v/>
      </c>
      <c r="B253" s="47" t="n"/>
      <c r="C253" s="50" t="n"/>
      <c r="D253" s="49">
        <f>IF(C253="","",IFERROR(INDEX('رصيد المخزن'!$B$5:$B$304,MATCH(C253,'رصيد المخزن'!$A$5:$A$304,0)),""))</f>
        <v/>
      </c>
      <c r="E253" s="39">
        <f>IF(C253="","",IFERROR(INDEX('رصيد المخزن'!$C$5:$C$304,MATCH(C253,'رصيد المخزن'!$A$5:$A$304,0)),""))</f>
        <v/>
      </c>
      <c r="F253" s="39">
        <f>IF(C253="","",IFERROR(INDEX('رصيد المخزن'!$D$5:$D$304,MATCH(C253,'رصيد المخزن'!$A$5:$A$304,0)),""))</f>
        <v/>
      </c>
      <c r="G253" s="41" t="n"/>
      <c r="H253" s="40" t="n"/>
      <c r="I253" s="40" t="n"/>
      <c r="J253" s="46">
        <f>IF(C253="","",IFERROR(INDEX('رصيد المخزن'!$H$5:$H$304,MATCH(C253,'رصيد المخزن'!$A$5:$A$304,0)),""))</f>
        <v/>
      </c>
      <c r="K253" s="49">
        <f>IF(C253="","",IF(N(J253)&lt;0,"صرف أكثر من الرصيد!",""))</f>
        <v/>
      </c>
    </row>
    <row r="254">
      <c r="A254" s="39">
        <f>IF(C254="","","ISS-"&amp;TEXT(ROW()-4,"0000"))</f>
        <v/>
      </c>
      <c r="B254" s="47" t="n"/>
      <c r="C254" s="50" t="n"/>
      <c r="D254" s="49">
        <f>IF(C254="","",IFERROR(INDEX('رصيد المخزن'!$B$5:$B$304,MATCH(C254,'رصيد المخزن'!$A$5:$A$304,0)),""))</f>
        <v/>
      </c>
      <c r="E254" s="39">
        <f>IF(C254="","",IFERROR(INDEX('رصيد المخزن'!$C$5:$C$304,MATCH(C254,'رصيد المخزن'!$A$5:$A$304,0)),""))</f>
        <v/>
      </c>
      <c r="F254" s="39">
        <f>IF(C254="","",IFERROR(INDEX('رصيد المخزن'!$D$5:$D$304,MATCH(C254,'رصيد المخزن'!$A$5:$A$304,0)),""))</f>
        <v/>
      </c>
      <c r="G254" s="41" t="n"/>
      <c r="H254" s="40" t="n"/>
      <c r="I254" s="40" t="n"/>
      <c r="J254" s="46">
        <f>IF(C254="","",IFERROR(INDEX('رصيد المخزن'!$H$5:$H$304,MATCH(C254,'رصيد المخزن'!$A$5:$A$304,0)),""))</f>
        <v/>
      </c>
      <c r="K254" s="49">
        <f>IF(C254="","",IF(N(J254)&lt;0,"صرف أكثر من الرصيد!",""))</f>
        <v/>
      </c>
    </row>
    <row r="255">
      <c r="A255" s="39">
        <f>IF(C255="","","ISS-"&amp;TEXT(ROW()-4,"0000"))</f>
        <v/>
      </c>
      <c r="B255" s="47" t="n"/>
      <c r="C255" s="50" t="n"/>
      <c r="D255" s="49">
        <f>IF(C255="","",IFERROR(INDEX('رصيد المخزن'!$B$5:$B$304,MATCH(C255,'رصيد المخزن'!$A$5:$A$304,0)),""))</f>
        <v/>
      </c>
      <c r="E255" s="39">
        <f>IF(C255="","",IFERROR(INDEX('رصيد المخزن'!$C$5:$C$304,MATCH(C255,'رصيد المخزن'!$A$5:$A$304,0)),""))</f>
        <v/>
      </c>
      <c r="F255" s="39">
        <f>IF(C255="","",IFERROR(INDEX('رصيد المخزن'!$D$5:$D$304,MATCH(C255,'رصيد المخزن'!$A$5:$A$304,0)),""))</f>
        <v/>
      </c>
      <c r="G255" s="41" t="n"/>
      <c r="H255" s="40" t="n"/>
      <c r="I255" s="40" t="n"/>
      <c r="J255" s="46">
        <f>IF(C255="","",IFERROR(INDEX('رصيد المخزن'!$H$5:$H$304,MATCH(C255,'رصيد المخزن'!$A$5:$A$304,0)),""))</f>
        <v/>
      </c>
      <c r="K255" s="49">
        <f>IF(C255="","",IF(N(J255)&lt;0,"صرف أكثر من الرصيد!",""))</f>
        <v/>
      </c>
    </row>
    <row r="256">
      <c r="A256" s="39">
        <f>IF(C256="","","ISS-"&amp;TEXT(ROW()-4,"0000"))</f>
        <v/>
      </c>
      <c r="B256" s="47" t="n"/>
      <c r="C256" s="50" t="n"/>
      <c r="D256" s="49">
        <f>IF(C256="","",IFERROR(INDEX('رصيد المخزن'!$B$5:$B$304,MATCH(C256,'رصيد المخزن'!$A$5:$A$304,0)),""))</f>
        <v/>
      </c>
      <c r="E256" s="39">
        <f>IF(C256="","",IFERROR(INDEX('رصيد المخزن'!$C$5:$C$304,MATCH(C256,'رصيد المخزن'!$A$5:$A$304,0)),""))</f>
        <v/>
      </c>
      <c r="F256" s="39">
        <f>IF(C256="","",IFERROR(INDEX('رصيد المخزن'!$D$5:$D$304,MATCH(C256,'رصيد المخزن'!$A$5:$A$304,0)),""))</f>
        <v/>
      </c>
      <c r="G256" s="41" t="n"/>
      <c r="H256" s="40" t="n"/>
      <c r="I256" s="40" t="n"/>
      <c r="J256" s="46">
        <f>IF(C256="","",IFERROR(INDEX('رصيد المخزن'!$H$5:$H$304,MATCH(C256,'رصيد المخزن'!$A$5:$A$304,0)),""))</f>
        <v/>
      </c>
      <c r="K256" s="49">
        <f>IF(C256="","",IF(N(J256)&lt;0,"صرف أكثر من الرصيد!",""))</f>
        <v/>
      </c>
    </row>
    <row r="257">
      <c r="A257" s="39">
        <f>IF(C257="","","ISS-"&amp;TEXT(ROW()-4,"0000"))</f>
        <v/>
      </c>
      <c r="B257" s="47" t="n"/>
      <c r="C257" s="50" t="n"/>
      <c r="D257" s="49">
        <f>IF(C257="","",IFERROR(INDEX('رصيد المخزن'!$B$5:$B$304,MATCH(C257,'رصيد المخزن'!$A$5:$A$304,0)),""))</f>
        <v/>
      </c>
      <c r="E257" s="39">
        <f>IF(C257="","",IFERROR(INDEX('رصيد المخزن'!$C$5:$C$304,MATCH(C257,'رصيد المخزن'!$A$5:$A$304,0)),""))</f>
        <v/>
      </c>
      <c r="F257" s="39">
        <f>IF(C257="","",IFERROR(INDEX('رصيد المخزن'!$D$5:$D$304,MATCH(C257,'رصيد المخزن'!$A$5:$A$304,0)),""))</f>
        <v/>
      </c>
      <c r="G257" s="41" t="n"/>
      <c r="H257" s="40" t="n"/>
      <c r="I257" s="40" t="n"/>
      <c r="J257" s="46">
        <f>IF(C257="","",IFERROR(INDEX('رصيد المخزن'!$H$5:$H$304,MATCH(C257,'رصيد المخزن'!$A$5:$A$304,0)),""))</f>
        <v/>
      </c>
      <c r="K257" s="49">
        <f>IF(C257="","",IF(N(J257)&lt;0,"صرف أكثر من الرصيد!",""))</f>
        <v/>
      </c>
    </row>
    <row r="258">
      <c r="A258" s="39">
        <f>IF(C258="","","ISS-"&amp;TEXT(ROW()-4,"0000"))</f>
        <v/>
      </c>
      <c r="B258" s="47" t="n"/>
      <c r="C258" s="50" t="n"/>
      <c r="D258" s="49">
        <f>IF(C258="","",IFERROR(INDEX('رصيد المخزن'!$B$5:$B$304,MATCH(C258,'رصيد المخزن'!$A$5:$A$304,0)),""))</f>
        <v/>
      </c>
      <c r="E258" s="39">
        <f>IF(C258="","",IFERROR(INDEX('رصيد المخزن'!$C$5:$C$304,MATCH(C258,'رصيد المخزن'!$A$5:$A$304,0)),""))</f>
        <v/>
      </c>
      <c r="F258" s="39">
        <f>IF(C258="","",IFERROR(INDEX('رصيد المخزن'!$D$5:$D$304,MATCH(C258,'رصيد المخزن'!$A$5:$A$304,0)),""))</f>
        <v/>
      </c>
      <c r="G258" s="41" t="n"/>
      <c r="H258" s="40" t="n"/>
      <c r="I258" s="40" t="n"/>
      <c r="J258" s="46">
        <f>IF(C258="","",IFERROR(INDEX('رصيد المخزن'!$H$5:$H$304,MATCH(C258,'رصيد المخزن'!$A$5:$A$304,0)),""))</f>
        <v/>
      </c>
      <c r="K258" s="49">
        <f>IF(C258="","",IF(N(J258)&lt;0,"صرف أكثر من الرصيد!",""))</f>
        <v/>
      </c>
    </row>
    <row r="259">
      <c r="A259" s="39">
        <f>IF(C259="","","ISS-"&amp;TEXT(ROW()-4,"0000"))</f>
        <v/>
      </c>
      <c r="B259" s="47" t="n"/>
      <c r="C259" s="50" t="n"/>
      <c r="D259" s="49">
        <f>IF(C259="","",IFERROR(INDEX('رصيد المخزن'!$B$5:$B$304,MATCH(C259,'رصيد المخزن'!$A$5:$A$304,0)),""))</f>
        <v/>
      </c>
      <c r="E259" s="39">
        <f>IF(C259="","",IFERROR(INDEX('رصيد المخزن'!$C$5:$C$304,MATCH(C259,'رصيد المخزن'!$A$5:$A$304,0)),""))</f>
        <v/>
      </c>
      <c r="F259" s="39">
        <f>IF(C259="","",IFERROR(INDEX('رصيد المخزن'!$D$5:$D$304,MATCH(C259,'رصيد المخزن'!$A$5:$A$304,0)),""))</f>
        <v/>
      </c>
      <c r="G259" s="41" t="n"/>
      <c r="H259" s="40" t="n"/>
      <c r="I259" s="40" t="n"/>
      <c r="J259" s="46">
        <f>IF(C259="","",IFERROR(INDEX('رصيد المخزن'!$H$5:$H$304,MATCH(C259,'رصيد المخزن'!$A$5:$A$304,0)),""))</f>
        <v/>
      </c>
      <c r="K259" s="49">
        <f>IF(C259="","",IF(N(J259)&lt;0,"صرف أكثر من الرصيد!",""))</f>
        <v/>
      </c>
    </row>
    <row r="260">
      <c r="A260" s="39">
        <f>IF(C260="","","ISS-"&amp;TEXT(ROW()-4,"0000"))</f>
        <v/>
      </c>
      <c r="B260" s="47" t="n"/>
      <c r="C260" s="50" t="n"/>
      <c r="D260" s="49">
        <f>IF(C260="","",IFERROR(INDEX('رصيد المخزن'!$B$5:$B$304,MATCH(C260,'رصيد المخزن'!$A$5:$A$304,0)),""))</f>
        <v/>
      </c>
      <c r="E260" s="39">
        <f>IF(C260="","",IFERROR(INDEX('رصيد المخزن'!$C$5:$C$304,MATCH(C260,'رصيد المخزن'!$A$5:$A$304,0)),""))</f>
        <v/>
      </c>
      <c r="F260" s="39">
        <f>IF(C260="","",IFERROR(INDEX('رصيد المخزن'!$D$5:$D$304,MATCH(C260,'رصيد المخزن'!$A$5:$A$304,0)),""))</f>
        <v/>
      </c>
      <c r="G260" s="41" t="n"/>
      <c r="H260" s="40" t="n"/>
      <c r="I260" s="40" t="n"/>
      <c r="J260" s="46">
        <f>IF(C260="","",IFERROR(INDEX('رصيد المخزن'!$H$5:$H$304,MATCH(C260,'رصيد المخزن'!$A$5:$A$304,0)),""))</f>
        <v/>
      </c>
      <c r="K260" s="49">
        <f>IF(C260="","",IF(N(J260)&lt;0,"صرف أكثر من الرصيد!",""))</f>
        <v/>
      </c>
    </row>
    <row r="261">
      <c r="A261" s="39">
        <f>IF(C261="","","ISS-"&amp;TEXT(ROW()-4,"0000"))</f>
        <v/>
      </c>
      <c r="B261" s="47" t="n"/>
      <c r="C261" s="50" t="n"/>
      <c r="D261" s="49">
        <f>IF(C261="","",IFERROR(INDEX('رصيد المخزن'!$B$5:$B$304,MATCH(C261,'رصيد المخزن'!$A$5:$A$304,0)),""))</f>
        <v/>
      </c>
      <c r="E261" s="39">
        <f>IF(C261="","",IFERROR(INDEX('رصيد المخزن'!$C$5:$C$304,MATCH(C261,'رصيد المخزن'!$A$5:$A$304,0)),""))</f>
        <v/>
      </c>
      <c r="F261" s="39">
        <f>IF(C261="","",IFERROR(INDEX('رصيد المخزن'!$D$5:$D$304,MATCH(C261,'رصيد المخزن'!$A$5:$A$304,0)),""))</f>
        <v/>
      </c>
      <c r="G261" s="41" t="n"/>
      <c r="H261" s="40" t="n"/>
      <c r="I261" s="40" t="n"/>
      <c r="J261" s="46">
        <f>IF(C261="","",IFERROR(INDEX('رصيد المخزن'!$H$5:$H$304,MATCH(C261,'رصيد المخزن'!$A$5:$A$304,0)),""))</f>
        <v/>
      </c>
      <c r="K261" s="49">
        <f>IF(C261="","",IF(N(J261)&lt;0,"صرف أكثر من الرصيد!",""))</f>
        <v/>
      </c>
    </row>
    <row r="262">
      <c r="A262" s="39">
        <f>IF(C262="","","ISS-"&amp;TEXT(ROW()-4,"0000"))</f>
        <v/>
      </c>
      <c r="B262" s="47" t="n"/>
      <c r="C262" s="50" t="n"/>
      <c r="D262" s="49">
        <f>IF(C262="","",IFERROR(INDEX('رصيد المخزن'!$B$5:$B$304,MATCH(C262,'رصيد المخزن'!$A$5:$A$304,0)),""))</f>
        <v/>
      </c>
      <c r="E262" s="39">
        <f>IF(C262="","",IFERROR(INDEX('رصيد المخزن'!$C$5:$C$304,MATCH(C262,'رصيد المخزن'!$A$5:$A$304,0)),""))</f>
        <v/>
      </c>
      <c r="F262" s="39">
        <f>IF(C262="","",IFERROR(INDEX('رصيد المخزن'!$D$5:$D$304,MATCH(C262,'رصيد المخزن'!$A$5:$A$304,0)),""))</f>
        <v/>
      </c>
      <c r="G262" s="41" t="n"/>
      <c r="H262" s="40" t="n"/>
      <c r="I262" s="40" t="n"/>
      <c r="J262" s="46">
        <f>IF(C262="","",IFERROR(INDEX('رصيد المخزن'!$H$5:$H$304,MATCH(C262,'رصيد المخزن'!$A$5:$A$304,0)),""))</f>
        <v/>
      </c>
      <c r="K262" s="49">
        <f>IF(C262="","",IF(N(J262)&lt;0,"صرف أكثر من الرصيد!",""))</f>
        <v/>
      </c>
    </row>
    <row r="263">
      <c r="A263" s="39">
        <f>IF(C263="","","ISS-"&amp;TEXT(ROW()-4,"0000"))</f>
        <v/>
      </c>
      <c r="B263" s="47" t="n"/>
      <c r="C263" s="50" t="n"/>
      <c r="D263" s="49">
        <f>IF(C263="","",IFERROR(INDEX('رصيد المخزن'!$B$5:$B$304,MATCH(C263,'رصيد المخزن'!$A$5:$A$304,0)),""))</f>
        <v/>
      </c>
      <c r="E263" s="39">
        <f>IF(C263="","",IFERROR(INDEX('رصيد المخزن'!$C$5:$C$304,MATCH(C263,'رصيد المخزن'!$A$5:$A$304,0)),""))</f>
        <v/>
      </c>
      <c r="F263" s="39">
        <f>IF(C263="","",IFERROR(INDEX('رصيد المخزن'!$D$5:$D$304,MATCH(C263,'رصيد المخزن'!$A$5:$A$304,0)),""))</f>
        <v/>
      </c>
      <c r="G263" s="41" t="n"/>
      <c r="H263" s="40" t="n"/>
      <c r="I263" s="40" t="n"/>
      <c r="J263" s="46">
        <f>IF(C263="","",IFERROR(INDEX('رصيد المخزن'!$H$5:$H$304,MATCH(C263,'رصيد المخزن'!$A$5:$A$304,0)),""))</f>
        <v/>
      </c>
      <c r="K263" s="49">
        <f>IF(C263="","",IF(N(J263)&lt;0,"صرف أكثر من الرصيد!",""))</f>
        <v/>
      </c>
    </row>
    <row r="264">
      <c r="A264" s="39">
        <f>IF(C264="","","ISS-"&amp;TEXT(ROW()-4,"0000"))</f>
        <v/>
      </c>
      <c r="B264" s="47" t="n"/>
      <c r="C264" s="50" t="n"/>
      <c r="D264" s="49">
        <f>IF(C264="","",IFERROR(INDEX('رصيد المخزن'!$B$5:$B$304,MATCH(C264,'رصيد المخزن'!$A$5:$A$304,0)),""))</f>
        <v/>
      </c>
      <c r="E264" s="39">
        <f>IF(C264="","",IFERROR(INDEX('رصيد المخزن'!$C$5:$C$304,MATCH(C264,'رصيد المخزن'!$A$5:$A$304,0)),""))</f>
        <v/>
      </c>
      <c r="F264" s="39">
        <f>IF(C264="","",IFERROR(INDEX('رصيد المخزن'!$D$5:$D$304,MATCH(C264,'رصيد المخزن'!$A$5:$A$304,0)),""))</f>
        <v/>
      </c>
      <c r="G264" s="41" t="n"/>
      <c r="H264" s="40" t="n"/>
      <c r="I264" s="40" t="n"/>
      <c r="J264" s="46">
        <f>IF(C264="","",IFERROR(INDEX('رصيد المخزن'!$H$5:$H$304,MATCH(C264,'رصيد المخزن'!$A$5:$A$304,0)),""))</f>
        <v/>
      </c>
      <c r="K264" s="49">
        <f>IF(C264="","",IF(N(J264)&lt;0,"صرف أكثر من الرصيد!",""))</f>
        <v/>
      </c>
    </row>
    <row r="265">
      <c r="A265" s="39">
        <f>IF(C265="","","ISS-"&amp;TEXT(ROW()-4,"0000"))</f>
        <v/>
      </c>
      <c r="B265" s="47" t="n"/>
      <c r="C265" s="50" t="n"/>
      <c r="D265" s="49">
        <f>IF(C265="","",IFERROR(INDEX('رصيد المخزن'!$B$5:$B$304,MATCH(C265,'رصيد المخزن'!$A$5:$A$304,0)),""))</f>
        <v/>
      </c>
      <c r="E265" s="39">
        <f>IF(C265="","",IFERROR(INDEX('رصيد المخزن'!$C$5:$C$304,MATCH(C265,'رصيد المخزن'!$A$5:$A$304,0)),""))</f>
        <v/>
      </c>
      <c r="F265" s="39">
        <f>IF(C265="","",IFERROR(INDEX('رصيد المخزن'!$D$5:$D$304,MATCH(C265,'رصيد المخزن'!$A$5:$A$304,0)),""))</f>
        <v/>
      </c>
      <c r="G265" s="41" t="n"/>
      <c r="H265" s="40" t="n"/>
      <c r="I265" s="40" t="n"/>
      <c r="J265" s="46">
        <f>IF(C265="","",IFERROR(INDEX('رصيد المخزن'!$H$5:$H$304,MATCH(C265,'رصيد المخزن'!$A$5:$A$304,0)),""))</f>
        <v/>
      </c>
      <c r="K265" s="49">
        <f>IF(C265="","",IF(N(J265)&lt;0,"صرف أكثر من الرصيد!",""))</f>
        <v/>
      </c>
    </row>
    <row r="266">
      <c r="A266" s="39">
        <f>IF(C266="","","ISS-"&amp;TEXT(ROW()-4,"0000"))</f>
        <v/>
      </c>
      <c r="B266" s="47" t="n"/>
      <c r="C266" s="50" t="n"/>
      <c r="D266" s="49">
        <f>IF(C266="","",IFERROR(INDEX('رصيد المخزن'!$B$5:$B$304,MATCH(C266,'رصيد المخزن'!$A$5:$A$304,0)),""))</f>
        <v/>
      </c>
      <c r="E266" s="39">
        <f>IF(C266="","",IFERROR(INDEX('رصيد المخزن'!$C$5:$C$304,MATCH(C266,'رصيد المخزن'!$A$5:$A$304,0)),""))</f>
        <v/>
      </c>
      <c r="F266" s="39">
        <f>IF(C266="","",IFERROR(INDEX('رصيد المخزن'!$D$5:$D$304,MATCH(C266,'رصيد المخزن'!$A$5:$A$304,0)),""))</f>
        <v/>
      </c>
      <c r="G266" s="41" t="n"/>
      <c r="H266" s="40" t="n"/>
      <c r="I266" s="40" t="n"/>
      <c r="J266" s="46">
        <f>IF(C266="","",IFERROR(INDEX('رصيد المخزن'!$H$5:$H$304,MATCH(C266,'رصيد المخزن'!$A$5:$A$304,0)),""))</f>
        <v/>
      </c>
      <c r="K266" s="49">
        <f>IF(C266="","",IF(N(J266)&lt;0,"صرف أكثر من الرصيد!",""))</f>
        <v/>
      </c>
    </row>
    <row r="267">
      <c r="A267" s="39">
        <f>IF(C267="","","ISS-"&amp;TEXT(ROW()-4,"0000"))</f>
        <v/>
      </c>
      <c r="B267" s="47" t="n"/>
      <c r="C267" s="50" t="n"/>
      <c r="D267" s="49">
        <f>IF(C267="","",IFERROR(INDEX('رصيد المخزن'!$B$5:$B$304,MATCH(C267,'رصيد المخزن'!$A$5:$A$304,0)),""))</f>
        <v/>
      </c>
      <c r="E267" s="39">
        <f>IF(C267="","",IFERROR(INDEX('رصيد المخزن'!$C$5:$C$304,MATCH(C267,'رصيد المخزن'!$A$5:$A$304,0)),""))</f>
        <v/>
      </c>
      <c r="F267" s="39">
        <f>IF(C267="","",IFERROR(INDEX('رصيد المخزن'!$D$5:$D$304,MATCH(C267,'رصيد المخزن'!$A$5:$A$304,0)),""))</f>
        <v/>
      </c>
      <c r="G267" s="41" t="n"/>
      <c r="H267" s="40" t="n"/>
      <c r="I267" s="40" t="n"/>
      <c r="J267" s="46">
        <f>IF(C267="","",IFERROR(INDEX('رصيد المخزن'!$H$5:$H$304,MATCH(C267,'رصيد المخزن'!$A$5:$A$304,0)),""))</f>
        <v/>
      </c>
      <c r="K267" s="49">
        <f>IF(C267="","",IF(N(J267)&lt;0,"صرف أكثر من الرصيد!",""))</f>
        <v/>
      </c>
    </row>
    <row r="268">
      <c r="A268" s="39">
        <f>IF(C268="","","ISS-"&amp;TEXT(ROW()-4,"0000"))</f>
        <v/>
      </c>
      <c r="B268" s="47" t="n"/>
      <c r="C268" s="50" t="n"/>
      <c r="D268" s="49">
        <f>IF(C268="","",IFERROR(INDEX('رصيد المخزن'!$B$5:$B$304,MATCH(C268,'رصيد المخزن'!$A$5:$A$304,0)),""))</f>
        <v/>
      </c>
      <c r="E268" s="39">
        <f>IF(C268="","",IFERROR(INDEX('رصيد المخزن'!$C$5:$C$304,MATCH(C268,'رصيد المخزن'!$A$5:$A$304,0)),""))</f>
        <v/>
      </c>
      <c r="F268" s="39">
        <f>IF(C268="","",IFERROR(INDEX('رصيد المخزن'!$D$5:$D$304,MATCH(C268,'رصيد المخزن'!$A$5:$A$304,0)),""))</f>
        <v/>
      </c>
      <c r="G268" s="41" t="n"/>
      <c r="H268" s="40" t="n"/>
      <c r="I268" s="40" t="n"/>
      <c r="J268" s="46">
        <f>IF(C268="","",IFERROR(INDEX('رصيد المخزن'!$H$5:$H$304,MATCH(C268,'رصيد المخزن'!$A$5:$A$304,0)),""))</f>
        <v/>
      </c>
      <c r="K268" s="49">
        <f>IF(C268="","",IF(N(J268)&lt;0,"صرف أكثر من الرصيد!",""))</f>
        <v/>
      </c>
    </row>
    <row r="269">
      <c r="A269" s="39">
        <f>IF(C269="","","ISS-"&amp;TEXT(ROW()-4,"0000"))</f>
        <v/>
      </c>
      <c r="B269" s="47" t="n"/>
      <c r="C269" s="50" t="n"/>
      <c r="D269" s="49">
        <f>IF(C269="","",IFERROR(INDEX('رصيد المخزن'!$B$5:$B$304,MATCH(C269,'رصيد المخزن'!$A$5:$A$304,0)),""))</f>
        <v/>
      </c>
      <c r="E269" s="39">
        <f>IF(C269="","",IFERROR(INDEX('رصيد المخزن'!$C$5:$C$304,MATCH(C269,'رصيد المخزن'!$A$5:$A$304,0)),""))</f>
        <v/>
      </c>
      <c r="F269" s="39">
        <f>IF(C269="","",IFERROR(INDEX('رصيد المخزن'!$D$5:$D$304,MATCH(C269,'رصيد المخزن'!$A$5:$A$304,0)),""))</f>
        <v/>
      </c>
      <c r="G269" s="41" t="n"/>
      <c r="H269" s="40" t="n"/>
      <c r="I269" s="40" t="n"/>
      <c r="J269" s="46">
        <f>IF(C269="","",IFERROR(INDEX('رصيد المخزن'!$H$5:$H$304,MATCH(C269,'رصيد المخزن'!$A$5:$A$304,0)),""))</f>
        <v/>
      </c>
      <c r="K269" s="49">
        <f>IF(C269="","",IF(N(J269)&lt;0,"صرف أكثر من الرصيد!",""))</f>
        <v/>
      </c>
    </row>
    <row r="270">
      <c r="A270" s="39">
        <f>IF(C270="","","ISS-"&amp;TEXT(ROW()-4,"0000"))</f>
        <v/>
      </c>
      <c r="B270" s="47" t="n"/>
      <c r="C270" s="50" t="n"/>
      <c r="D270" s="49">
        <f>IF(C270="","",IFERROR(INDEX('رصيد المخزن'!$B$5:$B$304,MATCH(C270,'رصيد المخزن'!$A$5:$A$304,0)),""))</f>
        <v/>
      </c>
      <c r="E270" s="39">
        <f>IF(C270="","",IFERROR(INDEX('رصيد المخزن'!$C$5:$C$304,MATCH(C270,'رصيد المخزن'!$A$5:$A$304,0)),""))</f>
        <v/>
      </c>
      <c r="F270" s="39">
        <f>IF(C270="","",IFERROR(INDEX('رصيد المخزن'!$D$5:$D$304,MATCH(C270,'رصيد المخزن'!$A$5:$A$304,0)),""))</f>
        <v/>
      </c>
      <c r="G270" s="41" t="n"/>
      <c r="H270" s="40" t="n"/>
      <c r="I270" s="40" t="n"/>
      <c r="J270" s="46">
        <f>IF(C270="","",IFERROR(INDEX('رصيد المخزن'!$H$5:$H$304,MATCH(C270,'رصيد المخزن'!$A$5:$A$304,0)),""))</f>
        <v/>
      </c>
      <c r="K270" s="49">
        <f>IF(C270="","",IF(N(J270)&lt;0,"صرف أكثر من الرصيد!",""))</f>
        <v/>
      </c>
    </row>
    <row r="271">
      <c r="A271" s="39">
        <f>IF(C271="","","ISS-"&amp;TEXT(ROW()-4,"0000"))</f>
        <v/>
      </c>
      <c r="B271" s="47" t="n"/>
      <c r="C271" s="50" t="n"/>
      <c r="D271" s="49">
        <f>IF(C271="","",IFERROR(INDEX('رصيد المخزن'!$B$5:$B$304,MATCH(C271,'رصيد المخزن'!$A$5:$A$304,0)),""))</f>
        <v/>
      </c>
      <c r="E271" s="39">
        <f>IF(C271="","",IFERROR(INDEX('رصيد المخزن'!$C$5:$C$304,MATCH(C271,'رصيد المخزن'!$A$5:$A$304,0)),""))</f>
        <v/>
      </c>
      <c r="F271" s="39">
        <f>IF(C271="","",IFERROR(INDEX('رصيد المخزن'!$D$5:$D$304,MATCH(C271,'رصيد المخزن'!$A$5:$A$304,0)),""))</f>
        <v/>
      </c>
      <c r="G271" s="41" t="n"/>
      <c r="H271" s="40" t="n"/>
      <c r="I271" s="40" t="n"/>
      <c r="J271" s="46">
        <f>IF(C271="","",IFERROR(INDEX('رصيد المخزن'!$H$5:$H$304,MATCH(C271,'رصيد المخزن'!$A$5:$A$304,0)),""))</f>
        <v/>
      </c>
      <c r="K271" s="49">
        <f>IF(C271="","",IF(N(J271)&lt;0,"صرف أكثر من الرصيد!",""))</f>
        <v/>
      </c>
    </row>
    <row r="272">
      <c r="A272" s="39">
        <f>IF(C272="","","ISS-"&amp;TEXT(ROW()-4,"0000"))</f>
        <v/>
      </c>
      <c r="B272" s="47" t="n"/>
      <c r="C272" s="50" t="n"/>
      <c r="D272" s="49">
        <f>IF(C272="","",IFERROR(INDEX('رصيد المخزن'!$B$5:$B$304,MATCH(C272,'رصيد المخزن'!$A$5:$A$304,0)),""))</f>
        <v/>
      </c>
      <c r="E272" s="39">
        <f>IF(C272="","",IFERROR(INDEX('رصيد المخزن'!$C$5:$C$304,MATCH(C272,'رصيد المخزن'!$A$5:$A$304,0)),""))</f>
        <v/>
      </c>
      <c r="F272" s="39">
        <f>IF(C272="","",IFERROR(INDEX('رصيد المخزن'!$D$5:$D$304,MATCH(C272,'رصيد المخزن'!$A$5:$A$304,0)),""))</f>
        <v/>
      </c>
      <c r="G272" s="41" t="n"/>
      <c r="H272" s="40" t="n"/>
      <c r="I272" s="40" t="n"/>
      <c r="J272" s="46">
        <f>IF(C272="","",IFERROR(INDEX('رصيد المخزن'!$H$5:$H$304,MATCH(C272,'رصيد المخزن'!$A$5:$A$304,0)),""))</f>
        <v/>
      </c>
      <c r="K272" s="49">
        <f>IF(C272="","",IF(N(J272)&lt;0,"صرف أكثر من الرصيد!",""))</f>
        <v/>
      </c>
    </row>
    <row r="273">
      <c r="A273" s="39">
        <f>IF(C273="","","ISS-"&amp;TEXT(ROW()-4,"0000"))</f>
        <v/>
      </c>
      <c r="B273" s="47" t="n"/>
      <c r="C273" s="50" t="n"/>
      <c r="D273" s="49">
        <f>IF(C273="","",IFERROR(INDEX('رصيد المخزن'!$B$5:$B$304,MATCH(C273,'رصيد المخزن'!$A$5:$A$304,0)),""))</f>
        <v/>
      </c>
      <c r="E273" s="39">
        <f>IF(C273="","",IFERROR(INDEX('رصيد المخزن'!$C$5:$C$304,MATCH(C273,'رصيد المخزن'!$A$5:$A$304,0)),""))</f>
        <v/>
      </c>
      <c r="F273" s="39">
        <f>IF(C273="","",IFERROR(INDEX('رصيد المخزن'!$D$5:$D$304,MATCH(C273,'رصيد المخزن'!$A$5:$A$304,0)),""))</f>
        <v/>
      </c>
      <c r="G273" s="41" t="n"/>
      <c r="H273" s="40" t="n"/>
      <c r="I273" s="40" t="n"/>
      <c r="J273" s="46">
        <f>IF(C273="","",IFERROR(INDEX('رصيد المخزن'!$H$5:$H$304,MATCH(C273,'رصيد المخزن'!$A$5:$A$304,0)),""))</f>
        <v/>
      </c>
      <c r="K273" s="49">
        <f>IF(C273="","",IF(N(J273)&lt;0,"صرف أكثر من الرصيد!",""))</f>
        <v/>
      </c>
    </row>
    <row r="274">
      <c r="A274" s="39">
        <f>IF(C274="","","ISS-"&amp;TEXT(ROW()-4,"0000"))</f>
        <v/>
      </c>
      <c r="B274" s="47" t="n"/>
      <c r="C274" s="50" t="n"/>
      <c r="D274" s="49">
        <f>IF(C274="","",IFERROR(INDEX('رصيد المخزن'!$B$5:$B$304,MATCH(C274,'رصيد المخزن'!$A$5:$A$304,0)),""))</f>
        <v/>
      </c>
      <c r="E274" s="39">
        <f>IF(C274="","",IFERROR(INDEX('رصيد المخزن'!$C$5:$C$304,MATCH(C274,'رصيد المخزن'!$A$5:$A$304,0)),""))</f>
        <v/>
      </c>
      <c r="F274" s="39">
        <f>IF(C274="","",IFERROR(INDEX('رصيد المخزن'!$D$5:$D$304,MATCH(C274,'رصيد المخزن'!$A$5:$A$304,0)),""))</f>
        <v/>
      </c>
      <c r="G274" s="41" t="n"/>
      <c r="H274" s="40" t="n"/>
      <c r="I274" s="40" t="n"/>
      <c r="J274" s="46">
        <f>IF(C274="","",IFERROR(INDEX('رصيد المخزن'!$H$5:$H$304,MATCH(C274,'رصيد المخزن'!$A$5:$A$304,0)),""))</f>
        <v/>
      </c>
      <c r="K274" s="49">
        <f>IF(C274="","",IF(N(J274)&lt;0,"صرف أكثر من الرصيد!",""))</f>
        <v/>
      </c>
    </row>
    <row r="275">
      <c r="A275" s="39">
        <f>IF(C275="","","ISS-"&amp;TEXT(ROW()-4,"0000"))</f>
        <v/>
      </c>
      <c r="B275" s="47" t="n"/>
      <c r="C275" s="50" t="n"/>
      <c r="D275" s="49">
        <f>IF(C275="","",IFERROR(INDEX('رصيد المخزن'!$B$5:$B$304,MATCH(C275,'رصيد المخزن'!$A$5:$A$304,0)),""))</f>
        <v/>
      </c>
      <c r="E275" s="39">
        <f>IF(C275="","",IFERROR(INDEX('رصيد المخزن'!$C$5:$C$304,MATCH(C275,'رصيد المخزن'!$A$5:$A$304,0)),""))</f>
        <v/>
      </c>
      <c r="F275" s="39">
        <f>IF(C275="","",IFERROR(INDEX('رصيد المخزن'!$D$5:$D$304,MATCH(C275,'رصيد المخزن'!$A$5:$A$304,0)),""))</f>
        <v/>
      </c>
      <c r="G275" s="41" t="n"/>
      <c r="H275" s="40" t="n"/>
      <c r="I275" s="40" t="n"/>
      <c r="J275" s="46">
        <f>IF(C275="","",IFERROR(INDEX('رصيد المخزن'!$H$5:$H$304,MATCH(C275,'رصيد المخزن'!$A$5:$A$304,0)),""))</f>
        <v/>
      </c>
      <c r="K275" s="49">
        <f>IF(C275="","",IF(N(J275)&lt;0,"صرف أكثر من الرصيد!",""))</f>
        <v/>
      </c>
    </row>
    <row r="276">
      <c r="A276" s="39">
        <f>IF(C276="","","ISS-"&amp;TEXT(ROW()-4,"0000"))</f>
        <v/>
      </c>
      <c r="B276" s="47" t="n"/>
      <c r="C276" s="50" t="n"/>
      <c r="D276" s="49">
        <f>IF(C276="","",IFERROR(INDEX('رصيد المخزن'!$B$5:$B$304,MATCH(C276,'رصيد المخزن'!$A$5:$A$304,0)),""))</f>
        <v/>
      </c>
      <c r="E276" s="39">
        <f>IF(C276="","",IFERROR(INDEX('رصيد المخزن'!$C$5:$C$304,MATCH(C276,'رصيد المخزن'!$A$5:$A$304,0)),""))</f>
        <v/>
      </c>
      <c r="F276" s="39">
        <f>IF(C276="","",IFERROR(INDEX('رصيد المخزن'!$D$5:$D$304,MATCH(C276,'رصيد المخزن'!$A$5:$A$304,0)),""))</f>
        <v/>
      </c>
      <c r="G276" s="41" t="n"/>
      <c r="H276" s="40" t="n"/>
      <c r="I276" s="40" t="n"/>
      <c r="J276" s="46">
        <f>IF(C276="","",IFERROR(INDEX('رصيد المخزن'!$H$5:$H$304,MATCH(C276,'رصيد المخزن'!$A$5:$A$304,0)),""))</f>
        <v/>
      </c>
      <c r="K276" s="49">
        <f>IF(C276="","",IF(N(J276)&lt;0,"صرف أكثر من الرصيد!",""))</f>
        <v/>
      </c>
    </row>
    <row r="277">
      <c r="A277" s="39">
        <f>IF(C277="","","ISS-"&amp;TEXT(ROW()-4,"0000"))</f>
        <v/>
      </c>
      <c r="B277" s="47" t="n"/>
      <c r="C277" s="50" t="n"/>
      <c r="D277" s="49">
        <f>IF(C277="","",IFERROR(INDEX('رصيد المخزن'!$B$5:$B$304,MATCH(C277,'رصيد المخزن'!$A$5:$A$304,0)),""))</f>
        <v/>
      </c>
      <c r="E277" s="39">
        <f>IF(C277="","",IFERROR(INDEX('رصيد المخزن'!$C$5:$C$304,MATCH(C277,'رصيد المخزن'!$A$5:$A$304,0)),""))</f>
        <v/>
      </c>
      <c r="F277" s="39">
        <f>IF(C277="","",IFERROR(INDEX('رصيد المخزن'!$D$5:$D$304,MATCH(C277,'رصيد المخزن'!$A$5:$A$304,0)),""))</f>
        <v/>
      </c>
      <c r="G277" s="41" t="n"/>
      <c r="H277" s="40" t="n"/>
      <c r="I277" s="40" t="n"/>
      <c r="J277" s="46">
        <f>IF(C277="","",IFERROR(INDEX('رصيد المخزن'!$H$5:$H$304,MATCH(C277,'رصيد المخزن'!$A$5:$A$304,0)),""))</f>
        <v/>
      </c>
      <c r="K277" s="49">
        <f>IF(C277="","",IF(N(J277)&lt;0,"صرف أكثر من الرصيد!",""))</f>
        <v/>
      </c>
    </row>
    <row r="278">
      <c r="A278" s="39">
        <f>IF(C278="","","ISS-"&amp;TEXT(ROW()-4,"0000"))</f>
        <v/>
      </c>
      <c r="B278" s="47" t="n"/>
      <c r="C278" s="50" t="n"/>
      <c r="D278" s="49">
        <f>IF(C278="","",IFERROR(INDEX('رصيد المخزن'!$B$5:$B$304,MATCH(C278,'رصيد المخزن'!$A$5:$A$304,0)),""))</f>
        <v/>
      </c>
      <c r="E278" s="39">
        <f>IF(C278="","",IFERROR(INDEX('رصيد المخزن'!$C$5:$C$304,MATCH(C278,'رصيد المخزن'!$A$5:$A$304,0)),""))</f>
        <v/>
      </c>
      <c r="F278" s="39">
        <f>IF(C278="","",IFERROR(INDEX('رصيد المخزن'!$D$5:$D$304,MATCH(C278,'رصيد المخزن'!$A$5:$A$304,0)),""))</f>
        <v/>
      </c>
      <c r="G278" s="41" t="n"/>
      <c r="H278" s="40" t="n"/>
      <c r="I278" s="40" t="n"/>
      <c r="J278" s="46">
        <f>IF(C278="","",IFERROR(INDEX('رصيد المخزن'!$H$5:$H$304,MATCH(C278,'رصيد المخزن'!$A$5:$A$304,0)),""))</f>
        <v/>
      </c>
      <c r="K278" s="49">
        <f>IF(C278="","",IF(N(J278)&lt;0,"صرف أكثر من الرصيد!",""))</f>
        <v/>
      </c>
    </row>
    <row r="279">
      <c r="A279" s="39">
        <f>IF(C279="","","ISS-"&amp;TEXT(ROW()-4,"0000"))</f>
        <v/>
      </c>
      <c r="B279" s="47" t="n"/>
      <c r="C279" s="50" t="n"/>
      <c r="D279" s="49">
        <f>IF(C279="","",IFERROR(INDEX('رصيد المخزن'!$B$5:$B$304,MATCH(C279,'رصيد المخزن'!$A$5:$A$304,0)),""))</f>
        <v/>
      </c>
      <c r="E279" s="39">
        <f>IF(C279="","",IFERROR(INDEX('رصيد المخزن'!$C$5:$C$304,MATCH(C279,'رصيد المخزن'!$A$5:$A$304,0)),""))</f>
        <v/>
      </c>
      <c r="F279" s="39">
        <f>IF(C279="","",IFERROR(INDEX('رصيد المخزن'!$D$5:$D$304,MATCH(C279,'رصيد المخزن'!$A$5:$A$304,0)),""))</f>
        <v/>
      </c>
      <c r="G279" s="41" t="n"/>
      <c r="H279" s="40" t="n"/>
      <c r="I279" s="40" t="n"/>
      <c r="J279" s="46">
        <f>IF(C279="","",IFERROR(INDEX('رصيد المخزن'!$H$5:$H$304,MATCH(C279,'رصيد المخزن'!$A$5:$A$304,0)),""))</f>
        <v/>
      </c>
      <c r="K279" s="49">
        <f>IF(C279="","",IF(N(J279)&lt;0,"صرف أكثر من الرصيد!",""))</f>
        <v/>
      </c>
    </row>
    <row r="280">
      <c r="A280" s="39">
        <f>IF(C280="","","ISS-"&amp;TEXT(ROW()-4,"0000"))</f>
        <v/>
      </c>
      <c r="B280" s="47" t="n"/>
      <c r="C280" s="50" t="n"/>
      <c r="D280" s="49">
        <f>IF(C280="","",IFERROR(INDEX('رصيد المخزن'!$B$5:$B$304,MATCH(C280,'رصيد المخزن'!$A$5:$A$304,0)),""))</f>
        <v/>
      </c>
      <c r="E280" s="39">
        <f>IF(C280="","",IFERROR(INDEX('رصيد المخزن'!$C$5:$C$304,MATCH(C280,'رصيد المخزن'!$A$5:$A$304,0)),""))</f>
        <v/>
      </c>
      <c r="F280" s="39">
        <f>IF(C280="","",IFERROR(INDEX('رصيد المخزن'!$D$5:$D$304,MATCH(C280,'رصيد المخزن'!$A$5:$A$304,0)),""))</f>
        <v/>
      </c>
      <c r="G280" s="41" t="n"/>
      <c r="H280" s="40" t="n"/>
      <c r="I280" s="40" t="n"/>
      <c r="J280" s="46">
        <f>IF(C280="","",IFERROR(INDEX('رصيد المخزن'!$H$5:$H$304,MATCH(C280,'رصيد المخزن'!$A$5:$A$304,0)),""))</f>
        <v/>
      </c>
      <c r="K280" s="49">
        <f>IF(C280="","",IF(N(J280)&lt;0,"صرف أكثر من الرصيد!",""))</f>
        <v/>
      </c>
    </row>
    <row r="281">
      <c r="A281" s="39">
        <f>IF(C281="","","ISS-"&amp;TEXT(ROW()-4,"0000"))</f>
        <v/>
      </c>
      <c r="B281" s="47" t="n"/>
      <c r="C281" s="50" t="n"/>
      <c r="D281" s="49">
        <f>IF(C281="","",IFERROR(INDEX('رصيد المخزن'!$B$5:$B$304,MATCH(C281,'رصيد المخزن'!$A$5:$A$304,0)),""))</f>
        <v/>
      </c>
      <c r="E281" s="39">
        <f>IF(C281="","",IFERROR(INDEX('رصيد المخزن'!$C$5:$C$304,MATCH(C281,'رصيد المخزن'!$A$5:$A$304,0)),""))</f>
        <v/>
      </c>
      <c r="F281" s="39">
        <f>IF(C281="","",IFERROR(INDEX('رصيد المخزن'!$D$5:$D$304,MATCH(C281,'رصيد المخزن'!$A$5:$A$304,0)),""))</f>
        <v/>
      </c>
      <c r="G281" s="41" t="n"/>
      <c r="H281" s="40" t="n"/>
      <c r="I281" s="40" t="n"/>
      <c r="J281" s="46">
        <f>IF(C281="","",IFERROR(INDEX('رصيد المخزن'!$H$5:$H$304,MATCH(C281,'رصيد المخزن'!$A$5:$A$304,0)),""))</f>
        <v/>
      </c>
      <c r="K281" s="49">
        <f>IF(C281="","",IF(N(J281)&lt;0,"صرف أكثر من الرصيد!",""))</f>
        <v/>
      </c>
    </row>
    <row r="282">
      <c r="A282" s="39">
        <f>IF(C282="","","ISS-"&amp;TEXT(ROW()-4,"0000"))</f>
        <v/>
      </c>
      <c r="B282" s="47" t="n"/>
      <c r="C282" s="50" t="n"/>
      <c r="D282" s="49">
        <f>IF(C282="","",IFERROR(INDEX('رصيد المخزن'!$B$5:$B$304,MATCH(C282,'رصيد المخزن'!$A$5:$A$304,0)),""))</f>
        <v/>
      </c>
      <c r="E282" s="39">
        <f>IF(C282="","",IFERROR(INDEX('رصيد المخزن'!$C$5:$C$304,MATCH(C282,'رصيد المخزن'!$A$5:$A$304,0)),""))</f>
        <v/>
      </c>
      <c r="F282" s="39">
        <f>IF(C282="","",IFERROR(INDEX('رصيد المخزن'!$D$5:$D$304,MATCH(C282,'رصيد المخزن'!$A$5:$A$304,0)),""))</f>
        <v/>
      </c>
      <c r="G282" s="41" t="n"/>
      <c r="H282" s="40" t="n"/>
      <c r="I282" s="40" t="n"/>
      <c r="J282" s="46">
        <f>IF(C282="","",IFERROR(INDEX('رصيد المخزن'!$H$5:$H$304,MATCH(C282,'رصيد المخزن'!$A$5:$A$304,0)),""))</f>
        <v/>
      </c>
      <c r="K282" s="49">
        <f>IF(C282="","",IF(N(J282)&lt;0,"صرف أكثر من الرصيد!",""))</f>
        <v/>
      </c>
    </row>
    <row r="283">
      <c r="A283" s="39">
        <f>IF(C283="","","ISS-"&amp;TEXT(ROW()-4,"0000"))</f>
        <v/>
      </c>
      <c r="B283" s="47" t="n"/>
      <c r="C283" s="50" t="n"/>
      <c r="D283" s="49">
        <f>IF(C283="","",IFERROR(INDEX('رصيد المخزن'!$B$5:$B$304,MATCH(C283,'رصيد المخزن'!$A$5:$A$304,0)),""))</f>
        <v/>
      </c>
      <c r="E283" s="39">
        <f>IF(C283="","",IFERROR(INDEX('رصيد المخزن'!$C$5:$C$304,MATCH(C283,'رصيد المخزن'!$A$5:$A$304,0)),""))</f>
        <v/>
      </c>
      <c r="F283" s="39">
        <f>IF(C283="","",IFERROR(INDEX('رصيد المخزن'!$D$5:$D$304,MATCH(C283,'رصيد المخزن'!$A$5:$A$304,0)),""))</f>
        <v/>
      </c>
      <c r="G283" s="41" t="n"/>
      <c r="H283" s="40" t="n"/>
      <c r="I283" s="40" t="n"/>
      <c r="J283" s="46">
        <f>IF(C283="","",IFERROR(INDEX('رصيد المخزن'!$H$5:$H$304,MATCH(C283,'رصيد المخزن'!$A$5:$A$304,0)),""))</f>
        <v/>
      </c>
      <c r="K283" s="49">
        <f>IF(C283="","",IF(N(J283)&lt;0,"صرف أكثر من الرصيد!",""))</f>
        <v/>
      </c>
    </row>
    <row r="284">
      <c r="A284" s="39">
        <f>IF(C284="","","ISS-"&amp;TEXT(ROW()-4,"0000"))</f>
        <v/>
      </c>
      <c r="B284" s="47" t="n"/>
      <c r="C284" s="50" t="n"/>
      <c r="D284" s="49">
        <f>IF(C284="","",IFERROR(INDEX('رصيد المخزن'!$B$5:$B$304,MATCH(C284,'رصيد المخزن'!$A$5:$A$304,0)),""))</f>
        <v/>
      </c>
      <c r="E284" s="39">
        <f>IF(C284="","",IFERROR(INDEX('رصيد المخزن'!$C$5:$C$304,MATCH(C284,'رصيد المخزن'!$A$5:$A$304,0)),""))</f>
        <v/>
      </c>
      <c r="F284" s="39">
        <f>IF(C284="","",IFERROR(INDEX('رصيد المخزن'!$D$5:$D$304,MATCH(C284,'رصيد المخزن'!$A$5:$A$304,0)),""))</f>
        <v/>
      </c>
      <c r="G284" s="41" t="n"/>
      <c r="H284" s="40" t="n"/>
      <c r="I284" s="40" t="n"/>
      <c r="J284" s="46">
        <f>IF(C284="","",IFERROR(INDEX('رصيد المخزن'!$H$5:$H$304,MATCH(C284,'رصيد المخزن'!$A$5:$A$304,0)),""))</f>
        <v/>
      </c>
      <c r="K284" s="49">
        <f>IF(C284="","",IF(N(J284)&lt;0,"صرف أكثر من الرصيد!",""))</f>
        <v/>
      </c>
    </row>
    <row r="285">
      <c r="A285" s="39">
        <f>IF(C285="","","ISS-"&amp;TEXT(ROW()-4,"0000"))</f>
        <v/>
      </c>
      <c r="B285" s="47" t="n"/>
      <c r="C285" s="50" t="n"/>
      <c r="D285" s="49">
        <f>IF(C285="","",IFERROR(INDEX('رصيد المخزن'!$B$5:$B$304,MATCH(C285,'رصيد المخزن'!$A$5:$A$304,0)),""))</f>
        <v/>
      </c>
      <c r="E285" s="39">
        <f>IF(C285="","",IFERROR(INDEX('رصيد المخزن'!$C$5:$C$304,MATCH(C285,'رصيد المخزن'!$A$5:$A$304,0)),""))</f>
        <v/>
      </c>
      <c r="F285" s="39">
        <f>IF(C285="","",IFERROR(INDEX('رصيد المخزن'!$D$5:$D$304,MATCH(C285,'رصيد المخزن'!$A$5:$A$304,0)),""))</f>
        <v/>
      </c>
      <c r="G285" s="41" t="n"/>
      <c r="H285" s="40" t="n"/>
      <c r="I285" s="40" t="n"/>
      <c r="J285" s="46">
        <f>IF(C285="","",IFERROR(INDEX('رصيد المخزن'!$H$5:$H$304,MATCH(C285,'رصيد المخزن'!$A$5:$A$304,0)),""))</f>
        <v/>
      </c>
      <c r="K285" s="49">
        <f>IF(C285="","",IF(N(J285)&lt;0,"صرف أكثر من الرصيد!",""))</f>
        <v/>
      </c>
    </row>
    <row r="286">
      <c r="A286" s="39">
        <f>IF(C286="","","ISS-"&amp;TEXT(ROW()-4,"0000"))</f>
        <v/>
      </c>
      <c r="B286" s="47" t="n"/>
      <c r="C286" s="50" t="n"/>
      <c r="D286" s="49">
        <f>IF(C286="","",IFERROR(INDEX('رصيد المخزن'!$B$5:$B$304,MATCH(C286,'رصيد المخزن'!$A$5:$A$304,0)),""))</f>
        <v/>
      </c>
      <c r="E286" s="39">
        <f>IF(C286="","",IFERROR(INDEX('رصيد المخزن'!$C$5:$C$304,MATCH(C286,'رصيد المخزن'!$A$5:$A$304,0)),""))</f>
        <v/>
      </c>
      <c r="F286" s="39">
        <f>IF(C286="","",IFERROR(INDEX('رصيد المخزن'!$D$5:$D$304,MATCH(C286,'رصيد المخزن'!$A$5:$A$304,0)),""))</f>
        <v/>
      </c>
      <c r="G286" s="41" t="n"/>
      <c r="H286" s="40" t="n"/>
      <c r="I286" s="40" t="n"/>
      <c r="J286" s="46">
        <f>IF(C286="","",IFERROR(INDEX('رصيد المخزن'!$H$5:$H$304,MATCH(C286,'رصيد المخزن'!$A$5:$A$304,0)),""))</f>
        <v/>
      </c>
      <c r="K286" s="49">
        <f>IF(C286="","",IF(N(J286)&lt;0,"صرف أكثر من الرصيد!",""))</f>
        <v/>
      </c>
    </row>
    <row r="287">
      <c r="A287" s="39">
        <f>IF(C287="","","ISS-"&amp;TEXT(ROW()-4,"0000"))</f>
        <v/>
      </c>
      <c r="B287" s="47" t="n"/>
      <c r="C287" s="50" t="n"/>
      <c r="D287" s="49">
        <f>IF(C287="","",IFERROR(INDEX('رصيد المخزن'!$B$5:$B$304,MATCH(C287,'رصيد المخزن'!$A$5:$A$304,0)),""))</f>
        <v/>
      </c>
      <c r="E287" s="39">
        <f>IF(C287="","",IFERROR(INDEX('رصيد المخزن'!$C$5:$C$304,MATCH(C287,'رصيد المخزن'!$A$5:$A$304,0)),""))</f>
        <v/>
      </c>
      <c r="F287" s="39">
        <f>IF(C287="","",IFERROR(INDEX('رصيد المخزن'!$D$5:$D$304,MATCH(C287,'رصيد المخزن'!$A$5:$A$304,0)),""))</f>
        <v/>
      </c>
      <c r="G287" s="41" t="n"/>
      <c r="H287" s="40" t="n"/>
      <c r="I287" s="40" t="n"/>
      <c r="J287" s="46">
        <f>IF(C287="","",IFERROR(INDEX('رصيد المخزن'!$H$5:$H$304,MATCH(C287,'رصيد المخزن'!$A$5:$A$304,0)),""))</f>
        <v/>
      </c>
      <c r="K287" s="49">
        <f>IF(C287="","",IF(N(J287)&lt;0,"صرف أكثر من الرصيد!",""))</f>
        <v/>
      </c>
    </row>
    <row r="288">
      <c r="A288" s="39">
        <f>IF(C288="","","ISS-"&amp;TEXT(ROW()-4,"0000"))</f>
        <v/>
      </c>
      <c r="B288" s="47" t="n"/>
      <c r="C288" s="50" t="n"/>
      <c r="D288" s="49">
        <f>IF(C288="","",IFERROR(INDEX('رصيد المخزن'!$B$5:$B$304,MATCH(C288,'رصيد المخزن'!$A$5:$A$304,0)),""))</f>
        <v/>
      </c>
      <c r="E288" s="39">
        <f>IF(C288="","",IFERROR(INDEX('رصيد المخزن'!$C$5:$C$304,MATCH(C288,'رصيد المخزن'!$A$5:$A$304,0)),""))</f>
        <v/>
      </c>
      <c r="F288" s="39">
        <f>IF(C288="","",IFERROR(INDEX('رصيد المخزن'!$D$5:$D$304,MATCH(C288,'رصيد المخزن'!$A$5:$A$304,0)),""))</f>
        <v/>
      </c>
      <c r="G288" s="41" t="n"/>
      <c r="H288" s="40" t="n"/>
      <c r="I288" s="40" t="n"/>
      <c r="J288" s="46">
        <f>IF(C288="","",IFERROR(INDEX('رصيد المخزن'!$H$5:$H$304,MATCH(C288,'رصيد المخزن'!$A$5:$A$304,0)),""))</f>
        <v/>
      </c>
      <c r="K288" s="49">
        <f>IF(C288="","",IF(N(J288)&lt;0,"صرف أكثر من الرصيد!",""))</f>
        <v/>
      </c>
    </row>
    <row r="289">
      <c r="A289" s="39">
        <f>IF(C289="","","ISS-"&amp;TEXT(ROW()-4,"0000"))</f>
        <v/>
      </c>
      <c r="B289" s="47" t="n"/>
      <c r="C289" s="50" t="n"/>
      <c r="D289" s="49">
        <f>IF(C289="","",IFERROR(INDEX('رصيد المخزن'!$B$5:$B$304,MATCH(C289,'رصيد المخزن'!$A$5:$A$304,0)),""))</f>
        <v/>
      </c>
      <c r="E289" s="39">
        <f>IF(C289="","",IFERROR(INDEX('رصيد المخزن'!$C$5:$C$304,MATCH(C289,'رصيد المخزن'!$A$5:$A$304,0)),""))</f>
        <v/>
      </c>
      <c r="F289" s="39">
        <f>IF(C289="","",IFERROR(INDEX('رصيد المخزن'!$D$5:$D$304,MATCH(C289,'رصيد المخزن'!$A$5:$A$304,0)),""))</f>
        <v/>
      </c>
      <c r="G289" s="41" t="n"/>
      <c r="H289" s="40" t="n"/>
      <c r="I289" s="40" t="n"/>
      <c r="J289" s="46">
        <f>IF(C289="","",IFERROR(INDEX('رصيد المخزن'!$H$5:$H$304,MATCH(C289,'رصيد المخزن'!$A$5:$A$304,0)),""))</f>
        <v/>
      </c>
      <c r="K289" s="49">
        <f>IF(C289="","",IF(N(J289)&lt;0,"صرف أكثر من الرصيد!",""))</f>
        <v/>
      </c>
    </row>
    <row r="290">
      <c r="A290" s="39">
        <f>IF(C290="","","ISS-"&amp;TEXT(ROW()-4,"0000"))</f>
        <v/>
      </c>
      <c r="B290" s="47" t="n"/>
      <c r="C290" s="50" t="n"/>
      <c r="D290" s="49">
        <f>IF(C290="","",IFERROR(INDEX('رصيد المخزن'!$B$5:$B$304,MATCH(C290,'رصيد المخزن'!$A$5:$A$304,0)),""))</f>
        <v/>
      </c>
      <c r="E290" s="39">
        <f>IF(C290="","",IFERROR(INDEX('رصيد المخزن'!$C$5:$C$304,MATCH(C290,'رصيد المخزن'!$A$5:$A$304,0)),""))</f>
        <v/>
      </c>
      <c r="F290" s="39">
        <f>IF(C290="","",IFERROR(INDEX('رصيد المخزن'!$D$5:$D$304,MATCH(C290,'رصيد المخزن'!$A$5:$A$304,0)),""))</f>
        <v/>
      </c>
      <c r="G290" s="41" t="n"/>
      <c r="H290" s="40" t="n"/>
      <c r="I290" s="40" t="n"/>
      <c r="J290" s="46">
        <f>IF(C290="","",IFERROR(INDEX('رصيد المخزن'!$H$5:$H$304,MATCH(C290,'رصيد المخزن'!$A$5:$A$304,0)),""))</f>
        <v/>
      </c>
      <c r="K290" s="49">
        <f>IF(C290="","",IF(N(J290)&lt;0,"صرف أكثر من الرصيد!",""))</f>
        <v/>
      </c>
    </row>
    <row r="291">
      <c r="A291" s="39">
        <f>IF(C291="","","ISS-"&amp;TEXT(ROW()-4,"0000"))</f>
        <v/>
      </c>
      <c r="B291" s="47" t="n"/>
      <c r="C291" s="50" t="n"/>
      <c r="D291" s="49">
        <f>IF(C291="","",IFERROR(INDEX('رصيد المخزن'!$B$5:$B$304,MATCH(C291,'رصيد المخزن'!$A$5:$A$304,0)),""))</f>
        <v/>
      </c>
      <c r="E291" s="39">
        <f>IF(C291="","",IFERROR(INDEX('رصيد المخزن'!$C$5:$C$304,MATCH(C291,'رصيد المخزن'!$A$5:$A$304,0)),""))</f>
        <v/>
      </c>
      <c r="F291" s="39">
        <f>IF(C291="","",IFERROR(INDEX('رصيد المخزن'!$D$5:$D$304,MATCH(C291,'رصيد المخزن'!$A$5:$A$304,0)),""))</f>
        <v/>
      </c>
      <c r="G291" s="41" t="n"/>
      <c r="H291" s="40" t="n"/>
      <c r="I291" s="40" t="n"/>
      <c r="J291" s="46">
        <f>IF(C291="","",IFERROR(INDEX('رصيد المخزن'!$H$5:$H$304,MATCH(C291,'رصيد المخزن'!$A$5:$A$304,0)),""))</f>
        <v/>
      </c>
      <c r="K291" s="49">
        <f>IF(C291="","",IF(N(J291)&lt;0,"صرف أكثر من الرصيد!",""))</f>
        <v/>
      </c>
    </row>
    <row r="292">
      <c r="A292" s="39">
        <f>IF(C292="","","ISS-"&amp;TEXT(ROW()-4,"0000"))</f>
        <v/>
      </c>
      <c r="B292" s="47" t="n"/>
      <c r="C292" s="50" t="n"/>
      <c r="D292" s="49">
        <f>IF(C292="","",IFERROR(INDEX('رصيد المخزن'!$B$5:$B$304,MATCH(C292,'رصيد المخزن'!$A$5:$A$304,0)),""))</f>
        <v/>
      </c>
      <c r="E292" s="39">
        <f>IF(C292="","",IFERROR(INDEX('رصيد المخزن'!$C$5:$C$304,MATCH(C292,'رصيد المخزن'!$A$5:$A$304,0)),""))</f>
        <v/>
      </c>
      <c r="F292" s="39">
        <f>IF(C292="","",IFERROR(INDEX('رصيد المخزن'!$D$5:$D$304,MATCH(C292,'رصيد المخزن'!$A$5:$A$304,0)),""))</f>
        <v/>
      </c>
      <c r="G292" s="41" t="n"/>
      <c r="H292" s="40" t="n"/>
      <c r="I292" s="40" t="n"/>
      <c r="J292" s="46">
        <f>IF(C292="","",IFERROR(INDEX('رصيد المخزن'!$H$5:$H$304,MATCH(C292,'رصيد المخزن'!$A$5:$A$304,0)),""))</f>
        <v/>
      </c>
      <c r="K292" s="49">
        <f>IF(C292="","",IF(N(J292)&lt;0,"صرف أكثر من الرصيد!",""))</f>
        <v/>
      </c>
    </row>
    <row r="293">
      <c r="A293" s="39">
        <f>IF(C293="","","ISS-"&amp;TEXT(ROW()-4,"0000"))</f>
        <v/>
      </c>
      <c r="B293" s="47" t="n"/>
      <c r="C293" s="50" t="n"/>
      <c r="D293" s="49">
        <f>IF(C293="","",IFERROR(INDEX('رصيد المخزن'!$B$5:$B$304,MATCH(C293,'رصيد المخزن'!$A$5:$A$304,0)),""))</f>
        <v/>
      </c>
      <c r="E293" s="39">
        <f>IF(C293="","",IFERROR(INDEX('رصيد المخزن'!$C$5:$C$304,MATCH(C293,'رصيد المخزن'!$A$5:$A$304,0)),""))</f>
        <v/>
      </c>
      <c r="F293" s="39">
        <f>IF(C293="","",IFERROR(INDEX('رصيد المخزن'!$D$5:$D$304,MATCH(C293,'رصيد المخزن'!$A$5:$A$304,0)),""))</f>
        <v/>
      </c>
      <c r="G293" s="41" t="n"/>
      <c r="H293" s="40" t="n"/>
      <c r="I293" s="40" t="n"/>
      <c r="J293" s="46">
        <f>IF(C293="","",IFERROR(INDEX('رصيد المخزن'!$H$5:$H$304,MATCH(C293,'رصيد المخزن'!$A$5:$A$304,0)),""))</f>
        <v/>
      </c>
      <c r="K293" s="49">
        <f>IF(C293="","",IF(N(J293)&lt;0,"صرف أكثر من الرصيد!",""))</f>
        <v/>
      </c>
    </row>
    <row r="294">
      <c r="A294" s="39">
        <f>IF(C294="","","ISS-"&amp;TEXT(ROW()-4,"0000"))</f>
        <v/>
      </c>
      <c r="B294" s="47" t="n"/>
      <c r="C294" s="50" t="n"/>
      <c r="D294" s="49">
        <f>IF(C294="","",IFERROR(INDEX('رصيد المخزن'!$B$5:$B$304,MATCH(C294,'رصيد المخزن'!$A$5:$A$304,0)),""))</f>
        <v/>
      </c>
      <c r="E294" s="39">
        <f>IF(C294="","",IFERROR(INDEX('رصيد المخزن'!$C$5:$C$304,MATCH(C294,'رصيد المخزن'!$A$5:$A$304,0)),""))</f>
        <v/>
      </c>
      <c r="F294" s="39">
        <f>IF(C294="","",IFERROR(INDEX('رصيد المخزن'!$D$5:$D$304,MATCH(C294,'رصيد المخزن'!$A$5:$A$304,0)),""))</f>
        <v/>
      </c>
      <c r="G294" s="41" t="n"/>
      <c r="H294" s="40" t="n"/>
      <c r="I294" s="40" t="n"/>
      <c r="J294" s="46">
        <f>IF(C294="","",IFERROR(INDEX('رصيد المخزن'!$H$5:$H$304,MATCH(C294,'رصيد المخزن'!$A$5:$A$304,0)),""))</f>
        <v/>
      </c>
      <c r="K294" s="49">
        <f>IF(C294="","",IF(N(J294)&lt;0,"صرف أكثر من الرصيد!",""))</f>
        <v/>
      </c>
    </row>
    <row r="295">
      <c r="A295" s="39">
        <f>IF(C295="","","ISS-"&amp;TEXT(ROW()-4,"0000"))</f>
        <v/>
      </c>
      <c r="B295" s="47" t="n"/>
      <c r="C295" s="50" t="n"/>
      <c r="D295" s="49">
        <f>IF(C295="","",IFERROR(INDEX('رصيد المخزن'!$B$5:$B$304,MATCH(C295,'رصيد المخزن'!$A$5:$A$304,0)),""))</f>
        <v/>
      </c>
      <c r="E295" s="39">
        <f>IF(C295="","",IFERROR(INDEX('رصيد المخزن'!$C$5:$C$304,MATCH(C295,'رصيد المخزن'!$A$5:$A$304,0)),""))</f>
        <v/>
      </c>
      <c r="F295" s="39">
        <f>IF(C295="","",IFERROR(INDEX('رصيد المخزن'!$D$5:$D$304,MATCH(C295,'رصيد المخزن'!$A$5:$A$304,0)),""))</f>
        <v/>
      </c>
      <c r="G295" s="41" t="n"/>
      <c r="H295" s="40" t="n"/>
      <c r="I295" s="40" t="n"/>
      <c r="J295" s="46">
        <f>IF(C295="","",IFERROR(INDEX('رصيد المخزن'!$H$5:$H$304,MATCH(C295,'رصيد المخزن'!$A$5:$A$304,0)),""))</f>
        <v/>
      </c>
      <c r="K295" s="49">
        <f>IF(C295="","",IF(N(J295)&lt;0,"صرف أكثر من الرصيد!",""))</f>
        <v/>
      </c>
    </row>
    <row r="296">
      <c r="A296" s="39">
        <f>IF(C296="","","ISS-"&amp;TEXT(ROW()-4,"0000"))</f>
        <v/>
      </c>
      <c r="B296" s="47" t="n"/>
      <c r="C296" s="50" t="n"/>
      <c r="D296" s="49">
        <f>IF(C296="","",IFERROR(INDEX('رصيد المخزن'!$B$5:$B$304,MATCH(C296,'رصيد المخزن'!$A$5:$A$304,0)),""))</f>
        <v/>
      </c>
      <c r="E296" s="39">
        <f>IF(C296="","",IFERROR(INDEX('رصيد المخزن'!$C$5:$C$304,MATCH(C296,'رصيد المخزن'!$A$5:$A$304,0)),""))</f>
        <v/>
      </c>
      <c r="F296" s="39">
        <f>IF(C296="","",IFERROR(INDEX('رصيد المخزن'!$D$5:$D$304,MATCH(C296,'رصيد المخزن'!$A$5:$A$304,0)),""))</f>
        <v/>
      </c>
      <c r="G296" s="41" t="n"/>
      <c r="H296" s="40" t="n"/>
      <c r="I296" s="40" t="n"/>
      <c r="J296" s="46">
        <f>IF(C296="","",IFERROR(INDEX('رصيد المخزن'!$H$5:$H$304,MATCH(C296,'رصيد المخزن'!$A$5:$A$304,0)),""))</f>
        <v/>
      </c>
      <c r="K296" s="49">
        <f>IF(C296="","",IF(N(J296)&lt;0,"صرف أكثر من الرصيد!",""))</f>
        <v/>
      </c>
    </row>
    <row r="297">
      <c r="A297" s="39">
        <f>IF(C297="","","ISS-"&amp;TEXT(ROW()-4,"0000"))</f>
        <v/>
      </c>
      <c r="B297" s="47" t="n"/>
      <c r="C297" s="50" t="n"/>
      <c r="D297" s="49">
        <f>IF(C297="","",IFERROR(INDEX('رصيد المخزن'!$B$5:$B$304,MATCH(C297,'رصيد المخزن'!$A$5:$A$304,0)),""))</f>
        <v/>
      </c>
      <c r="E297" s="39">
        <f>IF(C297="","",IFERROR(INDEX('رصيد المخزن'!$C$5:$C$304,MATCH(C297,'رصيد المخزن'!$A$5:$A$304,0)),""))</f>
        <v/>
      </c>
      <c r="F297" s="39">
        <f>IF(C297="","",IFERROR(INDEX('رصيد المخزن'!$D$5:$D$304,MATCH(C297,'رصيد المخزن'!$A$5:$A$304,0)),""))</f>
        <v/>
      </c>
      <c r="G297" s="41" t="n"/>
      <c r="H297" s="40" t="n"/>
      <c r="I297" s="40" t="n"/>
      <c r="J297" s="46">
        <f>IF(C297="","",IFERROR(INDEX('رصيد المخزن'!$H$5:$H$304,MATCH(C297,'رصيد المخزن'!$A$5:$A$304,0)),""))</f>
        <v/>
      </c>
      <c r="K297" s="49">
        <f>IF(C297="","",IF(N(J297)&lt;0,"صرف أكثر من الرصيد!",""))</f>
        <v/>
      </c>
    </row>
    <row r="298">
      <c r="A298" s="39">
        <f>IF(C298="","","ISS-"&amp;TEXT(ROW()-4,"0000"))</f>
        <v/>
      </c>
      <c r="B298" s="47" t="n"/>
      <c r="C298" s="50" t="n"/>
      <c r="D298" s="49">
        <f>IF(C298="","",IFERROR(INDEX('رصيد المخزن'!$B$5:$B$304,MATCH(C298,'رصيد المخزن'!$A$5:$A$304,0)),""))</f>
        <v/>
      </c>
      <c r="E298" s="39">
        <f>IF(C298="","",IFERROR(INDEX('رصيد المخزن'!$C$5:$C$304,MATCH(C298,'رصيد المخزن'!$A$5:$A$304,0)),""))</f>
        <v/>
      </c>
      <c r="F298" s="39">
        <f>IF(C298="","",IFERROR(INDEX('رصيد المخزن'!$D$5:$D$304,MATCH(C298,'رصيد المخزن'!$A$5:$A$304,0)),""))</f>
        <v/>
      </c>
      <c r="G298" s="41" t="n"/>
      <c r="H298" s="40" t="n"/>
      <c r="I298" s="40" t="n"/>
      <c r="J298" s="46">
        <f>IF(C298="","",IFERROR(INDEX('رصيد المخزن'!$H$5:$H$304,MATCH(C298,'رصيد المخزن'!$A$5:$A$304,0)),""))</f>
        <v/>
      </c>
      <c r="K298" s="49">
        <f>IF(C298="","",IF(N(J298)&lt;0,"صرف أكثر من الرصيد!",""))</f>
        <v/>
      </c>
    </row>
    <row r="299">
      <c r="A299" s="39">
        <f>IF(C299="","","ISS-"&amp;TEXT(ROW()-4,"0000"))</f>
        <v/>
      </c>
      <c r="B299" s="47" t="n"/>
      <c r="C299" s="50" t="n"/>
      <c r="D299" s="49">
        <f>IF(C299="","",IFERROR(INDEX('رصيد المخزن'!$B$5:$B$304,MATCH(C299,'رصيد المخزن'!$A$5:$A$304,0)),""))</f>
        <v/>
      </c>
      <c r="E299" s="39">
        <f>IF(C299="","",IFERROR(INDEX('رصيد المخزن'!$C$5:$C$304,MATCH(C299,'رصيد المخزن'!$A$5:$A$304,0)),""))</f>
        <v/>
      </c>
      <c r="F299" s="39">
        <f>IF(C299="","",IFERROR(INDEX('رصيد المخزن'!$D$5:$D$304,MATCH(C299,'رصيد المخزن'!$A$5:$A$304,0)),""))</f>
        <v/>
      </c>
      <c r="G299" s="41" t="n"/>
      <c r="H299" s="40" t="n"/>
      <c r="I299" s="40" t="n"/>
      <c r="J299" s="46">
        <f>IF(C299="","",IFERROR(INDEX('رصيد المخزن'!$H$5:$H$304,MATCH(C299,'رصيد المخزن'!$A$5:$A$304,0)),""))</f>
        <v/>
      </c>
      <c r="K299" s="49">
        <f>IF(C299="","",IF(N(J299)&lt;0,"صرف أكثر من الرصيد!",""))</f>
        <v/>
      </c>
    </row>
    <row r="300">
      <c r="A300" s="39">
        <f>IF(C300="","","ISS-"&amp;TEXT(ROW()-4,"0000"))</f>
        <v/>
      </c>
      <c r="B300" s="47" t="n"/>
      <c r="C300" s="50" t="n"/>
      <c r="D300" s="49">
        <f>IF(C300="","",IFERROR(INDEX('رصيد المخزن'!$B$5:$B$304,MATCH(C300,'رصيد المخزن'!$A$5:$A$304,0)),""))</f>
        <v/>
      </c>
      <c r="E300" s="39">
        <f>IF(C300="","",IFERROR(INDEX('رصيد المخزن'!$C$5:$C$304,MATCH(C300,'رصيد المخزن'!$A$5:$A$304,0)),""))</f>
        <v/>
      </c>
      <c r="F300" s="39">
        <f>IF(C300="","",IFERROR(INDEX('رصيد المخزن'!$D$5:$D$304,MATCH(C300,'رصيد المخزن'!$A$5:$A$304,0)),""))</f>
        <v/>
      </c>
      <c r="G300" s="41" t="n"/>
      <c r="H300" s="40" t="n"/>
      <c r="I300" s="40" t="n"/>
      <c r="J300" s="46">
        <f>IF(C300="","",IFERROR(INDEX('رصيد المخزن'!$H$5:$H$304,MATCH(C300,'رصيد المخزن'!$A$5:$A$304,0)),""))</f>
        <v/>
      </c>
      <c r="K300" s="49">
        <f>IF(C300="","",IF(N(J300)&lt;0,"صرف أكثر من الرصيد!",""))</f>
        <v/>
      </c>
    </row>
    <row r="301">
      <c r="A301" s="39">
        <f>IF(C301="","","ISS-"&amp;TEXT(ROW()-4,"0000"))</f>
        <v/>
      </c>
      <c r="B301" s="47" t="n"/>
      <c r="C301" s="50" t="n"/>
      <c r="D301" s="49">
        <f>IF(C301="","",IFERROR(INDEX('رصيد المخزن'!$B$5:$B$304,MATCH(C301,'رصيد المخزن'!$A$5:$A$304,0)),""))</f>
        <v/>
      </c>
      <c r="E301" s="39">
        <f>IF(C301="","",IFERROR(INDEX('رصيد المخزن'!$C$5:$C$304,MATCH(C301,'رصيد المخزن'!$A$5:$A$304,0)),""))</f>
        <v/>
      </c>
      <c r="F301" s="39">
        <f>IF(C301="","",IFERROR(INDEX('رصيد المخزن'!$D$5:$D$304,MATCH(C301,'رصيد المخزن'!$A$5:$A$304,0)),""))</f>
        <v/>
      </c>
      <c r="G301" s="41" t="n"/>
      <c r="H301" s="40" t="n"/>
      <c r="I301" s="40" t="n"/>
      <c r="J301" s="46">
        <f>IF(C301="","",IFERROR(INDEX('رصيد المخزن'!$H$5:$H$304,MATCH(C301,'رصيد المخزن'!$A$5:$A$304,0)),""))</f>
        <v/>
      </c>
      <c r="K301" s="49">
        <f>IF(C301="","",IF(N(J301)&lt;0,"صرف أكثر من الرصيد!",""))</f>
        <v/>
      </c>
    </row>
    <row r="302">
      <c r="A302" s="39">
        <f>IF(C302="","","ISS-"&amp;TEXT(ROW()-4,"0000"))</f>
        <v/>
      </c>
      <c r="B302" s="47" t="n"/>
      <c r="C302" s="50" t="n"/>
      <c r="D302" s="49">
        <f>IF(C302="","",IFERROR(INDEX('رصيد المخزن'!$B$5:$B$304,MATCH(C302,'رصيد المخزن'!$A$5:$A$304,0)),""))</f>
        <v/>
      </c>
      <c r="E302" s="39">
        <f>IF(C302="","",IFERROR(INDEX('رصيد المخزن'!$C$5:$C$304,MATCH(C302,'رصيد المخزن'!$A$5:$A$304,0)),""))</f>
        <v/>
      </c>
      <c r="F302" s="39">
        <f>IF(C302="","",IFERROR(INDEX('رصيد المخزن'!$D$5:$D$304,MATCH(C302,'رصيد المخزن'!$A$5:$A$304,0)),""))</f>
        <v/>
      </c>
      <c r="G302" s="41" t="n"/>
      <c r="H302" s="40" t="n"/>
      <c r="I302" s="40" t="n"/>
      <c r="J302" s="46">
        <f>IF(C302="","",IFERROR(INDEX('رصيد المخزن'!$H$5:$H$304,MATCH(C302,'رصيد المخزن'!$A$5:$A$304,0)),""))</f>
        <v/>
      </c>
      <c r="K302" s="49">
        <f>IF(C302="","",IF(N(J302)&lt;0,"صرف أكثر من الرصيد!",""))</f>
        <v/>
      </c>
    </row>
    <row r="303">
      <c r="A303" s="39">
        <f>IF(C303="","","ISS-"&amp;TEXT(ROW()-4,"0000"))</f>
        <v/>
      </c>
      <c r="B303" s="47" t="n"/>
      <c r="C303" s="50" t="n"/>
      <c r="D303" s="49">
        <f>IF(C303="","",IFERROR(INDEX('رصيد المخزن'!$B$5:$B$304,MATCH(C303,'رصيد المخزن'!$A$5:$A$304,0)),""))</f>
        <v/>
      </c>
      <c r="E303" s="39">
        <f>IF(C303="","",IFERROR(INDEX('رصيد المخزن'!$C$5:$C$304,MATCH(C303,'رصيد المخزن'!$A$5:$A$304,0)),""))</f>
        <v/>
      </c>
      <c r="F303" s="39">
        <f>IF(C303="","",IFERROR(INDEX('رصيد المخزن'!$D$5:$D$304,MATCH(C303,'رصيد المخزن'!$A$5:$A$304,0)),""))</f>
        <v/>
      </c>
      <c r="G303" s="41" t="n"/>
      <c r="H303" s="40" t="n"/>
      <c r="I303" s="40" t="n"/>
      <c r="J303" s="46">
        <f>IF(C303="","",IFERROR(INDEX('رصيد المخزن'!$H$5:$H$304,MATCH(C303,'رصيد المخزن'!$A$5:$A$304,0)),""))</f>
        <v/>
      </c>
      <c r="K303" s="49">
        <f>IF(C303="","",IF(N(J303)&lt;0,"صرف أكثر من الرصيد!",""))</f>
        <v/>
      </c>
    </row>
    <row r="304">
      <c r="A304" s="39">
        <f>IF(C304="","","ISS-"&amp;TEXT(ROW()-4,"0000"))</f>
        <v/>
      </c>
      <c r="B304" s="47" t="n"/>
      <c r="C304" s="50" t="n"/>
      <c r="D304" s="49">
        <f>IF(C304="","",IFERROR(INDEX('رصيد المخزن'!$B$5:$B$304,MATCH(C304,'رصيد المخزن'!$A$5:$A$304,0)),""))</f>
        <v/>
      </c>
      <c r="E304" s="39">
        <f>IF(C304="","",IFERROR(INDEX('رصيد المخزن'!$C$5:$C$304,MATCH(C304,'رصيد المخزن'!$A$5:$A$304,0)),""))</f>
        <v/>
      </c>
      <c r="F304" s="39">
        <f>IF(C304="","",IFERROR(INDEX('رصيد المخزن'!$D$5:$D$304,MATCH(C304,'رصيد المخزن'!$A$5:$A$304,0)),""))</f>
        <v/>
      </c>
      <c r="G304" s="41" t="n"/>
      <c r="H304" s="40" t="n"/>
      <c r="I304" s="40" t="n"/>
      <c r="J304" s="46">
        <f>IF(C304="","",IFERROR(INDEX('رصيد المخزن'!$H$5:$H$304,MATCH(C304,'رصيد المخزن'!$A$5:$A$304,0)),""))</f>
        <v/>
      </c>
      <c r="K304" s="49">
        <f>IF(C304="","",IF(N(J304)&lt;0,"صرف أكثر من الرصيد!",""))</f>
        <v/>
      </c>
    </row>
  </sheetData>
  <autoFilter ref="A4:K304"/>
  <mergeCells count="2">
    <mergeCell ref="A2:K2"/>
    <mergeCell ref="A1:K1"/>
  </mergeCells>
  <conditionalFormatting sqref="K5:K304">
    <cfRule type="expression" priority="1" dxfId="0" stopIfTrue="1">
      <formula>OR(ISNUMBER(SEARCH("متأخر",K5)),ISNUMBER(SEARCH("مرفوض",K5)),ISNUMBER(SEARCH("غير معتمدة",K5)),ISNUMBER(SEARCH("غير محصّل",K5)),ISNUMBER(SEARCH("سالب",K5)),ISNUMBER(SEARCH("أكثر من الرصيد",K5)),ISNUMBER(SEARCH("بتحفظات",K5)))</formula>
    </cfRule>
    <cfRule type="expression" priority="2" dxfId="1" stopIfTrue="1">
      <formula>OR(ISNUMBER(SEARCH("قيد",K5)),ISNUMBER(SEARCH("جزئي",K5)),ISNUMBER(SEARCH("بانتظار",K5)),ISNUMBER(SEARCH("مفتوح",K5)),ISNUMBER(SEARCH("أعد الطلب",K5)),ISNUMBER(SEARCH("لم يُورد",K5)),ISNUMBER(SEARCH("فترة الضمان",K5)),ISNUMBER(SEARCH("مُقدم",K5)))</formula>
    </cfRule>
    <cfRule type="expression" priority="3" dxfId="2" stopIfTrue="1">
      <formula>OR(ISNUMBER(SEARCH("معتمد",K5)),ISNUMBER(SEARCH("مقبول",K5)),ISNUMBER(SEARCH("مكتمل",K5)),ISNUMBER(SEARCH("مغلق",K5)),ISNUMBER(SEARCH("بالكامل",K5)),ISNUMBER(SEARCH("مسلّم",K5)),ISNUMBER(SEARCH("كامل",K5)),ISNUMBER(SEARCH("متاح",K5)),ISNUMBER(SEARCH("جاري",K5)))</formula>
    </cfRule>
  </conditionalFormatting>
  <dataValidations count="2">
    <dataValidation sqref="B5:B304" showDropDown="0" showInputMessage="0" showErrorMessage="1" allowBlank="1" errorTitle="تاريخ" error="أدخل تاريخاً صحيحاً" type="date" operator="between">
      <formula1>DATE(2000,1,1)</formula1>
      <formula2>DATE(2100,12,31)</formula2>
    </dataValidation>
    <dataValidation sqref="C5:C304" showDropDown="0" showInputMessage="0" showErrorMessage="1" allowBlank="1" errorTitle="قيمة غير صحيحة" error="اختر من القائمة المنسدلة فقط" type="list">
      <formula1>=L_Item</formula1>
    </dataValidation>
  </dataValidations>
  <hyperlinks>
    <hyperlink xmlns:r="http://schemas.openxmlformats.org/officeDocument/2006/relationships" ref="A3" r:id="rId1"/>
  </hyperlinks>
  <printOptions horizontalCentered="1"/>
  <pageMargins left="0.75" right="0.75" top="1" bottom="1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tabColor rgb="007B5EA7"/>
    <outlinePr summaryBelow="1" summaryRight="1"/>
    <pageSetUpPr fitToPage="1"/>
  </sheetPr>
  <dimension ref="A1:L304"/>
  <sheetViews>
    <sheetView showGridLines="0" rightToLeft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13" customWidth="1" min="4" max="4"/>
    <col width="28" customWidth="1" min="5" max="5"/>
    <col width="16" customWidth="1" min="6" max="6"/>
    <col width="12" customWidth="1" min="7" max="7"/>
    <col width="11" customWidth="1" min="8" max="8"/>
    <col width="11" customWidth="1" min="9" max="9"/>
    <col width="14" customWidth="1" min="10" max="10"/>
    <col width="16" customWidth="1" min="11" max="11"/>
    <col width="24" customWidth="1" min="12" max="12"/>
  </cols>
  <sheetData>
    <row r="1" ht="32" customHeight="1">
      <c r="A1" s="34">
        <f>S_Company&amp;"  |  طلبات الفحص"</f>
        <v/>
      </c>
    </row>
    <row r="2">
      <c r="A2" s="35" t="inlineStr">
        <is>
          <t>طلبات فحص واستلام الأعمال WIR (QF-IR-08)</t>
        </is>
      </c>
    </row>
    <row r="3">
      <c r="A3" s="33" t="inlineStr">
        <is>
          <t>↩ الرئيسية</t>
        </is>
      </c>
      <c r="B3" s="36" t="inlineStr">
        <is>
          <t xml:space="preserve">   ■ أصفر = إدخال يدوي    ■ رمادي = معادلة تلقائية (لا تكتب فيها)    — الصفوف الأولى أمثلة توضيحية؛ احذف قيم الإدخال واستبدلها ببياناتك</t>
        </is>
      </c>
    </row>
    <row r="4" ht="42" customHeight="1">
      <c r="A4" s="37" t="inlineStr">
        <is>
          <t>رقم الطلب</t>
        </is>
      </c>
      <c r="B4" s="38" t="inlineStr">
        <is>
          <t>كود المشروع</t>
        </is>
      </c>
      <c r="C4" s="37" t="inlineStr">
        <is>
          <t>اسم المشروع</t>
        </is>
      </c>
      <c r="D4" s="38" t="inlineStr">
        <is>
          <t>التخصص</t>
        </is>
      </c>
      <c r="E4" s="38" t="inlineStr">
        <is>
          <t>الأعمال المطلوب فحصها</t>
        </is>
      </c>
      <c r="F4" s="38" t="inlineStr">
        <is>
          <t>الموقع / الدور / المحور</t>
        </is>
      </c>
      <c r="G4" s="38" t="inlineStr">
        <is>
          <t>رقم المخطط</t>
        </is>
      </c>
      <c r="H4" s="38" t="inlineStr">
        <is>
          <t>تاريخ الطلب</t>
        </is>
      </c>
      <c r="I4" s="38" t="inlineStr">
        <is>
          <t>تاريخ الفحص</t>
        </is>
      </c>
      <c r="J4" s="38" t="inlineStr">
        <is>
          <t>نتيجة الفحص</t>
        </is>
      </c>
      <c r="K4" s="37" t="inlineStr">
        <is>
          <t>الحالة</t>
        </is>
      </c>
      <c r="L4" s="38" t="inlineStr">
        <is>
          <t>ملاحظات الاستشاري</t>
        </is>
      </c>
    </row>
    <row r="5">
      <c r="A5" s="39">
        <f>IF(B5="","","WIR-"&amp;TEXT(ROW()-4,"0000"))</f>
        <v/>
      </c>
      <c r="B5" s="50" t="inlineStr">
        <is>
          <t>PRJ-001</t>
        </is>
      </c>
      <c r="C5" s="49">
        <f>IF(B5="","",IFERROR(INDEX('المشروعات'!$B$5:$B$304,MATCH(B5,'المشروعات'!$A$5:$A$304,0)),""))</f>
        <v/>
      </c>
      <c r="D5" s="40" t="inlineStr">
        <is>
          <t>مدني/إنشائي</t>
        </is>
      </c>
      <c r="E5" s="40" t="inlineStr">
        <is>
          <t>حديد تسليح لبشة الأساسات</t>
        </is>
      </c>
      <c r="F5" s="40" t="inlineStr">
        <is>
          <t>المحاور A-D</t>
        </is>
      </c>
      <c r="G5" s="40" t="inlineStr">
        <is>
          <t>S-101</t>
        </is>
      </c>
      <c r="H5" s="47" t="n">
        <v>46011</v>
      </c>
      <c r="I5" s="47" t="n">
        <v>46012</v>
      </c>
      <c r="J5" s="40" t="inlineStr">
        <is>
          <t>مقبول بملاحظات</t>
        </is>
      </c>
      <c r="K5" s="49">
        <f>IF(B5="","",IF(J5="","بانتظار الفحص",J5))</f>
        <v/>
      </c>
      <c r="L5" s="40" t="inlineStr">
        <is>
          <t>استكمال الكراسي وتثبيت البسكوت</t>
        </is>
      </c>
    </row>
    <row r="6">
      <c r="A6" s="39">
        <f>IF(B6="","","WIR-"&amp;TEXT(ROW()-4,"0000"))</f>
        <v/>
      </c>
      <c r="B6" s="50" t="inlineStr">
        <is>
          <t>PRJ-001</t>
        </is>
      </c>
      <c r="C6" s="49">
        <f>IF(B6="","",IFERROR(INDEX('المشروعات'!$B$5:$B$304,MATCH(B6,'المشروعات'!$A$5:$A$304,0)),""))</f>
        <v/>
      </c>
      <c r="D6" s="40" t="inlineStr">
        <is>
          <t>كهرباء</t>
        </is>
      </c>
      <c r="E6" s="40" t="inlineStr">
        <is>
          <t>تمديدات مواسير سقف الدور الأول</t>
        </is>
      </c>
      <c r="F6" s="40" t="inlineStr">
        <is>
          <t>الدور الأول</t>
        </is>
      </c>
      <c r="G6" s="40" t="inlineStr">
        <is>
          <t>E-201</t>
        </is>
      </c>
      <c r="H6" s="47" t="n">
        <v>46292</v>
      </c>
      <c r="I6" s="47" t="n"/>
      <c r="J6" s="40" t="n"/>
      <c r="K6" s="49">
        <f>IF(B6="","",IF(J6="","بانتظار الفحص",J6))</f>
        <v/>
      </c>
      <c r="L6" s="40" t="n"/>
    </row>
    <row r="7">
      <c r="A7" s="39">
        <f>IF(B7="","","WIR-"&amp;TEXT(ROW()-4,"0000"))</f>
        <v/>
      </c>
      <c r="B7" s="50" t="n"/>
      <c r="C7" s="49">
        <f>IF(B7="","",IFERROR(INDEX('المشروعات'!$B$5:$B$304,MATCH(B7,'المشروعات'!$A$5:$A$304,0)),""))</f>
        <v/>
      </c>
      <c r="D7" s="40" t="n"/>
      <c r="E7" s="40" t="n"/>
      <c r="F7" s="40" t="n"/>
      <c r="G7" s="40" t="n"/>
      <c r="H7" s="47" t="n"/>
      <c r="I7" s="47" t="n"/>
      <c r="J7" s="40" t="n"/>
      <c r="K7" s="49">
        <f>IF(B7="","",IF(J7="","بانتظار الفحص",J7))</f>
        <v/>
      </c>
      <c r="L7" s="40" t="n"/>
    </row>
    <row r="8">
      <c r="A8" s="39">
        <f>IF(B8="","","WIR-"&amp;TEXT(ROW()-4,"0000"))</f>
        <v/>
      </c>
      <c r="B8" s="50" t="n"/>
      <c r="C8" s="49">
        <f>IF(B8="","",IFERROR(INDEX('المشروعات'!$B$5:$B$304,MATCH(B8,'المشروعات'!$A$5:$A$304,0)),""))</f>
        <v/>
      </c>
      <c r="D8" s="40" t="n"/>
      <c r="E8" s="40" t="n"/>
      <c r="F8" s="40" t="n"/>
      <c r="G8" s="40" t="n"/>
      <c r="H8" s="47" t="n"/>
      <c r="I8" s="47" t="n"/>
      <c r="J8" s="40" t="n"/>
      <c r="K8" s="49">
        <f>IF(B8="","",IF(J8="","بانتظار الفحص",J8))</f>
        <v/>
      </c>
      <c r="L8" s="40" t="n"/>
    </row>
    <row r="9">
      <c r="A9" s="39">
        <f>IF(B9="","","WIR-"&amp;TEXT(ROW()-4,"0000"))</f>
        <v/>
      </c>
      <c r="B9" s="50" t="n"/>
      <c r="C9" s="49">
        <f>IF(B9="","",IFERROR(INDEX('المشروعات'!$B$5:$B$304,MATCH(B9,'المشروعات'!$A$5:$A$304,0)),""))</f>
        <v/>
      </c>
      <c r="D9" s="40" t="n"/>
      <c r="E9" s="40" t="n"/>
      <c r="F9" s="40" t="n"/>
      <c r="G9" s="40" t="n"/>
      <c r="H9" s="47" t="n"/>
      <c r="I9" s="47" t="n"/>
      <c r="J9" s="40" t="n"/>
      <c r="K9" s="49">
        <f>IF(B9="","",IF(J9="","بانتظار الفحص",J9))</f>
        <v/>
      </c>
      <c r="L9" s="40" t="n"/>
    </row>
    <row r="10">
      <c r="A10" s="39">
        <f>IF(B10="","","WIR-"&amp;TEXT(ROW()-4,"0000"))</f>
        <v/>
      </c>
      <c r="B10" s="50" t="n"/>
      <c r="C10" s="49">
        <f>IF(B10="","",IFERROR(INDEX('المشروعات'!$B$5:$B$304,MATCH(B10,'المشروعات'!$A$5:$A$304,0)),""))</f>
        <v/>
      </c>
      <c r="D10" s="40" t="n"/>
      <c r="E10" s="40" t="n"/>
      <c r="F10" s="40" t="n"/>
      <c r="G10" s="40" t="n"/>
      <c r="H10" s="47" t="n"/>
      <c r="I10" s="47" t="n"/>
      <c r="J10" s="40" t="n"/>
      <c r="K10" s="49">
        <f>IF(B10="","",IF(J10="","بانتظار الفحص",J10))</f>
        <v/>
      </c>
      <c r="L10" s="40" t="n"/>
    </row>
    <row r="11">
      <c r="A11" s="39">
        <f>IF(B11="","","WIR-"&amp;TEXT(ROW()-4,"0000"))</f>
        <v/>
      </c>
      <c r="B11" s="50" t="n"/>
      <c r="C11" s="49">
        <f>IF(B11="","",IFERROR(INDEX('المشروعات'!$B$5:$B$304,MATCH(B11,'المشروعات'!$A$5:$A$304,0)),""))</f>
        <v/>
      </c>
      <c r="D11" s="40" t="n"/>
      <c r="E11" s="40" t="n"/>
      <c r="F11" s="40" t="n"/>
      <c r="G11" s="40" t="n"/>
      <c r="H11" s="47" t="n"/>
      <c r="I11" s="47" t="n"/>
      <c r="J11" s="40" t="n"/>
      <c r="K11" s="49">
        <f>IF(B11="","",IF(J11="","بانتظار الفحص",J11))</f>
        <v/>
      </c>
      <c r="L11" s="40" t="n"/>
    </row>
    <row r="12">
      <c r="A12" s="39">
        <f>IF(B12="","","WIR-"&amp;TEXT(ROW()-4,"0000"))</f>
        <v/>
      </c>
      <c r="B12" s="50" t="n"/>
      <c r="C12" s="49">
        <f>IF(B12="","",IFERROR(INDEX('المشروعات'!$B$5:$B$304,MATCH(B12,'المشروعات'!$A$5:$A$304,0)),""))</f>
        <v/>
      </c>
      <c r="D12" s="40" t="n"/>
      <c r="E12" s="40" t="n"/>
      <c r="F12" s="40" t="n"/>
      <c r="G12" s="40" t="n"/>
      <c r="H12" s="47" t="n"/>
      <c r="I12" s="47" t="n"/>
      <c r="J12" s="40" t="n"/>
      <c r="K12" s="49">
        <f>IF(B12="","",IF(J12="","بانتظار الفحص",J12))</f>
        <v/>
      </c>
      <c r="L12" s="40" t="n"/>
    </row>
    <row r="13">
      <c r="A13" s="39">
        <f>IF(B13="","","WIR-"&amp;TEXT(ROW()-4,"0000"))</f>
        <v/>
      </c>
      <c r="B13" s="50" t="n"/>
      <c r="C13" s="49">
        <f>IF(B13="","",IFERROR(INDEX('المشروعات'!$B$5:$B$304,MATCH(B13,'المشروعات'!$A$5:$A$304,0)),""))</f>
        <v/>
      </c>
      <c r="D13" s="40" t="n"/>
      <c r="E13" s="40" t="n"/>
      <c r="F13" s="40" t="n"/>
      <c r="G13" s="40" t="n"/>
      <c r="H13" s="47" t="n"/>
      <c r="I13" s="47" t="n"/>
      <c r="J13" s="40" t="n"/>
      <c r="K13" s="49">
        <f>IF(B13="","",IF(J13="","بانتظار الفحص",J13))</f>
        <v/>
      </c>
      <c r="L13" s="40" t="n"/>
    </row>
    <row r="14">
      <c r="A14" s="39">
        <f>IF(B14="","","WIR-"&amp;TEXT(ROW()-4,"0000"))</f>
        <v/>
      </c>
      <c r="B14" s="50" t="n"/>
      <c r="C14" s="49">
        <f>IF(B14="","",IFERROR(INDEX('المشروعات'!$B$5:$B$304,MATCH(B14,'المشروعات'!$A$5:$A$304,0)),""))</f>
        <v/>
      </c>
      <c r="D14" s="40" t="n"/>
      <c r="E14" s="40" t="n"/>
      <c r="F14" s="40" t="n"/>
      <c r="G14" s="40" t="n"/>
      <c r="H14" s="47" t="n"/>
      <c r="I14" s="47" t="n"/>
      <c r="J14" s="40" t="n"/>
      <c r="K14" s="49">
        <f>IF(B14="","",IF(J14="","بانتظار الفحص",J14))</f>
        <v/>
      </c>
      <c r="L14" s="40" t="n"/>
    </row>
    <row r="15">
      <c r="A15" s="39">
        <f>IF(B15="","","WIR-"&amp;TEXT(ROW()-4,"0000"))</f>
        <v/>
      </c>
      <c r="B15" s="50" t="n"/>
      <c r="C15" s="49">
        <f>IF(B15="","",IFERROR(INDEX('المشروعات'!$B$5:$B$304,MATCH(B15,'المشروعات'!$A$5:$A$304,0)),""))</f>
        <v/>
      </c>
      <c r="D15" s="40" t="n"/>
      <c r="E15" s="40" t="n"/>
      <c r="F15" s="40" t="n"/>
      <c r="G15" s="40" t="n"/>
      <c r="H15" s="47" t="n"/>
      <c r="I15" s="47" t="n"/>
      <c r="J15" s="40" t="n"/>
      <c r="K15" s="49">
        <f>IF(B15="","",IF(J15="","بانتظار الفحص",J15))</f>
        <v/>
      </c>
      <c r="L15" s="40" t="n"/>
    </row>
    <row r="16">
      <c r="A16" s="39">
        <f>IF(B16="","","WIR-"&amp;TEXT(ROW()-4,"0000"))</f>
        <v/>
      </c>
      <c r="B16" s="50" t="n"/>
      <c r="C16" s="49">
        <f>IF(B16="","",IFERROR(INDEX('المشروعات'!$B$5:$B$304,MATCH(B16,'المشروعات'!$A$5:$A$304,0)),""))</f>
        <v/>
      </c>
      <c r="D16" s="40" t="n"/>
      <c r="E16" s="40" t="n"/>
      <c r="F16" s="40" t="n"/>
      <c r="G16" s="40" t="n"/>
      <c r="H16" s="47" t="n"/>
      <c r="I16" s="47" t="n"/>
      <c r="J16" s="40" t="n"/>
      <c r="K16" s="49">
        <f>IF(B16="","",IF(J16="","بانتظار الفحص",J16))</f>
        <v/>
      </c>
      <c r="L16" s="40" t="n"/>
    </row>
    <row r="17">
      <c r="A17" s="39">
        <f>IF(B17="","","WIR-"&amp;TEXT(ROW()-4,"0000"))</f>
        <v/>
      </c>
      <c r="B17" s="50" t="n"/>
      <c r="C17" s="49">
        <f>IF(B17="","",IFERROR(INDEX('المشروعات'!$B$5:$B$304,MATCH(B17,'المشروعات'!$A$5:$A$304,0)),""))</f>
        <v/>
      </c>
      <c r="D17" s="40" t="n"/>
      <c r="E17" s="40" t="n"/>
      <c r="F17" s="40" t="n"/>
      <c r="G17" s="40" t="n"/>
      <c r="H17" s="47" t="n"/>
      <c r="I17" s="47" t="n"/>
      <c r="J17" s="40" t="n"/>
      <c r="K17" s="49">
        <f>IF(B17="","",IF(J17="","بانتظار الفحص",J17))</f>
        <v/>
      </c>
      <c r="L17" s="40" t="n"/>
    </row>
    <row r="18">
      <c r="A18" s="39">
        <f>IF(B18="","","WIR-"&amp;TEXT(ROW()-4,"0000"))</f>
        <v/>
      </c>
      <c r="B18" s="50" t="n"/>
      <c r="C18" s="49">
        <f>IF(B18="","",IFERROR(INDEX('المشروعات'!$B$5:$B$304,MATCH(B18,'المشروعات'!$A$5:$A$304,0)),""))</f>
        <v/>
      </c>
      <c r="D18" s="40" t="n"/>
      <c r="E18" s="40" t="n"/>
      <c r="F18" s="40" t="n"/>
      <c r="G18" s="40" t="n"/>
      <c r="H18" s="47" t="n"/>
      <c r="I18" s="47" t="n"/>
      <c r="J18" s="40" t="n"/>
      <c r="K18" s="49">
        <f>IF(B18="","",IF(J18="","بانتظار الفحص",J18))</f>
        <v/>
      </c>
      <c r="L18" s="40" t="n"/>
    </row>
    <row r="19">
      <c r="A19" s="39">
        <f>IF(B19="","","WIR-"&amp;TEXT(ROW()-4,"0000"))</f>
        <v/>
      </c>
      <c r="B19" s="50" t="n"/>
      <c r="C19" s="49">
        <f>IF(B19="","",IFERROR(INDEX('المشروعات'!$B$5:$B$304,MATCH(B19,'المشروعات'!$A$5:$A$304,0)),""))</f>
        <v/>
      </c>
      <c r="D19" s="40" t="n"/>
      <c r="E19" s="40" t="n"/>
      <c r="F19" s="40" t="n"/>
      <c r="G19" s="40" t="n"/>
      <c r="H19" s="47" t="n"/>
      <c r="I19" s="47" t="n"/>
      <c r="J19" s="40" t="n"/>
      <c r="K19" s="49">
        <f>IF(B19="","",IF(J19="","بانتظار الفحص",J19))</f>
        <v/>
      </c>
      <c r="L19" s="40" t="n"/>
    </row>
    <row r="20">
      <c r="A20" s="39">
        <f>IF(B20="","","WIR-"&amp;TEXT(ROW()-4,"0000"))</f>
        <v/>
      </c>
      <c r="B20" s="50" t="n"/>
      <c r="C20" s="49">
        <f>IF(B20="","",IFERROR(INDEX('المشروعات'!$B$5:$B$304,MATCH(B20,'المشروعات'!$A$5:$A$304,0)),""))</f>
        <v/>
      </c>
      <c r="D20" s="40" t="n"/>
      <c r="E20" s="40" t="n"/>
      <c r="F20" s="40" t="n"/>
      <c r="G20" s="40" t="n"/>
      <c r="H20" s="47" t="n"/>
      <c r="I20" s="47" t="n"/>
      <c r="J20" s="40" t="n"/>
      <c r="K20" s="49">
        <f>IF(B20="","",IF(J20="","بانتظار الفحص",J20))</f>
        <v/>
      </c>
      <c r="L20" s="40" t="n"/>
    </row>
    <row r="21">
      <c r="A21" s="39">
        <f>IF(B21="","","WIR-"&amp;TEXT(ROW()-4,"0000"))</f>
        <v/>
      </c>
      <c r="B21" s="50" t="n"/>
      <c r="C21" s="49">
        <f>IF(B21="","",IFERROR(INDEX('المشروعات'!$B$5:$B$304,MATCH(B21,'المشروعات'!$A$5:$A$304,0)),""))</f>
        <v/>
      </c>
      <c r="D21" s="40" t="n"/>
      <c r="E21" s="40" t="n"/>
      <c r="F21" s="40" t="n"/>
      <c r="G21" s="40" t="n"/>
      <c r="H21" s="47" t="n"/>
      <c r="I21" s="47" t="n"/>
      <c r="J21" s="40" t="n"/>
      <c r="K21" s="49">
        <f>IF(B21="","",IF(J21="","بانتظار الفحص",J21))</f>
        <v/>
      </c>
      <c r="L21" s="40" t="n"/>
    </row>
    <row r="22">
      <c r="A22" s="39">
        <f>IF(B22="","","WIR-"&amp;TEXT(ROW()-4,"0000"))</f>
        <v/>
      </c>
      <c r="B22" s="50" t="n"/>
      <c r="C22" s="49">
        <f>IF(B22="","",IFERROR(INDEX('المشروعات'!$B$5:$B$304,MATCH(B22,'المشروعات'!$A$5:$A$304,0)),""))</f>
        <v/>
      </c>
      <c r="D22" s="40" t="n"/>
      <c r="E22" s="40" t="n"/>
      <c r="F22" s="40" t="n"/>
      <c r="G22" s="40" t="n"/>
      <c r="H22" s="47" t="n"/>
      <c r="I22" s="47" t="n"/>
      <c r="J22" s="40" t="n"/>
      <c r="K22" s="49">
        <f>IF(B22="","",IF(J22="","بانتظار الفحص",J22))</f>
        <v/>
      </c>
      <c r="L22" s="40" t="n"/>
    </row>
    <row r="23">
      <c r="A23" s="39">
        <f>IF(B23="","","WIR-"&amp;TEXT(ROW()-4,"0000"))</f>
        <v/>
      </c>
      <c r="B23" s="50" t="n"/>
      <c r="C23" s="49">
        <f>IF(B23="","",IFERROR(INDEX('المشروعات'!$B$5:$B$304,MATCH(B23,'المشروعات'!$A$5:$A$304,0)),""))</f>
        <v/>
      </c>
      <c r="D23" s="40" t="n"/>
      <c r="E23" s="40" t="n"/>
      <c r="F23" s="40" t="n"/>
      <c r="G23" s="40" t="n"/>
      <c r="H23" s="47" t="n"/>
      <c r="I23" s="47" t="n"/>
      <c r="J23" s="40" t="n"/>
      <c r="K23" s="49">
        <f>IF(B23="","",IF(J23="","بانتظار الفحص",J23))</f>
        <v/>
      </c>
      <c r="L23" s="40" t="n"/>
    </row>
    <row r="24">
      <c r="A24" s="39">
        <f>IF(B24="","","WIR-"&amp;TEXT(ROW()-4,"0000"))</f>
        <v/>
      </c>
      <c r="B24" s="50" t="n"/>
      <c r="C24" s="49">
        <f>IF(B24="","",IFERROR(INDEX('المشروعات'!$B$5:$B$304,MATCH(B24,'المشروعات'!$A$5:$A$304,0)),""))</f>
        <v/>
      </c>
      <c r="D24" s="40" t="n"/>
      <c r="E24" s="40" t="n"/>
      <c r="F24" s="40" t="n"/>
      <c r="G24" s="40" t="n"/>
      <c r="H24" s="47" t="n"/>
      <c r="I24" s="47" t="n"/>
      <c r="J24" s="40" t="n"/>
      <c r="K24" s="49">
        <f>IF(B24="","",IF(J24="","بانتظار الفحص",J24))</f>
        <v/>
      </c>
      <c r="L24" s="40" t="n"/>
    </row>
    <row r="25">
      <c r="A25" s="39">
        <f>IF(B25="","","WIR-"&amp;TEXT(ROW()-4,"0000"))</f>
        <v/>
      </c>
      <c r="B25" s="50" t="n"/>
      <c r="C25" s="49">
        <f>IF(B25="","",IFERROR(INDEX('المشروعات'!$B$5:$B$304,MATCH(B25,'المشروعات'!$A$5:$A$304,0)),""))</f>
        <v/>
      </c>
      <c r="D25" s="40" t="n"/>
      <c r="E25" s="40" t="n"/>
      <c r="F25" s="40" t="n"/>
      <c r="G25" s="40" t="n"/>
      <c r="H25" s="47" t="n"/>
      <c r="I25" s="47" t="n"/>
      <c r="J25" s="40" t="n"/>
      <c r="K25" s="49">
        <f>IF(B25="","",IF(J25="","بانتظار الفحص",J25))</f>
        <v/>
      </c>
      <c r="L25" s="40" t="n"/>
    </row>
    <row r="26">
      <c r="A26" s="39">
        <f>IF(B26="","","WIR-"&amp;TEXT(ROW()-4,"0000"))</f>
        <v/>
      </c>
      <c r="B26" s="50" t="n"/>
      <c r="C26" s="49">
        <f>IF(B26="","",IFERROR(INDEX('المشروعات'!$B$5:$B$304,MATCH(B26,'المشروعات'!$A$5:$A$304,0)),""))</f>
        <v/>
      </c>
      <c r="D26" s="40" t="n"/>
      <c r="E26" s="40" t="n"/>
      <c r="F26" s="40" t="n"/>
      <c r="G26" s="40" t="n"/>
      <c r="H26" s="47" t="n"/>
      <c r="I26" s="47" t="n"/>
      <c r="J26" s="40" t="n"/>
      <c r="K26" s="49">
        <f>IF(B26="","",IF(J26="","بانتظار الفحص",J26))</f>
        <v/>
      </c>
      <c r="L26" s="40" t="n"/>
    </row>
    <row r="27">
      <c r="A27" s="39">
        <f>IF(B27="","","WIR-"&amp;TEXT(ROW()-4,"0000"))</f>
        <v/>
      </c>
      <c r="B27" s="50" t="n"/>
      <c r="C27" s="49">
        <f>IF(B27="","",IFERROR(INDEX('المشروعات'!$B$5:$B$304,MATCH(B27,'المشروعات'!$A$5:$A$304,0)),""))</f>
        <v/>
      </c>
      <c r="D27" s="40" t="n"/>
      <c r="E27" s="40" t="n"/>
      <c r="F27" s="40" t="n"/>
      <c r="G27" s="40" t="n"/>
      <c r="H27" s="47" t="n"/>
      <c r="I27" s="47" t="n"/>
      <c r="J27" s="40" t="n"/>
      <c r="K27" s="49">
        <f>IF(B27="","",IF(J27="","بانتظار الفحص",J27))</f>
        <v/>
      </c>
      <c r="L27" s="40" t="n"/>
    </row>
    <row r="28">
      <c r="A28" s="39">
        <f>IF(B28="","","WIR-"&amp;TEXT(ROW()-4,"0000"))</f>
        <v/>
      </c>
      <c r="B28" s="50" t="n"/>
      <c r="C28" s="49">
        <f>IF(B28="","",IFERROR(INDEX('المشروعات'!$B$5:$B$304,MATCH(B28,'المشروعات'!$A$5:$A$304,0)),""))</f>
        <v/>
      </c>
      <c r="D28" s="40" t="n"/>
      <c r="E28" s="40" t="n"/>
      <c r="F28" s="40" t="n"/>
      <c r="G28" s="40" t="n"/>
      <c r="H28" s="47" t="n"/>
      <c r="I28" s="47" t="n"/>
      <c r="J28" s="40" t="n"/>
      <c r="K28" s="49">
        <f>IF(B28="","",IF(J28="","بانتظار الفحص",J28))</f>
        <v/>
      </c>
      <c r="L28" s="40" t="n"/>
    </row>
    <row r="29">
      <c r="A29" s="39">
        <f>IF(B29="","","WIR-"&amp;TEXT(ROW()-4,"0000"))</f>
        <v/>
      </c>
      <c r="B29" s="50" t="n"/>
      <c r="C29" s="49">
        <f>IF(B29="","",IFERROR(INDEX('المشروعات'!$B$5:$B$304,MATCH(B29,'المشروعات'!$A$5:$A$304,0)),""))</f>
        <v/>
      </c>
      <c r="D29" s="40" t="n"/>
      <c r="E29" s="40" t="n"/>
      <c r="F29" s="40" t="n"/>
      <c r="G29" s="40" t="n"/>
      <c r="H29" s="47" t="n"/>
      <c r="I29" s="47" t="n"/>
      <c r="J29" s="40" t="n"/>
      <c r="K29" s="49">
        <f>IF(B29="","",IF(J29="","بانتظار الفحص",J29))</f>
        <v/>
      </c>
      <c r="L29" s="40" t="n"/>
    </row>
    <row r="30">
      <c r="A30" s="39">
        <f>IF(B30="","","WIR-"&amp;TEXT(ROW()-4,"0000"))</f>
        <v/>
      </c>
      <c r="B30" s="50" t="n"/>
      <c r="C30" s="49">
        <f>IF(B30="","",IFERROR(INDEX('المشروعات'!$B$5:$B$304,MATCH(B30,'المشروعات'!$A$5:$A$304,0)),""))</f>
        <v/>
      </c>
      <c r="D30" s="40" t="n"/>
      <c r="E30" s="40" t="n"/>
      <c r="F30" s="40" t="n"/>
      <c r="G30" s="40" t="n"/>
      <c r="H30" s="47" t="n"/>
      <c r="I30" s="47" t="n"/>
      <c r="J30" s="40" t="n"/>
      <c r="K30" s="49">
        <f>IF(B30="","",IF(J30="","بانتظار الفحص",J30))</f>
        <v/>
      </c>
      <c r="L30" s="40" t="n"/>
    </row>
    <row r="31">
      <c r="A31" s="39">
        <f>IF(B31="","","WIR-"&amp;TEXT(ROW()-4,"0000"))</f>
        <v/>
      </c>
      <c r="B31" s="50" t="n"/>
      <c r="C31" s="49">
        <f>IF(B31="","",IFERROR(INDEX('المشروعات'!$B$5:$B$304,MATCH(B31,'المشروعات'!$A$5:$A$304,0)),""))</f>
        <v/>
      </c>
      <c r="D31" s="40" t="n"/>
      <c r="E31" s="40" t="n"/>
      <c r="F31" s="40" t="n"/>
      <c r="G31" s="40" t="n"/>
      <c r="H31" s="47" t="n"/>
      <c r="I31" s="47" t="n"/>
      <c r="J31" s="40" t="n"/>
      <c r="K31" s="49">
        <f>IF(B31="","",IF(J31="","بانتظار الفحص",J31))</f>
        <v/>
      </c>
      <c r="L31" s="40" t="n"/>
    </row>
    <row r="32">
      <c r="A32" s="39">
        <f>IF(B32="","","WIR-"&amp;TEXT(ROW()-4,"0000"))</f>
        <v/>
      </c>
      <c r="B32" s="50" t="n"/>
      <c r="C32" s="49">
        <f>IF(B32="","",IFERROR(INDEX('المشروعات'!$B$5:$B$304,MATCH(B32,'المشروعات'!$A$5:$A$304,0)),""))</f>
        <v/>
      </c>
      <c r="D32" s="40" t="n"/>
      <c r="E32" s="40" t="n"/>
      <c r="F32" s="40" t="n"/>
      <c r="G32" s="40" t="n"/>
      <c r="H32" s="47" t="n"/>
      <c r="I32" s="47" t="n"/>
      <c r="J32" s="40" t="n"/>
      <c r="K32" s="49">
        <f>IF(B32="","",IF(J32="","بانتظار الفحص",J32))</f>
        <v/>
      </c>
      <c r="L32" s="40" t="n"/>
    </row>
    <row r="33">
      <c r="A33" s="39">
        <f>IF(B33="","","WIR-"&amp;TEXT(ROW()-4,"0000"))</f>
        <v/>
      </c>
      <c r="B33" s="50" t="n"/>
      <c r="C33" s="49">
        <f>IF(B33="","",IFERROR(INDEX('المشروعات'!$B$5:$B$304,MATCH(B33,'المشروعات'!$A$5:$A$304,0)),""))</f>
        <v/>
      </c>
      <c r="D33" s="40" t="n"/>
      <c r="E33" s="40" t="n"/>
      <c r="F33" s="40" t="n"/>
      <c r="G33" s="40" t="n"/>
      <c r="H33" s="47" t="n"/>
      <c r="I33" s="47" t="n"/>
      <c r="J33" s="40" t="n"/>
      <c r="K33" s="49">
        <f>IF(B33="","",IF(J33="","بانتظار الفحص",J33))</f>
        <v/>
      </c>
      <c r="L33" s="40" t="n"/>
    </row>
    <row r="34">
      <c r="A34" s="39">
        <f>IF(B34="","","WIR-"&amp;TEXT(ROW()-4,"0000"))</f>
        <v/>
      </c>
      <c r="B34" s="50" t="n"/>
      <c r="C34" s="49">
        <f>IF(B34="","",IFERROR(INDEX('المشروعات'!$B$5:$B$304,MATCH(B34,'المشروعات'!$A$5:$A$304,0)),""))</f>
        <v/>
      </c>
      <c r="D34" s="40" t="n"/>
      <c r="E34" s="40" t="n"/>
      <c r="F34" s="40" t="n"/>
      <c r="G34" s="40" t="n"/>
      <c r="H34" s="47" t="n"/>
      <c r="I34" s="47" t="n"/>
      <c r="J34" s="40" t="n"/>
      <c r="K34" s="49">
        <f>IF(B34="","",IF(J34="","بانتظار الفحص",J34))</f>
        <v/>
      </c>
      <c r="L34" s="40" t="n"/>
    </row>
    <row r="35">
      <c r="A35" s="39">
        <f>IF(B35="","","WIR-"&amp;TEXT(ROW()-4,"0000"))</f>
        <v/>
      </c>
      <c r="B35" s="50" t="n"/>
      <c r="C35" s="49">
        <f>IF(B35="","",IFERROR(INDEX('المشروعات'!$B$5:$B$304,MATCH(B35,'المشروعات'!$A$5:$A$304,0)),""))</f>
        <v/>
      </c>
      <c r="D35" s="40" t="n"/>
      <c r="E35" s="40" t="n"/>
      <c r="F35" s="40" t="n"/>
      <c r="G35" s="40" t="n"/>
      <c r="H35" s="47" t="n"/>
      <c r="I35" s="47" t="n"/>
      <c r="J35" s="40" t="n"/>
      <c r="K35" s="49">
        <f>IF(B35="","",IF(J35="","بانتظار الفحص",J35))</f>
        <v/>
      </c>
      <c r="L35" s="40" t="n"/>
    </row>
    <row r="36">
      <c r="A36" s="39">
        <f>IF(B36="","","WIR-"&amp;TEXT(ROW()-4,"0000"))</f>
        <v/>
      </c>
      <c r="B36" s="50" t="n"/>
      <c r="C36" s="49">
        <f>IF(B36="","",IFERROR(INDEX('المشروعات'!$B$5:$B$304,MATCH(B36,'المشروعات'!$A$5:$A$304,0)),""))</f>
        <v/>
      </c>
      <c r="D36" s="40" t="n"/>
      <c r="E36" s="40" t="n"/>
      <c r="F36" s="40" t="n"/>
      <c r="G36" s="40" t="n"/>
      <c r="H36" s="47" t="n"/>
      <c r="I36" s="47" t="n"/>
      <c r="J36" s="40" t="n"/>
      <c r="K36" s="49">
        <f>IF(B36="","",IF(J36="","بانتظار الفحص",J36))</f>
        <v/>
      </c>
      <c r="L36" s="40" t="n"/>
    </row>
    <row r="37">
      <c r="A37" s="39">
        <f>IF(B37="","","WIR-"&amp;TEXT(ROW()-4,"0000"))</f>
        <v/>
      </c>
      <c r="B37" s="50" t="n"/>
      <c r="C37" s="49">
        <f>IF(B37="","",IFERROR(INDEX('المشروعات'!$B$5:$B$304,MATCH(B37,'المشروعات'!$A$5:$A$304,0)),""))</f>
        <v/>
      </c>
      <c r="D37" s="40" t="n"/>
      <c r="E37" s="40" t="n"/>
      <c r="F37" s="40" t="n"/>
      <c r="G37" s="40" t="n"/>
      <c r="H37" s="47" t="n"/>
      <c r="I37" s="47" t="n"/>
      <c r="J37" s="40" t="n"/>
      <c r="K37" s="49">
        <f>IF(B37="","",IF(J37="","بانتظار الفحص",J37))</f>
        <v/>
      </c>
      <c r="L37" s="40" t="n"/>
    </row>
    <row r="38">
      <c r="A38" s="39">
        <f>IF(B38="","","WIR-"&amp;TEXT(ROW()-4,"0000"))</f>
        <v/>
      </c>
      <c r="B38" s="50" t="n"/>
      <c r="C38" s="49">
        <f>IF(B38="","",IFERROR(INDEX('المشروعات'!$B$5:$B$304,MATCH(B38,'المشروعات'!$A$5:$A$304,0)),""))</f>
        <v/>
      </c>
      <c r="D38" s="40" t="n"/>
      <c r="E38" s="40" t="n"/>
      <c r="F38" s="40" t="n"/>
      <c r="G38" s="40" t="n"/>
      <c r="H38" s="47" t="n"/>
      <c r="I38" s="47" t="n"/>
      <c r="J38" s="40" t="n"/>
      <c r="K38" s="49">
        <f>IF(B38="","",IF(J38="","بانتظار الفحص",J38))</f>
        <v/>
      </c>
      <c r="L38" s="40" t="n"/>
    </row>
    <row r="39">
      <c r="A39" s="39">
        <f>IF(B39="","","WIR-"&amp;TEXT(ROW()-4,"0000"))</f>
        <v/>
      </c>
      <c r="B39" s="50" t="n"/>
      <c r="C39" s="49">
        <f>IF(B39="","",IFERROR(INDEX('المشروعات'!$B$5:$B$304,MATCH(B39,'المشروعات'!$A$5:$A$304,0)),""))</f>
        <v/>
      </c>
      <c r="D39" s="40" t="n"/>
      <c r="E39" s="40" t="n"/>
      <c r="F39" s="40" t="n"/>
      <c r="G39" s="40" t="n"/>
      <c r="H39" s="47" t="n"/>
      <c r="I39" s="47" t="n"/>
      <c r="J39" s="40" t="n"/>
      <c r="K39" s="49">
        <f>IF(B39="","",IF(J39="","بانتظار الفحص",J39))</f>
        <v/>
      </c>
      <c r="L39" s="40" t="n"/>
    </row>
    <row r="40">
      <c r="A40" s="39">
        <f>IF(B40="","","WIR-"&amp;TEXT(ROW()-4,"0000"))</f>
        <v/>
      </c>
      <c r="B40" s="50" t="n"/>
      <c r="C40" s="49">
        <f>IF(B40="","",IFERROR(INDEX('المشروعات'!$B$5:$B$304,MATCH(B40,'المشروعات'!$A$5:$A$304,0)),""))</f>
        <v/>
      </c>
      <c r="D40" s="40" t="n"/>
      <c r="E40" s="40" t="n"/>
      <c r="F40" s="40" t="n"/>
      <c r="G40" s="40" t="n"/>
      <c r="H40" s="47" t="n"/>
      <c r="I40" s="47" t="n"/>
      <c r="J40" s="40" t="n"/>
      <c r="K40" s="49">
        <f>IF(B40="","",IF(J40="","بانتظار الفحص",J40))</f>
        <v/>
      </c>
      <c r="L40" s="40" t="n"/>
    </row>
    <row r="41">
      <c r="A41" s="39">
        <f>IF(B41="","","WIR-"&amp;TEXT(ROW()-4,"0000"))</f>
        <v/>
      </c>
      <c r="B41" s="50" t="n"/>
      <c r="C41" s="49">
        <f>IF(B41="","",IFERROR(INDEX('المشروعات'!$B$5:$B$304,MATCH(B41,'المشروعات'!$A$5:$A$304,0)),""))</f>
        <v/>
      </c>
      <c r="D41" s="40" t="n"/>
      <c r="E41" s="40" t="n"/>
      <c r="F41" s="40" t="n"/>
      <c r="G41" s="40" t="n"/>
      <c r="H41" s="47" t="n"/>
      <c r="I41" s="47" t="n"/>
      <c r="J41" s="40" t="n"/>
      <c r="K41" s="49">
        <f>IF(B41="","",IF(J41="","بانتظار الفحص",J41))</f>
        <v/>
      </c>
      <c r="L41" s="40" t="n"/>
    </row>
    <row r="42">
      <c r="A42" s="39">
        <f>IF(B42="","","WIR-"&amp;TEXT(ROW()-4,"0000"))</f>
        <v/>
      </c>
      <c r="B42" s="50" t="n"/>
      <c r="C42" s="49">
        <f>IF(B42="","",IFERROR(INDEX('المشروعات'!$B$5:$B$304,MATCH(B42,'المشروعات'!$A$5:$A$304,0)),""))</f>
        <v/>
      </c>
      <c r="D42" s="40" t="n"/>
      <c r="E42" s="40" t="n"/>
      <c r="F42" s="40" t="n"/>
      <c r="G42" s="40" t="n"/>
      <c r="H42" s="47" t="n"/>
      <c r="I42" s="47" t="n"/>
      <c r="J42" s="40" t="n"/>
      <c r="K42" s="49">
        <f>IF(B42="","",IF(J42="","بانتظار الفحص",J42))</f>
        <v/>
      </c>
      <c r="L42" s="40" t="n"/>
    </row>
    <row r="43">
      <c r="A43" s="39">
        <f>IF(B43="","","WIR-"&amp;TEXT(ROW()-4,"0000"))</f>
        <v/>
      </c>
      <c r="B43" s="50" t="n"/>
      <c r="C43" s="49">
        <f>IF(B43="","",IFERROR(INDEX('المشروعات'!$B$5:$B$304,MATCH(B43,'المشروعات'!$A$5:$A$304,0)),""))</f>
        <v/>
      </c>
      <c r="D43" s="40" t="n"/>
      <c r="E43" s="40" t="n"/>
      <c r="F43" s="40" t="n"/>
      <c r="G43" s="40" t="n"/>
      <c r="H43" s="47" t="n"/>
      <c r="I43" s="47" t="n"/>
      <c r="J43" s="40" t="n"/>
      <c r="K43" s="49">
        <f>IF(B43="","",IF(J43="","بانتظار الفحص",J43))</f>
        <v/>
      </c>
      <c r="L43" s="40" t="n"/>
    </row>
    <row r="44">
      <c r="A44" s="39">
        <f>IF(B44="","","WIR-"&amp;TEXT(ROW()-4,"0000"))</f>
        <v/>
      </c>
      <c r="B44" s="50" t="n"/>
      <c r="C44" s="49">
        <f>IF(B44="","",IFERROR(INDEX('المشروعات'!$B$5:$B$304,MATCH(B44,'المشروعات'!$A$5:$A$304,0)),""))</f>
        <v/>
      </c>
      <c r="D44" s="40" t="n"/>
      <c r="E44" s="40" t="n"/>
      <c r="F44" s="40" t="n"/>
      <c r="G44" s="40" t="n"/>
      <c r="H44" s="47" t="n"/>
      <c r="I44" s="47" t="n"/>
      <c r="J44" s="40" t="n"/>
      <c r="K44" s="49">
        <f>IF(B44="","",IF(J44="","بانتظار الفحص",J44))</f>
        <v/>
      </c>
      <c r="L44" s="40" t="n"/>
    </row>
    <row r="45">
      <c r="A45" s="39">
        <f>IF(B45="","","WIR-"&amp;TEXT(ROW()-4,"0000"))</f>
        <v/>
      </c>
      <c r="B45" s="50" t="n"/>
      <c r="C45" s="49">
        <f>IF(B45="","",IFERROR(INDEX('المشروعات'!$B$5:$B$304,MATCH(B45,'المشروعات'!$A$5:$A$304,0)),""))</f>
        <v/>
      </c>
      <c r="D45" s="40" t="n"/>
      <c r="E45" s="40" t="n"/>
      <c r="F45" s="40" t="n"/>
      <c r="G45" s="40" t="n"/>
      <c r="H45" s="47" t="n"/>
      <c r="I45" s="47" t="n"/>
      <c r="J45" s="40" t="n"/>
      <c r="K45" s="49">
        <f>IF(B45="","",IF(J45="","بانتظار الفحص",J45))</f>
        <v/>
      </c>
      <c r="L45" s="40" t="n"/>
    </row>
    <row r="46">
      <c r="A46" s="39">
        <f>IF(B46="","","WIR-"&amp;TEXT(ROW()-4,"0000"))</f>
        <v/>
      </c>
      <c r="B46" s="50" t="n"/>
      <c r="C46" s="49">
        <f>IF(B46="","",IFERROR(INDEX('المشروعات'!$B$5:$B$304,MATCH(B46,'المشروعات'!$A$5:$A$304,0)),""))</f>
        <v/>
      </c>
      <c r="D46" s="40" t="n"/>
      <c r="E46" s="40" t="n"/>
      <c r="F46" s="40" t="n"/>
      <c r="G46" s="40" t="n"/>
      <c r="H46" s="47" t="n"/>
      <c r="I46" s="47" t="n"/>
      <c r="J46" s="40" t="n"/>
      <c r="K46" s="49">
        <f>IF(B46="","",IF(J46="","بانتظار الفحص",J46))</f>
        <v/>
      </c>
      <c r="L46" s="40" t="n"/>
    </row>
    <row r="47">
      <c r="A47" s="39">
        <f>IF(B47="","","WIR-"&amp;TEXT(ROW()-4,"0000"))</f>
        <v/>
      </c>
      <c r="B47" s="50" t="n"/>
      <c r="C47" s="49">
        <f>IF(B47="","",IFERROR(INDEX('المشروعات'!$B$5:$B$304,MATCH(B47,'المشروعات'!$A$5:$A$304,0)),""))</f>
        <v/>
      </c>
      <c r="D47" s="40" t="n"/>
      <c r="E47" s="40" t="n"/>
      <c r="F47" s="40" t="n"/>
      <c r="G47" s="40" t="n"/>
      <c r="H47" s="47" t="n"/>
      <c r="I47" s="47" t="n"/>
      <c r="J47" s="40" t="n"/>
      <c r="K47" s="49">
        <f>IF(B47="","",IF(J47="","بانتظار الفحص",J47))</f>
        <v/>
      </c>
      <c r="L47" s="40" t="n"/>
    </row>
    <row r="48">
      <c r="A48" s="39">
        <f>IF(B48="","","WIR-"&amp;TEXT(ROW()-4,"0000"))</f>
        <v/>
      </c>
      <c r="B48" s="50" t="n"/>
      <c r="C48" s="49">
        <f>IF(B48="","",IFERROR(INDEX('المشروعات'!$B$5:$B$304,MATCH(B48,'المشروعات'!$A$5:$A$304,0)),""))</f>
        <v/>
      </c>
      <c r="D48" s="40" t="n"/>
      <c r="E48" s="40" t="n"/>
      <c r="F48" s="40" t="n"/>
      <c r="G48" s="40" t="n"/>
      <c r="H48" s="47" t="n"/>
      <c r="I48" s="47" t="n"/>
      <c r="J48" s="40" t="n"/>
      <c r="K48" s="49">
        <f>IF(B48="","",IF(J48="","بانتظار الفحص",J48))</f>
        <v/>
      </c>
      <c r="L48" s="40" t="n"/>
    </row>
    <row r="49">
      <c r="A49" s="39">
        <f>IF(B49="","","WIR-"&amp;TEXT(ROW()-4,"0000"))</f>
        <v/>
      </c>
      <c r="B49" s="50" t="n"/>
      <c r="C49" s="49">
        <f>IF(B49="","",IFERROR(INDEX('المشروعات'!$B$5:$B$304,MATCH(B49,'المشروعات'!$A$5:$A$304,0)),""))</f>
        <v/>
      </c>
      <c r="D49" s="40" t="n"/>
      <c r="E49" s="40" t="n"/>
      <c r="F49" s="40" t="n"/>
      <c r="G49" s="40" t="n"/>
      <c r="H49" s="47" t="n"/>
      <c r="I49" s="47" t="n"/>
      <c r="J49" s="40" t="n"/>
      <c r="K49" s="49">
        <f>IF(B49="","",IF(J49="","بانتظار الفحص",J49))</f>
        <v/>
      </c>
      <c r="L49" s="40" t="n"/>
    </row>
    <row r="50">
      <c r="A50" s="39">
        <f>IF(B50="","","WIR-"&amp;TEXT(ROW()-4,"0000"))</f>
        <v/>
      </c>
      <c r="B50" s="50" t="n"/>
      <c r="C50" s="49">
        <f>IF(B50="","",IFERROR(INDEX('المشروعات'!$B$5:$B$304,MATCH(B50,'المشروعات'!$A$5:$A$304,0)),""))</f>
        <v/>
      </c>
      <c r="D50" s="40" t="n"/>
      <c r="E50" s="40" t="n"/>
      <c r="F50" s="40" t="n"/>
      <c r="G50" s="40" t="n"/>
      <c r="H50" s="47" t="n"/>
      <c r="I50" s="47" t="n"/>
      <c r="J50" s="40" t="n"/>
      <c r="K50" s="49">
        <f>IF(B50="","",IF(J50="","بانتظار الفحص",J50))</f>
        <v/>
      </c>
      <c r="L50" s="40" t="n"/>
    </row>
    <row r="51">
      <c r="A51" s="39">
        <f>IF(B51="","","WIR-"&amp;TEXT(ROW()-4,"0000"))</f>
        <v/>
      </c>
      <c r="B51" s="50" t="n"/>
      <c r="C51" s="49">
        <f>IF(B51="","",IFERROR(INDEX('المشروعات'!$B$5:$B$304,MATCH(B51,'المشروعات'!$A$5:$A$304,0)),""))</f>
        <v/>
      </c>
      <c r="D51" s="40" t="n"/>
      <c r="E51" s="40" t="n"/>
      <c r="F51" s="40" t="n"/>
      <c r="G51" s="40" t="n"/>
      <c r="H51" s="47" t="n"/>
      <c r="I51" s="47" t="n"/>
      <c r="J51" s="40" t="n"/>
      <c r="K51" s="49">
        <f>IF(B51="","",IF(J51="","بانتظار الفحص",J51))</f>
        <v/>
      </c>
      <c r="L51" s="40" t="n"/>
    </row>
    <row r="52">
      <c r="A52" s="39">
        <f>IF(B52="","","WIR-"&amp;TEXT(ROW()-4,"0000"))</f>
        <v/>
      </c>
      <c r="B52" s="50" t="n"/>
      <c r="C52" s="49">
        <f>IF(B52="","",IFERROR(INDEX('المشروعات'!$B$5:$B$304,MATCH(B52,'المشروعات'!$A$5:$A$304,0)),""))</f>
        <v/>
      </c>
      <c r="D52" s="40" t="n"/>
      <c r="E52" s="40" t="n"/>
      <c r="F52" s="40" t="n"/>
      <c r="G52" s="40" t="n"/>
      <c r="H52" s="47" t="n"/>
      <c r="I52" s="47" t="n"/>
      <c r="J52" s="40" t="n"/>
      <c r="K52" s="49">
        <f>IF(B52="","",IF(J52="","بانتظار الفحص",J52))</f>
        <v/>
      </c>
      <c r="L52" s="40" t="n"/>
    </row>
    <row r="53">
      <c r="A53" s="39">
        <f>IF(B53="","","WIR-"&amp;TEXT(ROW()-4,"0000"))</f>
        <v/>
      </c>
      <c r="B53" s="50" t="n"/>
      <c r="C53" s="49">
        <f>IF(B53="","",IFERROR(INDEX('المشروعات'!$B$5:$B$304,MATCH(B53,'المشروعات'!$A$5:$A$304,0)),""))</f>
        <v/>
      </c>
      <c r="D53" s="40" t="n"/>
      <c r="E53" s="40" t="n"/>
      <c r="F53" s="40" t="n"/>
      <c r="G53" s="40" t="n"/>
      <c r="H53" s="47" t="n"/>
      <c r="I53" s="47" t="n"/>
      <c r="J53" s="40" t="n"/>
      <c r="K53" s="49">
        <f>IF(B53="","",IF(J53="","بانتظار الفحص",J53))</f>
        <v/>
      </c>
      <c r="L53" s="40" t="n"/>
    </row>
    <row r="54">
      <c r="A54" s="39">
        <f>IF(B54="","","WIR-"&amp;TEXT(ROW()-4,"0000"))</f>
        <v/>
      </c>
      <c r="B54" s="50" t="n"/>
      <c r="C54" s="49">
        <f>IF(B54="","",IFERROR(INDEX('المشروعات'!$B$5:$B$304,MATCH(B54,'المشروعات'!$A$5:$A$304,0)),""))</f>
        <v/>
      </c>
      <c r="D54" s="40" t="n"/>
      <c r="E54" s="40" t="n"/>
      <c r="F54" s="40" t="n"/>
      <c r="G54" s="40" t="n"/>
      <c r="H54" s="47" t="n"/>
      <c r="I54" s="47" t="n"/>
      <c r="J54" s="40" t="n"/>
      <c r="K54" s="49">
        <f>IF(B54="","",IF(J54="","بانتظار الفحص",J54))</f>
        <v/>
      </c>
      <c r="L54" s="40" t="n"/>
    </row>
    <row r="55">
      <c r="A55" s="39">
        <f>IF(B55="","","WIR-"&amp;TEXT(ROW()-4,"0000"))</f>
        <v/>
      </c>
      <c r="B55" s="50" t="n"/>
      <c r="C55" s="49">
        <f>IF(B55="","",IFERROR(INDEX('المشروعات'!$B$5:$B$304,MATCH(B55,'المشروعات'!$A$5:$A$304,0)),""))</f>
        <v/>
      </c>
      <c r="D55" s="40" t="n"/>
      <c r="E55" s="40" t="n"/>
      <c r="F55" s="40" t="n"/>
      <c r="G55" s="40" t="n"/>
      <c r="H55" s="47" t="n"/>
      <c r="I55" s="47" t="n"/>
      <c r="J55" s="40" t="n"/>
      <c r="K55" s="49">
        <f>IF(B55="","",IF(J55="","بانتظار الفحص",J55))</f>
        <v/>
      </c>
      <c r="L55" s="40" t="n"/>
    </row>
    <row r="56">
      <c r="A56" s="39">
        <f>IF(B56="","","WIR-"&amp;TEXT(ROW()-4,"0000"))</f>
        <v/>
      </c>
      <c r="B56" s="50" t="n"/>
      <c r="C56" s="49">
        <f>IF(B56="","",IFERROR(INDEX('المشروعات'!$B$5:$B$304,MATCH(B56,'المشروعات'!$A$5:$A$304,0)),""))</f>
        <v/>
      </c>
      <c r="D56" s="40" t="n"/>
      <c r="E56" s="40" t="n"/>
      <c r="F56" s="40" t="n"/>
      <c r="G56" s="40" t="n"/>
      <c r="H56" s="47" t="n"/>
      <c r="I56" s="47" t="n"/>
      <c r="J56" s="40" t="n"/>
      <c r="K56" s="49">
        <f>IF(B56="","",IF(J56="","بانتظار الفحص",J56))</f>
        <v/>
      </c>
      <c r="L56" s="40" t="n"/>
    </row>
    <row r="57">
      <c r="A57" s="39">
        <f>IF(B57="","","WIR-"&amp;TEXT(ROW()-4,"0000"))</f>
        <v/>
      </c>
      <c r="B57" s="50" t="n"/>
      <c r="C57" s="49">
        <f>IF(B57="","",IFERROR(INDEX('المشروعات'!$B$5:$B$304,MATCH(B57,'المشروعات'!$A$5:$A$304,0)),""))</f>
        <v/>
      </c>
      <c r="D57" s="40" t="n"/>
      <c r="E57" s="40" t="n"/>
      <c r="F57" s="40" t="n"/>
      <c r="G57" s="40" t="n"/>
      <c r="H57" s="47" t="n"/>
      <c r="I57" s="47" t="n"/>
      <c r="J57" s="40" t="n"/>
      <c r="K57" s="49">
        <f>IF(B57="","",IF(J57="","بانتظار الفحص",J57))</f>
        <v/>
      </c>
      <c r="L57" s="40" t="n"/>
    </row>
    <row r="58">
      <c r="A58" s="39">
        <f>IF(B58="","","WIR-"&amp;TEXT(ROW()-4,"0000"))</f>
        <v/>
      </c>
      <c r="B58" s="50" t="n"/>
      <c r="C58" s="49">
        <f>IF(B58="","",IFERROR(INDEX('المشروعات'!$B$5:$B$304,MATCH(B58,'المشروعات'!$A$5:$A$304,0)),""))</f>
        <v/>
      </c>
      <c r="D58" s="40" t="n"/>
      <c r="E58" s="40" t="n"/>
      <c r="F58" s="40" t="n"/>
      <c r="G58" s="40" t="n"/>
      <c r="H58" s="47" t="n"/>
      <c r="I58" s="47" t="n"/>
      <c r="J58" s="40" t="n"/>
      <c r="K58" s="49">
        <f>IF(B58="","",IF(J58="","بانتظار الفحص",J58))</f>
        <v/>
      </c>
      <c r="L58" s="40" t="n"/>
    </row>
    <row r="59">
      <c r="A59" s="39">
        <f>IF(B59="","","WIR-"&amp;TEXT(ROW()-4,"0000"))</f>
        <v/>
      </c>
      <c r="B59" s="50" t="n"/>
      <c r="C59" s="49">
        <f>IF(B59="","",IFERROR(INDEX('المشروعات'!$B$5:$B$304,MATCH(B59,'المشروعات'!$A$5:$A$304,0)),""))</f>
        <v/>
      </c>
      <c r="D59" s="40" t="n"/>
      <c r="E59" s="40" t="n"/>
      <c r="F59" s="40" t="n"/>
      <c r="G59" s="40" t="n"/>
      <c r="H59" s="47" t="n"/>
      <c r="I59" s="47" t="n"/>
      <c r="J59" s="40" t="n"/>
      <c r="K59" s="49">
        <f>IF(B59="","",IF(J59="","بانتظار الفحص",J59))</f>
        <v/>
      </c>
      <c r="L59" s="40" t="n"/>
    </row>
    <row r="60">
      <c r="A60" s="39">
        <f>IF(B60="","","WIR-"&amp;TEXT(ROW()-4,"0000"))</f>
        <v/>
      </c>
      <c r="B60" s="50" t="n"/>
      <c r="C60" s="49">
        <f>IF(B60="","",IFERROR(INDEX('المشروعات'!$B$5:$B$304,MATCH(B60,'المشروعات'!$A$5:$A$304,0)),""))</f>
        <v/>
      </c>
      <c r="D60" s="40" t="n"/>
      <c r="E60" s="40" t="n"/>
      <c r="F60" s="40" t="n"/>
      <c r="G60" s="40" t="n"/>
      <c r="H60" s="47" t="n"/>
      <c r="I60" s="47" t="n"/>
      <c r="J60" s="40" t="n"/>
      <c r="K60" s="49">
        <f>IF(B60="","",IF(J60="","بانتظار الفحص",J60))</f>
        <v/>
      </c>
      <c r="L60" s="40" t="n"/>
    </row>
    <row r="61">
      <c r="A61" s="39">
        <f>IF(B61="","","WIR-"&amp;TEXT(ROW()-4,"0000"))</f>
        <v/>
      </c>
      <c r="B61" s="50" t="n"/>
      <c r="C61" s="49">
        <f>IF(B61="","",IFERROR(INDEX('المشروعات'!$B$5:$B$304,MATCH(B61,'المشروعات'!$A$5:$A$304,0)),""))</f>
        <v/>
      </c>
      <c r="D61" s="40" t="n"/>
      <c r="E61" s="40" t="n"/>
      <c r="F61" s="40" t="n"/>
      <c r="G61" s="40" t="n"/>
      <c r="H61" s="47" t="n"/>
      <c r="I61" s="47" t="n"/>
      <c r="J61" s="40" t="n"/>
      <c r="K61" s="49">
        <f>IF(B61="","",IF(J61="","بانتظار الفحص",J61))</f>
        <v/>
      </c>
      <c r="L61" s="40" t="n"/>
    </row>
    <row r="62">
      <c r="A62" s="39">
        <f>IF(B62="","","WIR-"&amp;TEXT(ROW()-4,"0000"))</f>
        <v/>
      </c>
      <c r="B62" s="50" t="n"/>
      <c r="C62" s="49">
        <f>IF(B62="","",IFERROR(INDEX('المشروعات'!$B$5:$B$304,MATCH(B62,'المشروعات'!$A$5:$A$304,0)),""))</f>
        <v/>
      </c>
      <c r="D62" s="40" t="n"/>
      <c r="E62" s="40" t="n"/>
      <c r="F62" s="40" t="n"/>
      <c r="G62" s="40" t="n"/>
      <c r="H62" s="47" t="n"/>
      <c r="I62" s="47" t="n"/>
      <c r="J62" s="40" t="n"/>
      <c r="K62" s="49">
        <f>IF(B62="","",IF(J62="","بانتظار الفحص",J62))</f>
        <v/>
      </c>
      <c r="L62" s="40" t="n"/>
    </row>
    <row r="63">
      <c r="A63" s="39">
        <f>IF(B63="","","WIR-"&amp;TEXT(ROW()-4,"0000"))</f>
        <v/>
      </c>
      <c r="B63" s="50" t="n"/>
      <c r="C63" s="49">
        <f>IF(B63="","",IFERROR(INDEX('المشروعات'!$B$5:$B$304,MATCH(B63,'المشروعات'!$A$5:$A$304,0)),""))</f>
        <v/>
      </c>
      <c r="D63" s="40" t="n"/>
      <c r="E63" s="40" t="n"/>
      <c r="F63" s="40" t="n"/>
      <c r="G63" s="40" t="n"/>
      <c r="H63" s="47" t="n"/>
      <c r="I63" s="47" t="n"/>
      <c r="J63" s="40" t="n"/>
      <c r="K63" s="49">
        <f>IF(B63="","",IF(J63="","بانتظار الفحص",J63))</f>
        <v/>
      </c>
      <c r="L63" s="40" t="n"/>
    </row>
    <row r="64">
      <c r="A64" s="39">
        <f>IF(B64="","","WIR-"&amp;TEXT(ROW()-4,"0000"))</f>
        <v/>
      </c>
      <c r="B64" s="50" t="n"/>
      <c r="C64" s="49">
        <f>IF(B64="","",IFERROR(INDEX('المشروعات'!$B$5:$B$304,MATCH(B64,'المشروعات'!$A$5:$A$304,0)),""))</f>
        <v/>
      </c>
      <c r="D64" s="40" t="n"/>
      <c r="E64" s="40" t="n"/>
      <c r="F64" s="40" t="n"/>
      <c r="G64" s="40" t="n"/>
      <c r="H64" s="47" t="n"/>
      <c r="I64" s="47" t="n"/>
      <c r="J64" s="40" t="n"/>
      <c r="K64" s="49">
        <f>IF(B64="","",IF(J64="","بانتظار الفحص",J64))</f>
        <v/>
      </c>
      <c r="L64" s="40" t="n"/>
    </row>
    <row r="65">
      <c r="A65" s="39">
        <f>IF(B65="","","WIR-"&amp;TEXT(ROW()-4,"0000"))</f>
        <v/>
      </c>
      <c r="B65" s="50" t="n"/>
      <c r="C65" s="49">
        <f>IF(B65="","",IFERROR(INDEX('المشروعات'!$B$5:$B$304,MATCH(B65,'المشروعات'!$A$5:$A$304,0)),""))</f>
        <v/>
      </c>
      <c r="D65" s="40" t="n"/>
      <c r="E65" s="40" t="n"/>
      <c r="F65" s="40" t="n"/>
      <c r="G65" s="40" t="n"/>
      <c r="H65" s="47" t="n"/>
      <c r="I65" s="47" t="n"/>
      <c r="J65" s="40" t="n"/>
      <c r="K65" s="49">
        <f>IF(B65="","",IF(J65="","بانتظار الفحص",J65))</f>
        <v/>
      </c>
      <c r="L65" s="40" t="n"/>
    </row>
    <row r="66">
      <c r="A66" s="39">
        <f>IF(B66="","","WIR-"&amp;TEXT(ROW()-4,"0000"))</f>
        <v/>
      </c>
      <c r="B66" s="50" t="n"/>
      <c r="C66" s="49">
        <f>IF(B66="","",IFERROR(INDEX('المشروعات'!$B$5:$B$304,MATCH(B66,'المشروعات'!$A$5:$A$304,0)),""))</f>
        <v/>
      </c>
      <c r="D66" s="40" t="n"/>
      <c r="E66" s="40" t="n"/>
      <c r="F66" s="40" t="n"/>
      <c r="G66" s="40" t="n"/>
      <c r="H66" s="47" t="n"/>
      <c r="I66" s="47" t="n"/>
      <c r="J66" s="40" t="n"/>
      <c r="K66" s="49">
        <f>IF(B66="","",IF(J66="","بانتظار الفحص",J66))</f>
        <v/>
      </c>
      <c r="L66" s="40" t="n"/>
    </row>
    <row r="67">
      <c r="A67" s="39">
        <f>IF(B67="","","WIR-"&amp;TEXT(ROW()-4,"0000"))</f>
        <v/>
      </c>
      <c r="B67" s="50" t="n"/>
      <c r="C67" s="49">
        <f>IF(B67="","",IFERROR(INDEX('المشروعات'!$B$5:$B$304,MATCH(B67,'المشروعات'!$A$5:$A$304,0)),""))</f>
        <v/>
      </c>
      <c r="D67" s="40" t="n"/>
      <c r="E67" s="40" t="n"/>
      <c r="F67" s="40" t="n"/>
      <c r="G67" s="40" t="n"/>
      <c r="H67" s="47" t="n"/>
      <c r="I67" s="47" t="n"/>
      <c r="J67" s="40" t="n"/>
      <c r="K67" s="49">
        <f>IF(B67="","",IF(J67="","بانتظار الفحص",J67))</f>
        <v/>
      </c>
      <c r="L67" s="40" t="n"/>
    </row>
    <row r="68">
      <c r="A68" s="39">
        <f>IF(B68="","","WIR-"&amp;TEXT(ROW()-4,"0000"))</f>
        <v/>
      </c>
      <c r="B68" s="50" t="n"/>
      <c r="C68" s="49">
        <f>IF(B68="","",IFERROR(INDEX('المشروعات'!$B$5:$B$304,MATCH(B68,'المشروعات'!$A$5:$A$304,0)),""))</f>
        <v/>
      </c>
      <c r="D68" s="40" t="n"/>
      <c r="E68" s="40" t="n"/>
      <c r="F68" s="40" t="n"/>
      <c r="G68" s="40" t="n"/>
      <c r="H68" s="47" t="n"/>
      <c r="I68" s="47" t="n"/>
      <c r="J68" s="40" t="n"/>
      <c r="K68" s="49">
        <f>IF(B68="","",IF(J68="","بانتظار الفحص",J68))</f>
        <v/>
      </c>
      <c r="L68" s="40" t="n"/>
    </row>
    <row r="69">
      <c r="A69" s="39">
        <f>IF(B69="","","WIR-"&amp;TEXT(ROW()-4,"0000"))</f>
        <v/>
      </c>
      <c r="B69" s="50" t="n"/>
      <c r="C69" s="49">
        <f>IF(B69="","",IFERROR(INDEX('المشروعات'!$B$5:$B$304,MATCH(B69,'المشروعات'!$A$5:$A$304,0)),""))</f>
        <v/>
      </c>
      <c r="D69" s="40" t="n"/>
      <c r="E69" s="40" t="n"/>
      <c r="F69" s="40" t="n"/>
      <c r="G69" s="40" t="n"/>
      <c r="H69" s="47" t="n"/>
      <c r="I69" s="47" t="n"/>
      <c r="J69" s="40" t="n"/>
      <c r="K69" s="49">
        <f>IF(B69="","",IF(J69="","بانتظار الفحص",J69))</f>
        <v/>
      </c>
      <c r="L69" s="40" t="n"/>
    </row>
    <row r="70">
      <c r="A70" s="39">
        <f>IF(B70="","","WIR-"&amp;TEXT(ROW()-4,"0000"))</f>
        <v/>
      </c>
      <c r="B70" s="50" t="n"/>
      <c r="C70" s="49">
        <f>IF(B70="","",IFERROR(INDEX('المشروعات'!$B$5:$B$304,MATCH(B70,'المشروعات'!$A$5:$A$304,0)),""))</f>
        <v/>
      </c>
      <c r="D70" s="40" t="n"/>
      <c r="E70" s="40" t="n"/>
      <c r="F70" s="40" t="n"/>
      <c r="G70" s="40" t="n"/>
      <c r="H70" s="47" t="n"/>
      <c r="I70" s="47" t="n"/>
      <c r="J70" s="40" t="n"/>
      <c r="K70" s="49">
        <f>IF(B70="","",IF(J70="","بانتظار الفحص",J70))</f>
        <v/>
      </c>
      <c r="L70" s="40" t="n"/>
    </row>
    <row r="71">
      <c r="A71" s="39">
        <f>IF(B71="","","WIR-"&amp;TEXT(ROW()-4,"0000"))</f>
        <v/>
      </c>
      <c r="B71" s="50" t="n"/>
      <c r="C71" s="49">
        <f>IF(B71="","",IFERROR(INDEX('المشروعات'!$B$5:$B$304,MATCH(B71,'المشروعات'!$A$5:$A$304,0)),""))</f>
        <v/>
      </c>
      <c r="D71" s="40" t="n"/>
      <c r="E71" s="40" t="n"/>
      <c r="F71" s="40" t="n"/>
      <c r="G71" s="40" t="n"/>
      <c r="H71" s="47" t="n"/>
      <c r="I71" s="47" t="n"/>
      <c r="J71" s="40" t="n"/>
      <c r="K71" s="49">
        <f>IF(B71="","",IF(J71="","بانتظار الفحص",J71))</f>
        <v/>
      </c>
      <c r="L71" s="40" t="n"/>
    </row>
    <row r="72">
      <c r="A72" s="39">
        <f>IF(B72="","","WIR-"&amp;TEXT(ROW()-4,"0000"))</f>
        <v/>
      </c>
      <c r="B72" s="50" t="n"/>
      <c r="C72" s="49">
        <f>IF(B72="","",IFERROR(INDEX('المشروعات'!$B$5:$B$304,MATCH(B72,'المشروعات'!$A$5:$A$304,0)),""))</f>
        <v/>
      </c>
      <c r="D72" s="40" t="n"/>
      <c r="E72" s="40" t="n"/>
      <c r="F72" s="40" t="n"/>
      <c r="G72" s="40" t="n"/>
      <c r="H72" s="47" t="n"/>
      <c r="I72" s="47" t="n"/>
      <c r="J72" s="40" t="n"/>
      <c r="K72" s="49">
        <f>IF(B72="","",IF(J72="","بانتظار الفحص",J72))</f>
        <v/>
      </c>
      <c r="L72" s="40" t="n"/>
    </row>
    <row r="73">
      <c r="A73" s="39">
        <f>IF(B73="","","WIR-"&amp;TEXT(ROW()-4,"0000"))</f>
        <v/>
      </c>
      <c r="B73" s="50" t="n"/>
      <c r="C73" s="49">
        <f>IF(B73="","",IFERROR(INDEX('المشروعات'!$B$5:$B$304,MATCH(B73,'المشروعات'!$A$5:$A$304,0)),""))</f>
        <v/>
      </c>
      <c r="D73" s="40" t="n"/>
      <c r="E73" s="40" t="n"/>
      <c r="F73" s="40" t="n"/>
      <c r="G73" s="40" t="n"/>
      <c r="H73" s="47" t="n"/>
      <c r="I73" s="47" t="n"/>
      <c r="J73" s="40" t="n"/>
      <c r="K73" s="49">
        <f>IF(B73="","",IF(J73="","بانتظار الفحص",J73))</f>
        <v/>
      </c>
      <c r="L73" s="40" t="n"/>
    </row>
    <row r="74">
      <c r="A74" s="39">
        <f>IF(B74="","","WIR-"&amp;TEXT(ROW()-4,"0000"))</f>
        <v/>
      </c>
      <c r="B74" s="50" t="n"/>
      <c r="C74" s="49">
        <f>IF(B74="","",IFERROR(INDEX('المشروعات'!$B$5:$B$304,MATCH(B74,'المشروعات'!$A$5:$A$304,0)),""))</f>
        <v/>
      </c>
      <c r="D74" s="40" t="n"/>
      <c r="E74" s="40" t="n"/>
      <c r="F74" s="40" t="n"/>
      <c r="G74" s="40" t="n"/>
      <c r="H74" s="47" t="n"/>
      <c r="I74" s="47" t="n"/>
      <c r="J74" s="40" t="n"/>
      <c r="K74" s="49">
        <f>IF(B74="","",IF(J74="","بانتظار الفحص",J74))</f>
        <v/>
      </c>
      <c r="L74" s="40" t="n"/>
    </row>
    <row r="75">
      <c r="A75" s="39">
        <f>IF(B75="","","WIR-"&amp;TEXT(ROW()-4,"0000"))</f>
        <v/>
      </c>
      <c r="B75" s="50" t="n"/>
      <c r="C75" s="49">
        <f>IF(B75="","",IFERROR(INDEX('المشروعات'!$B$5:$B$304,MATCH(B75,'المشروعات'!$A$5:$A$304,0)),""))</f>
        <v/>
      </c>
      <c r="D75" s="40" t="n"/>
      <c r="E75" s="40" t="n"/>
      <c r="F75" s="40" t="n"/>
      <c r="G75" s="40" t="n"/>
      <c r="H75" s="47" t="n"/>
      <c r="I75" s="47" t="n"/>
      <c r="J75" s="40" t="n"/>
      <c r="K75" s="49">
        <f>IF(B75="","",IF(J75="","بانتظار الفحص",J75))</f>
        <v/>
      </c>
      <c r="L75" s="40" t="n"/>
    </row>
    <row r="76">
      <c r="A76" s="39">
        <f>IF(B76="","","WIR-"&amp;TEXT(ROW()-4,"0000"))</f>
        <v/>
      </c>
      <c r="B76" s="50" t="n"/>
      <c r="C76" s="49">
        <f>IF(B76="","",IFERROR(INDEX('المشروعات'!$B$5:$B$304,MATCH(B76,'المشروعات'!$A$5:$A$304,0)),""))</f>
        <v/>
      </c>
      <c r="D76" s="40" t="n"/>
      <c r="E76" s="40" t="n"/>
      <c r="F76" s="40" t="n"/>
      <c r="G76" s="40" t="n"/>
      <c r="H76" s="47" t="n"/>
      <c r="I76" s="47" t="n"/>
      <c r="J76" s="40" t="n"/>
      <c r="K76" s="49">
        <f>IF(B76="","",IF(J76="","بانتظار الفحص",J76))</f>
        <v/>
      </c>
      <c r="L76" s="40" t="n"/>
    </row>
    <row r="77">
      <c r="A77" s="39">
        <f>IF(B77="","","WIR-"&amp;TEXT(ROW()-4,"0000"))</f>
        <v/>
      </c>
      <c r="B77" s="50" t="n"/>
      <c r="C77" s="49">
        <f>IF(B77="","",IFERROR(INDEX('المشروعات'!$B$5:$B$304,MATCH(B77,'المشروعات'!$A$5:$A$304,0)),""))</f>
        <v/>
      </c>
      <c r="D77" s="40" t="n"/>
      <c r="E77" s="40" t="n"/>
      <c r="F77" s="40" t="n"/>
      <c r="G77" s="40" t="n"/>
      <c r="H77" s="47" t="n"/>
      <c r="I77" s="47" t="n"/>
      <c r="J77" s="40" t="n"/>
      <c r="K77" s="49">
        <f>IF(B77="","",IF(J77="","بانتظار الفحص",J77))</f>
        <v/>
      </c>
      <c r="L77" s="40" t="n"/>
    </row>
    <row r="78">
      <c r="A78" s="39">
        <f>IF(B78="","","WIR-"&amp;TEXT(ROW()-4,"0000"))</f>
        <v/>
      </c>
      <c r="B78" s="50" t="n"/>
      <c r="C78" s="49">
        <f>IF(B78="","",IFERROR(INDEX('المشروعات'!$B$5:$B$304,MATCH(B78,'المشروعات'!$A$5:$A$304,0)),""))</f>
        <v/>
      </c>
      <c r="D78" s="40" t="n"/>
      <c r="E78" s="40" t="n"/>
      <c r="F78" s="40" t="n"/>
      <c r="G78" s="40" t="n"/>
      <c r="H78" s="47" t="n"/>
      <c r="I78" s="47" t="n"/>
      <c r="J78" s="40" t="n"/>
      <c r="K78" s="49">
        <f>IF(B78="","",IF(J78="","بانتظار الفحص",J78))</f>
        <v/>
      </c>
      <c r="L78" s="40" t="n"/>
    </row>
    <row r="79">
      <c r="A79" s="39">
        <f>IF(B79="","","WIR-"&amp;TEXT(ROW()-4,"0000"))</f>
        <v/>
      </c>
      <c r="B79" s="50" t="n"/>
      <c r="C79" s="49">
        <f>IF(B79="","",IFERROR(INDEX('المشروعات'!$B$5:$B$304,MATCH(B79,'المشروعات'!$A$5:$A$304,0)),""))</f>
        <v/>
      </c>
      <c r="D79" s="40" t="n"/>
      <c r="E79" s="40" t="n"/>
      <c r="F79" s="40" t="n"/>
      <c r="G79" s="40" t="n"/>
      <c r="H79" s="47" t="n"/>
      <c r="I79" s="47" t="n"/>
      <c r="J79" s="40" t="n"/>
      <c r="K79" s="49">
        <f>IF(B79="","",IF(J79="","بانتظار الفحص",J79))</f>
        <v/>
      </c>
      <c r="L79" s="40" t="n"/>
    </row>
    <row r="80">
      <c r="A80" s="39">
        <f>IF(B80="","","WIR-"&amp;TEXT(ROW()-4,"0000"))</f>
        <v/>
      </c>
      <c r="B80" s="50" t="n"/>
      <c r="C80" s="49">
        <f>IF(B80="","",IFERROR(INDEX('المشروعات'!$B$5:$B$304,MATCH(B80,'المشروعات'!$A$5:$A$304,0)),""))</f>
        <v/>
      </c>
      <c r="D80" s="40" t="n"/>
      <c r="E80" s="40" t="n"/>
      <c r="F80" s="40" t="n"/>
      <c r="G80" s="40" t="n"/>
      <c r="H80" s="47" t="n"/>
      <c r="I80" s="47" t="n"/>
      <c r="J80" s="40" t="n"/>
      <c r="K80" s="49">
        <f>IF(B80="","",IF(J80="","بانتظار الفحص",J80))</f>
        <v/>
      </c>
      <c r="L80" s="40" t="n"/>
    </row>
    <row r="81">
      <c r="A81" s="39">
        <f>IF(B81="","","WIR-"&amp;TEXT(ROW()-4,"0000"))</f>
        <v/>
      </c>
      <c r="B81" s="50" t="n"/>
      <c r="C81" s="49">
        <f>IF(B81="","",IFERROR(INDEX('المشروعات'!$B$5:$B$304,MATCH(B81,'المشروعات'!$A$5:$A$304,0)),""))</f>
        <v/>
      </c>
      <c r="D81" s="40" t="n"/>
      <c r="E81" s="40" t="n"/>
      <c r="F81" s="40" t="n"/>
      <c r="G81" s="40" t="n"/>
      <c r="H81" s="47" t="n"/>
      <c r="I81" s="47" t="n"/>
      <c r="J81" s="40" t="n"/>
      <c r="K81" s="49">
        <f>IF(B81="","",IF(J81="","بانتظار الفحص",J81))</f>
        <v/>
      </c>
      <c r="L81" s="40" t="n"/>
    </row>
    <row r="82">
      <c r="A82" s="39">
        <f>IF(B82="","","WIR-"&amp;TEXT(ROW()-4,"0000"))</f>
        <v/>
      </c>
      <c r="B82" s="50" t="n"/>
      <c r="C82" s="49">
        <f>IF(B82="","",IFERROR(INDEX('المشروعات'!$B$5:$B$304,MATCH(B82,'المشروعات'!$A$5:$A$304,0)),""))</f>
        <v/>
      </c>
      <c r="D82" s="40" t="n"/>
      <c r="E82" s="40" t="n"/>
      <c r="F82" s="40" t="n"/>
      <c r="G82" s="40" t="n"/>
      <c r="H82" s="47" t="n"/>
      <c r="I82" s="47" t="n"/>
      <c r="J82" s="40" t="n"/>
      <c r="K82" s="49">
        <f>IF(B82="","",IF(J82="","بانتظار الفحص",J82))</f>
        <v/>
      </c>
      <c r="L82" s="40" t="n"/>
    </row>
    <row r="83">
      <c r="A83" s="39">
        <f>IF(B83="","","WIR-"&amp;TEXT(ROW()-4,"0000"))</f>
        <v/>
      </c>
      <c r="B83" s="50" t="n"/>
      <c r="C83" s="49">
        <f>IF(B83="","",IFERROR(INDEX('المشروعات'!$B$5:$B$304,MATCH(B83,'المشروعات'!$A$5:$A$304,0)),""))</f>
        <v/>
      </c>
      <c r="D83" s="40" t="n"/>
      <c r="E83" s="40" t="n"/>
      <c r="F83" s="40" t="n"/>
      <c r="G83" s="40" t="n"/>
      <c r="H83" s="47" t="n"/>
      <c r="I83" s="47" t="n"/>
      <c r="J83" s="40" t="n"/>
      <c r="K83" s="49">
        <f>IF(B83="","",IF(J83="","بانتظار الفحص",J83))</f>
        <v/>
      </c>
      <c r="L83" s="40" t="n"/>
    </row>
    <row r="84">
      <c r="A84" s="39">
        <f>IF(B84="","","WIR-"&amp;TEXT(ROW()-4,"0000"))</f>
        <v/>
      </c>
      <c r="B84" s="50" t="n"/>
      <c r="C84" s="49">
        <f>IF(B84="","",IFERROR(INDEX('المشروعات'!$B$5:$B$304,MATCH(B84,'المشروعات'!$A$5:$A$304,0)),""))</f>
        <v/>
      </c>
      <c r="D84" s="40" t="n"/>
      <c r="E84" s="40" t="n"/>
      <c r="F84" s="40" t="n"/>
      <c r="G84" s="40" t="n"/>
      <c r="H84" s="47" t="n"/>
      <c r="I84" s="47" t="n"/>
      <c r="J84" s="40" t="n"/>
      <c r="K84" s="49">
        <f>IF(B84="","",IF(J84="","بانتظار الفحص",J84))</f>
        <v/>
      </c>
      <c r="L84" s="40" t="n"/>
    </row>
    <row r="85">
      <c r="A85" s="39">
        <f>IF(B85="","","WIR-"&amp;TEXT(ROW()-4,"0000"))</f>
        <v/>
      </c>
      <c r="B85" s="50" t="n"/>
      <c r="C85" s="49">
        <f>IF(B85="","",IFERROR(INDEX('المشروعات'!$B$5:$B$304,MATCH(B85,'المشروعات'!$A$5:$A$304,0)),""))</f>
        <v/>
      </c>
      <c r="D85" s="40" t="n"/>
      <c r="E85" s="40" t="n"/>
      <c r="F85" s="40" t="n"/>
      <c r="G85" s="40" t="n"/>
      <c r="H85" s="47" t="n"/>
      <c r="I85" s="47" t="n"/>
      <c r="J85" s="40" t="n"/>
      <c r="K85" s="49">
        <f>IF(B85="","",IF(J85="","بانتظار الفحص",J85))</f>
        <v/>
      </c>
      <c r="L85" s="40" t="n"/>
    </row>
    <row r="86">
      <c r="A86" s="39">
        <f>IF(B86="","","WIR-"&amp;TEXT(ROW()-4,"0000"))</f>
        <v/>
      </c>
      <c r="B86" s="50" t="n"/>
      <c r="C86" s="49">
        <f>IF(B86="","",IFERROR(INDEX('المشروعات'!$B$5:$B$304,MATCH(B86,'المشروعات'!$A$5:$A$304,0)),""))</f>
        <v/>
      </c>
      <c r="D86" s="40" t="n"/>
      <c r="E86" s="40" t="n"/>
      <c r="F86" s="40" t="n"/>
      <c r="G86" s="40" t="n"/>
      <c r="H86" s="47" t="n"/>
      <c r="I86" s="47" t="n"/>
      <c r="J86" s="40" t="n"/>
      <c r="K86" s="49">
        <f>IF(B86="","",IF(J86="","بانتظار الفحص",J86))</f>
        <v/>
      </c>
      <c r="L86" s="40" t="n"/>
    </row>
    <row r="87">
      <c r="A87" s="39">
        <f>IF(B87="","","WIR-"&amp;TEXT(ROW()-4,"0000"))</f>
        <v/>
      </c>
      <c r="B87" s="50" t="n"/>
      <c r="C87" s="49">
        <f>IF(B87="","",IFERROR(INDEX('المشروعات'!$B$5:$B$304,MATCH(B87,'المشروعات'!$A$5:$A$304,0)),""))</f>
        <v/>
      </c>
      <c r="D87" s="40" t="n"/>
      <c r="E87" s="40" t="n"/>
      <c r="F87" s="40" t="n"/>
      <c r="G87" s="40" t="n"/>
      <c r="H87" s="47" t="n"/>
      <c r="I87" s="47" t="n"/>
      <c r="J87" s="40" t="n"/>
      <c r="K87" s="49">
        <f>IF(B87="","",IF(J87="","بانتظار الفحص",J87))</f>
        <v/>
      </c>
      <c r="L87" s="40" t="n"/>
    </row>
    <row r="88">
      <c r="A88" s="39">
        <f>IF(B88="","","WIR-"&amp;TEXT(ROW()-4,"0000"))</f>
        <v/>
      </c>
      <c r="B88" s="50" t="n"/>
      <c r="C88" s="49">
        <f>IF(B88="","",IFERROR(INDEX('المشروعات'!$B$5:$B$304,MATCH(B88,'المشروعات'!$A$5:$A$304,0)),""))</f>
        <v/>
      </c>
      <c r="D88" s="40" t="n"/>
      <c r="E88" s="40" t="n"/>
      <c r="F88" s="40" t="n"/>
      <c r="G88" s="40" t="n"/>
      <c r="H88" s="47" t="n"/>
      <c r="I88" s="47" t="n"/>
      <c r="J88" s="40" t="n"/>
      <c r="K88" s="49">
        <f>IF(B88="","",IF(J88="","بانتظار الفحص",J88))</f>
        <v/>
      </c>
      <c r="L88" s="40" t="n"/>
    </row>
    <row r="89">
      <c r="A89" s="39">
        <f>IF(B89="","","WIR-"&amp;TEXT(ROW()-4,"0000"))</f>
        <v/>
      </c>
      <c r="B89" s="50" t="n"/>
      <c r="C89" s="49">
        <f>IF(B89="","",IFERROR(INDEX('المشروعات'!$B$5:$B$304,MATCH(B89,'المشروعات'!$A$5:$A$304,0)),""))</f>
        <v/>
      </c>
      <c r="D89" s="40" t="n"/>
      <c r="E89" s="40" t="n"/>
      <c r="F89" s="40" t="n"/>
      <c r="G89" s="40" t="n"/>
      <c r="H89" s="47" t="n"/>
      <c r="I89" s="47" t="n"/>
      <c r="J89" s="40" t="n"/>
      <c r="K89" s="49">
        <f>IF(B89="","",IF(J89="","بانتظار الفحص",J89))</f>
        <v/>
      </c>
      <c r="L89" s="40" t="n"/>
    </row>
    <row r="90">
      <c r="A90" s="39">
        <f>IF(B90="","","WIR-"&amp;TEXT(ROW()-4,"0000"))</f>
        <v/>
      </c>
      <c r="B90" s="50" t="n"/>
      <c r="C90" s="49">
        <f>IF(B90="","",IFERROR(INDEX('المشروعات'!$B$5:$B$304,MATCH(B90,'المشروعات'!$A$5:$A$304,0)),""))</f>
        <v/>
      </c>
      <c r="D90" s="40" t="n"/>
      <c r="E90" s="40" t="n"/>
      <c r="F90" s="40" t="n"/>
      <c r="G90" s="40" t="n"/>
      <c r="H90" s="47" t="n"/>
      <c r="I90" s="47" t="n"/>
      <c r="J90" s="40" t="n"/>
      <c r="K90" s="49">
        <f>IF(B90="","",IF(J90="","بانتظار الفحص",J90))</f>
        <v/>
      </c>
      <c r="L90" s="40" t="n"/>
    </row>
    <row r="91">
      <c r="A91" s="39">
        <f>IF(B91="","","WIR-"&amp;TEXT(ROW()-4,"0000"))</f>
        <v/>
      </c>
      <c r="B91" s="50" t="n"/>
      <c r="C91" s="49">
        <f>IF(B91="","",IFERROR(INDEX('المشروعات'!$B$5:$B$304,MATCH(B91,'المشروعات'!$A$5:$A$304,0)),""))</f>
        <v/>
      </c>
      <c r="D91" s="40" t="n"/>
      <c r="E91" s="40" t="n"/>
      <c r="F91" s="40" t="n"/>
      <c r="G91" s="40" t="n"/>
      <c r="H91" s="47" t="n"/>
      <c r="I91" s="47" t="n"/>
      <c r="J91" s="40" t="n"/>
      <c r="K91" s="49">
        <f>IF(B91="","",IF(J91="","بانتظار الفحص",J91))</f>
        <v/>
      </c>
      <c r="L91" s="40" t="n"/>
    </row>
    <row r="92">
      <c r="A92" s="39">
        <f>IF(B92="","","WIR-"&amp;TEXT(ROW()-4,"0000"))</f>
        <v/>
      </c>
      <c r="B92" s="50" t="n"/>
      <c r="C92" s="49">
        <f>IF(B92="","",IFERROR(INDEX('المشروعات'!$B$5:$B$304,MATCH(B92,'المشروعات'!$A$5:$A$304,0)),""))</f>
        <v/>
      </c>
      <c r="D92" s="40" t="n"/>
      <c r="E92" s="40" t="n"/>
      <c r="F92" s="40" t="n"/>
      <c r="G92" s="40" t="n"/>
      <c r="H92" s="47" t="n"/>
      <c r="I92" s="47" t="n"/>
      <c r="J92" s="40" t="n"/>
      <c r="K92" s="49">
        <f>IF(B92="","",IF(J92="","بانتظار الفحص",J92))</f>
        <v/>
      </c>
      <c r="L92" s="40" t="n"/>
    </row>
    <row r="93">
      <c r="A93" s="39">
        <f>IF(B93="","","WIR-"&amp;TEXT(ROW()-4,"0000"))</f>
        <v/>
      </c>
      <c r="B93" s="50" t="n"/>
      <c r="C93" s="49">
        <f>IF(B93="","",IFERROR(INDEX('المشروعات'!$B$5:$B$304,MATCH(B93,'المشروعات'!$A$5:$A$304,0)),""))</f>
        <v/>
      </c>
      <c r="D93" s="40" t="n"/>
      <c r="E93" s="40" t="n"/>
      <c r="F93" s="40" t="n"/>
      <c r="G93" s="40" t="n"/>
      <c r="H93" s="47" t="n"/>
      <c r="I93" s="47" t="n"/>
      <c r="J93" s="40" t="n"/>
      <c r="K93" s="49">
        <f>IF(B93="","",IF(J93="","بانتظار الفحص",J93))</f>
        <v/>
      </c>
      <c r="L93" s="40" t="n"/>
    </row>
    <row r="94">
      <c r="A94" s="39">
        <f>IF(B94="","","WIR-"&amp;TEXT(ROW()-4,"0000"))</f>
        <v/>
      </c>
      <c r="B94" s="50" t="n"/>
      <c r="C94" s="49">
        <f>IF(B94="","",IFERROR(INDEX('المشروعات'!$B$5:$B$304,MATCH(B94,'المشروعات'!$A$5:$A$304,0)),""))</f>
        <v/>
      </c>
      <c r="D94" s="40" t="n"/>
      <c r="E94" s="40" t="n"/>
      <c r="F94" s="40" t="n"/>
      <c r="G94" s="40" t="n"/>
      <c r="H94" s="47" t="n"/>
      <c r="I94" s="47" t="n"/>
      <c r="J94" s="40" t="n"/>
      <c r="K94" s="49">
        <f>IF(B94="","",IF(J94="","بانتظار الفحص",J94))</f>
        <v/>
      </c>
      <c r="L94" s="40" t="n"/>
    </row>
    <row r="95">
      <c r="A95" s="39">
        <f>IF(B95="","","WIR-"&amp;TEXT(ROW()-4,"0000"))</f>
        <v/>
      </c>
      <c r="B95" s="50" t="n"/>
      <c r="C95" s="49">
        <f>IF(B95="","",IFERROR(INDEX('المشروعات'!$B$5:$B$304,MATCH(B95,'المشروعات'!$A$5:$A$304,0)),""))</f>
        <v/>
      </c>
      <c r="D95" s="40" t="n"/>
      <c r="E95" s="40" t="n"/>
      <c r="F95" s="40" t="n"/>
      <c r="G95" s="40" t="n"/>
      <c r="H95" s="47" t="n"/>
      <c r="I95" s="47" t="n"/>
      <c r="J95" s="40" t="n"/>
      <c r="K95" s="49">
        <f>IF(B95="","",IF(J95="","بانتظار الفحص",J95))</f>
        <v/>
      </c>
      <c r="L95" s="40" t="n"/>
    </row>
    <row r="96">
      <c r="A96" s="39">
        <f>IF(B96="","","WIR-"&amp;TEXT(ROW()-4,"0000"))</f>
        <v/>
      </c>
      <c r="B96" s="50" t="n"/>
      <c r="C96" s="49">
        <f>IF(B96="","",IFERROR(INDEX('المشروعات'!$B$5:$B$304,MATCH(B96,'المشروعات'!$A$5:$A$304,0)),""))</f>
        <v/>
      </c>
      <c r="D96" s="40" t="n"/>
      <c r="E96" s="40" t="n"/>
      <c r="F96" s="40" t="n"/>
      <c r="G96" s="40" t="n"/>
      <c r="H96" s="47" t="n"/>
      <c r="I96" s="47" t="n"/>
      <c r="J96" s="40" t="n"/>
      <c r="K96" s="49">
        <f>IF(B96="","",IF(J96="","بانتظار الفحص",J96))</f>
        <v/>
      </c>
      <c r="L96" s="40" t="n"/>
    </row>
    <row r="97">
      <c r="A97" s="39">
        <f>IF(B97="","","WIR-"&amp;TEXT(ROW()-4,"0000"))</f>
        <v/>
      </c>
      <c r="B97" s="50" t="n"/>
      <c r="C97" s="49">
        <f>IF(B97="","",IFERROR(INDEX('المشروعات'!$B$5:$B$304,MATCH(B97,'المشروعات'!$A$5:$A$304,0)),""))</f>
        <v/>
      </c>
      <c r="D97" s="40" t="n"/>
      <c r="E97" s="40" t="n"/>
      <c r="F97" s="40" t="n"/>
      <c r="G97" s="40" t="n"/>
      <c r="H97" s="47" t="n"/>
      <c r="I97" s="47" t="n"/>
      <c r="J97" s="40" t="n"/>
      <c r="K97" s="49">
        <f>IF(B97="","",IF(J97="","بانتظار الفحص",J97))</f>
        <v/>
      </c>
      <c r="L97" s="40" t="n"/>
    </row>
    <row r="98">
      <c r="A98" s="39">
        <f>IF(B98="","","WIR-"&amp;TEXT(ROW()-4,"0000"))</f>
        <v/>
      </c>
      <c r="B98" s="50" t="n"/>
      <c r="C98" s="49">
        <f>IF(B98="","",IFERROR(INDEX('المشروعات'!$B$5:$B$304,MATCH(B98,'المشروعات'!$A$5:$A$304,0)),""))</f>
        <v/>
      </c>
      <c r="D98" s="40" t="n"/>
      <c r="E98" s="40" t="n"/>
      <c r="F98" s="40" t="n"/>
      <c r="G98" s="40" t="n"/>
      <c r="H98" s="47" t="n"/>
      <c r="I98" s="47" t="n"/>
      <c r="J98" s="40" t="n"/>
      <c r="K98" s="49">
        <f>IF(B98="","",IF(J98="","بانتظار الفحص",J98))</f>
        <v/>
      </c>
      <c r="L98" s="40" t="n"/>
    </row>
    <row r="99">
      <c r="A99" s="39">
        <f>IF(B99="","","WIR-"&amp;TEXT(ROW()-4,"0000"))</f>
        <v/>
      </c>
      <c r="B99" s="50" t="n"/>
      <c r="C99" s="49">
        <f>IF(B99="","",IFERROR(INDEX('المشروعات'!$B$5:$B$304,MATCH(B99,'المشروعات'!$A$5:$A$304,0)),""))</f>
        <v/>
      </c>
      <c r="D99" s="40" t="n"/>
      <c r="E99" s="40" t="n"/>
      <c r="F99" s="40" t="n"/>
      <c r="G99" s="40" t="n"/>
      <c r="H99" s="47" t="n"/>
      <c r="I99" s="47" t="n"/>
      <c r="J99" s="40" t="n"/>
      <c r="K99" s="49">
        <f>IF(B99="","",IF(J99="","بانتظار الفحص",J99))</f>
        <v/>
      </c>
      <c r="L99" s="40" t="n"/>
    </row>
    <row r="100">
      <c r="A100" s="39">
        <f>IF(B100="","","WIR-"&amp;TEXT(ROW()-4,"0000"))</f>
        <v/>
      </c>
      <c r="B100" s="50" t="n"/>
      <c r="C100" s="49">
        <f>IF(B100="","",IFERROR(INDEX('المشروعات'!$B$5:$B$304,MATCH(B100,'المشروعات'!$A$5:$A$304,0)),""))</f>
        <v/>
      </c>
      <c r="D100" s="40" t="n"/>
      <c r="E100" s="40" t="n"/>
      <c r="F100" s="40" t="n"/>
      <c r="G100" s="40" t="n"/>
      <c r="H100" s="47" t="n"/>
      <c r="I100" s="47" t="n"/>
      <c r="J100" s="40" t="n"/>
      <c r="K100" s="49">
        <f>IF(B100="","",IF(J100="","بانتظار الفحص",J100))</f>
        <v/>
      </c>
      <c r="L100" s="40" t="n"/>
    </row>
    <row r="101">
      <c r="A101" s="39">
        <f>IF(B101="","","WIR-"&amp;TEXT(ROW()-4,"0000"))</f>
        <v/>
      </c>
      <c r="B101" s="50" t="n"/>
      <c r="C101" s="49">
        <f>IF(B101="","",IFERROR(INDEX('المشروعات'!$B$5:$B$304,MATCH(B101,'المشروعات'!$A$5:$A$304,0)),""))</f>
        <v/>
      </c>
      <c r="D101" s="40" t="n"/>
      <c r="E101" s="40" t="n"/>
      <c r="F101" s="40" t="n"/>
      <c r="G101" s="40" t="n"/>
      <c r="H101" s="47" t="n"/>
      <c r="I101" s="47" t="n"/>
      <c r="J101" s="40" t="n"/>
      <c r="K101" s="49">
        <f>IF(B101="","",IF(J101="","بانتظار الفحص",J101))</f>
        <v/>
      </c>
      <c r="L101" s="40" t="n"/>
    </row>
    <row r="102">
      <c r="A102" s="39">
        <f>IF(B102="","","WIR-"&amp;TEXT(ROW()-4,"0000"))</f>
        <v/>
      </c>
      <c r="B102" s="50" t="n"/>
      <c r="C102" s="49">
        <f>IF(B102="","",IFERROR(INDEX('المشروعات'!$B$5:$B$304,MATCH(B102,'المشروعات'!$A$5:$A$304,0)),""))</f>
        <v/>
      </c>
      <c r="D102" s="40" t="n"/>
      <c r="E102" s="40" t="n"/>
      <c r="F102" s="40" t="n"/>
      <c r="G102" s="40" t="n"/>
      <c r="H102" s="47" t="n"/>
      <c r="I102" s="47" t="n"/>
      <c r="J102" s="40" t="n"/>
      <c r="K102" s="49">
        <f>IF(B102="","",IF(J102="","بانتظار الفحص",J102))</f>
        <v/>
      </c>
      <c r="L102" s="40" t="n"/>
    </row>
    <row r="103">
      <c r="A103" s="39">
        <f>IF(B103="","","WIR-"&amp;TEXT(ROW()-4,"0000"))</f>
        <v/>
      </c>
      <c r="B103" s="50" t="n"/>
      <c r="C103" s="49">
        <f>IF(B103="","",IFERROR(INDEX('المشروعات'!$B$5:$B$304,MATCH(B103,'المشروعات'!$A$5:$A$304,0)),""))</f>
        <v/>
      </c>
      <c r="D103" s="40" t="n"/>
      <c r="E103" s="40" t="n"/>
      <c r="F103" s="40" t="n"/>
      <c r="G103" s="40" t="n"/>
      <c r="H103" s="47" t="n"/>
      <c r="I103" s="47" t="n"/>
      <c r="J103" s="40" t="n"/>
      <c r="K103" s="49">
        <f>IF(B103="","",IF(J103="","بانتظار الفحص",J103))</f>
        <v/>
      </c>
      <c r="L103" s="40" t="n"/>
    </row>
    <row r="104">
      <c r="A104" s="39">
        <f>IF(B104="","","WIR-"&amp;TEXT(ROW()-4,"0000"))</f>
        <v/>
      </c>
      <c r="B104" s="50" t="n"/>
      <c r="C104" s="49">
        <f>IF(B104="","",IFERROR(INDEX('المشروعات'!$B$5:$B$304,MATCH(B104,'المشروعات'!$A$5:$A$304,0)),""))</f>
        <v/>
      </c>
      <c r="D104" s="40" t="n"/>
      <c r="E104" s="40" t="n"/>
      <c r="F104" s="40" t="n"/>
      <c r="G104" s="40" t="n"/>
      <c r="H104" s="47" t="n"/>
      <c r="I104" s="47" t="n"/>
      <c r="J104" s="40" t="n"/>
      <c r="K104" s="49">
        <f>IF(B104="","",IF(J104="","بانتظار الفحص",J104))</f>
        <v/>
      </c>
      <c r="L104" s="40" t="n"/>
    </row>
    <row r="105">
      <c r="A105" s="39">
        <f>IF(B105="","","WIR-"&amp;TEXT(ROW()-4,"0000"))</f>
        <v/>
      </c>
      <c r="B105" s="50" t="n"/>
      <c r="C105" s="49">
        <f>IF(B105="","",IFERROR(INDEX('المشروعات'!$B$5:$B$304,MATCH(B105,'المشروعات'!$A$5:$A$304,0)),""))</f>
        <v/>
      </c>
      <c r="D105" s="40" t="n"/>
      <c r="E105" s="40" t="n"/>
      <c r="F105" s="40" t="n"/>
      <c r="G105" s="40" t="n"/>
      <c r="H105" s="47" t="n"/>
      <c r="I105" s="47" t="n"/>
      <c r="J105" s="40" t="n"/>
      <c r="K105" s="49">
        <f>IF(B105="","",IF(J105="","بانتظار الفحص",J105))</f>
        <v/>
      </c>
      <c r="L105" s="40" t="n"/>
    </row>
    <row r="106">
      <c r="A106" s="39">
        <f>IF(B106="","","WIR-"&amp;TEXT(ROW()-4,"0000"))</f>
        <v/>
      </c>
      <c r="B106" s="50" t="n"/>
      <c r="C106" s="49">
        <f>IF(B106="","",IFERROR(INDEX('المشروعات'!$B$5:$B$304,MATCH(B106,'المشروعات'!$A$5:$A$304,0)),""))</f>
        <v/>
      </c>
      <c r="D106" s="40" t="n"/>
      <c r="E106" s="40" t="n"/>
      <c r="F106" s="40" t="n"/>
      <c r="G106" s="40" t="n"/>
      <c r="H106" s="47" t="n"/>
      <c r="I106" s="47" t="n"/>
      <c r="J106" s="40" t="n"/>
      <c r="K106" s="49">
        <f>IF(B106="","",IF(J106="","بانتظار الفحص",J106))</f>
        <v/>
      </c>
      <c r="L106" s="40" t="n"/>
    </row>
    <row r="107">
      <c r="A107" s="39">
        <f>IF(B107="","","WIR-"&amp;TEXT(ROW()-4,"0000"))</f>
        <v/>
      </c>
      <c r="B107" s="50" t="n"/>
      <c r="C107" s="49">
        <f>IF(B107="","",IFERROR(INDEX('المشروعات'!$B$5:$B$304,MATCH(B107,'المشروعات'!$A$5:$A$304,0)),""))</f>
        <v/>
      </c>
      <c r="D107" s="40" t="n"/>
      <c r="E107" s="40" t="n"/>
      <c r="F107" s="40" t="n"/>
      <c r="G107" s="40" t="n"/>
      <c r="H107" s="47" t="n"/>
      <c r="I107" s="47" t="n"/>
      <c r="J107" s="40" t="n"/>
      <c r="K107" s="49">
        <f>IF(B107="","",IF(J107="","بانتظار الفحص",J107))</f>
        <v/>
      </c>
      <c r="L107" s="40" t="n"/>
    </row>
    <row r="108">
      <c r="A108" s="39">
        <f>IF(B108="","","WIR-"&amp;TEXT(ROW()-4,"0000"))</f>
        <v/>
      </c>
      <c r="B108" s="50" t="n"/>
      <c r="C108" s="49">
        <f>IF(B108="","",IFERROR(INDEX('المشروعات'!$B$5:$B$304,MATCH(B108,'المشروعات'!$A$5:$A$304,0)),""))</f>
        <v/>
      </c>
      <c r="D108" s="40" t="n"/>
      <c r="E108" s="40" t="n"/>
      <c r="F108" s="40" t="n"/>
      <c r="G108" s="40" t="n"/>
      <c r="H108" s="47" t="n"/>
      <c r="I108" s="47" t="n"/>
      <c r="J108" s="40" t="n"/>
      <c r="K108" s="49">
        <f>IF(B108="","",IF(J108="","بانتظار الفحص",J108))</f>
        <v/>
      </c>
      <c r="L108" s="40" t="n"/>
    </row>
    <row r="109">
      <c r="A109" s="39">
        <f>IF(B109="","","WIR-"&amp;TEXT(ROW()-4,"0000"))</f>
        <v/>
      </c>
      <c r="B109" s="50" t="n"/>
      <c r="C109" s="49">
        <f>IF(B109="","",IFERROR(INDEX('المشروعات'!$B$5:$B$304,MATCH(B109,'المشروعات'!$A$5:$A$304,0)),""))</f>
        <v/>
      </c>
      <c r="D109" s="40" t="n"/>
      <c r="E109" s="40" t="n"/>
      <c r="F109" s="40" t="n"/>
      <c r="G109" s="40" t="n"/>
      <c r="H109" s="47" t="n"/>
      <c r="I109" s="47" t="n"/>
      <c r="J109" s="40" t="n"/>
      <c r="K109" s="49">
        <f>IF(B109="","",IF(J109="","بانتظار الفحص",J109))</f>
        <v/>
      </c>
      <c r="L109" s="40" t="n"/>
    </row>
    <row r="110">
      <c r="A110" s="39">
        <f>IF(B110="","","WIR-"&amp;TEXT(ROW()-4,"0000"))</f>
        <v/>
      </c>
      <c r="B110" s="50" t="n"/>
      <c r="C110" s="49">
        <f>IF(B110="","",IFERROR(INDEX('المشروعات'!$B$5:$B$304,MATCH(B110,'المشروعات'!$A$5:$A$304,0)),""))</f>
        <v/>
      </c>
      <c r="D110" s="40" t="n"/>
      <c r="E110" s="40" t="n"/>
      <c r="F110" s="40" t="n"/>
      <c r="G110" s="40" t="n"/>
      <c r="H110" s="47" t="n"/>
      <c r="I110" s="47" t="n"/>
      <c r="J110" s="40" t="n"/>
      <c r="K110" s="49">
        <f>IF(B110="","",IF(J110="","بانتظار الفحص",J110))</f>
        <v/>
      </c>
      <c r="L110" s="40" t="n"/>
    </row>
    <row r="111">
      <c r="A111" s="39">
        <f>IF(B111="","","WIR-"&amp;TEXT(ROW()-4,"0000"))</f>
        <v/>
      </c>
      <c r="B111" s="50" t="n"/>
      <c r="C111" s="49">
        <f>IF(B111="","",IFERROR(INDEX('المشروعات'!$B$5:$B$304,MATCH(B111,'المشروعات'!$A$5:$A$304,0)),""))</f>
        <v/>
      </c>
      <c r="D111" s="40" t="n"/>
      <c r="E111" s="40" t="n"/>
      <c r="F111" s="40" t="n"/>
      <c r="G111" s="40" t="n"/>
      <c r="H111" s="47" t="n"/>
      <c r="I111" s="47" t="n"/>
      <c r="J111" s="40" t="n"/>
      <c r="K111" s="49">
        <f>IF(B111="","",IF(J111="","بانتظار الفحص",J111))</f>
        <v/>
      </c>
      <c r="L111" s="40" t="n"/>
    </row>
    <row r="112">
      <c r="A112" s="39">
        <f>IF(B112="","","WIR-"&amp;TEXT(ROW()-4,"0000"))</f>
        <v/>
      </c>
      <c r="B112" s="50" t="n"/>
      <c r="C112" s="49">
        <f>IF(B112="","",IFERROR(INDEX('المشروعات'!$B$5:$B$304,MATCH(B112,'المشروعات'!$A$5:$A$304,0)),""))</f>
        <v/>
      </c>
      <c r="D112" s="40" t="n"/>
      <c r="E112" s="40" t="n"/>
      <c r="F112" s="40" t="n"/>
      <c r="G112" s="40" t="n"/>
      <c r="H112" s="47" t="n"/>
      <c r="I112" s="47" t="n"/>
      <c r="J112" s="40" t="n"/>
      <c r="K112" s="49">
        <f>IF(B112="","",IF(J112="","بانتظار الفحص",J112))</f>
        <v/>
      </c>
      <c r="L112" s="40" t="n"/>
    </row>
    <row r="113">
      <c r="A113" s="39">
        <f>IF(B113="","","WIR-"&amp;TEXT(ROW()-4,"0000"))</f>
        <v/>
      </c>
      <c r="B113" s="50" t="n"/>
      <c r="C113" s="49">
        <f>IF(B113="","",IFERROR(INDEX('المشروعات'!$B$5:$B$304,MATCH(B113,'المشروعات'!$A$5:$A$304,0)),""))</f>
        <v/>
      </c>
      <c r="D113" s="40" t="n"/>
      <c r="E113" s="40" t="n"/>
      <c r="F113" s="40" t="n"/>
      <c r="G113" s="40" t="n"/>
      <c r="H113" s="47" t="n"/>
      <c r="I113" s="47" t="n"/>
      <c r="J113" s="40" t="n"/>
      <c r="K113" s="49">
        <f>IF(B113="","",IF(J113="","بانتظار الفحص",J113))</f>
        <v/>
      </c>
      <c r="L113" s="40" t="n"/>
    </row>
    <row r="114">
      <c r="A114" s="39">
        <f>IF(B114="","","WIR-"&amp;TEXT(ROW()-4,"0000"))</f>
        <v/>
      </c>
      <c r="B114" s="50" t="n"/>
      <c r="C114" s="49">
        <f>IF(B114="","",IFERROR(INDEX('المشروعات'!$B$5:$B$304,MATCH(B114,'المشروعات'!$A$5:$A$304,0)),""))</f>
        <v/>
      </c>
      <c r="D114" s="40" t="n"/>
      <c r="E114" s="40" t="n"/>
      <c r="F114" s="40" t="n"/>
      <c r="G114" s="40" t="n"/>
      <c r="H114" s="47" t="n"/>
      <c r="I114" s="47" t="n"/>
      <c r="J114" s="40" t="n"/>
      <c r="K114" s="49">
        <f>IF(B114="","",IF(J114="","بانتظار الفحص",J114))</f>
        <v/>
      </c>
      <c r="L114" s="40" t="n"/>
    </row>
    <row r="115">
      <c r="A115" s="39">
        <f>IF(B115="","","WIR-"&amp;TEXT(ROW()-4,"0000"))</f>
        <v/>
      </c>
      <c r="B115" s="50" t="n"/>
      <c r="C115" s="49">
        <f>IF(B115="","",IFERROR(INDEX('المشروعات'!$B$5:$B$304,MATCH(B115,'المشروعات'!$A$5:$A$304,0)),""))</f>
        <v/>
      </c>
      <c r="D115" s="40" t="n"/>
      <c r="E115" s="40" t="n"/>
      <c r="F115" s="40" t="n"/>
      <c r="G115" s="40" t="n"/>
      <c r="H115" s="47" t="n"/>
      <c r="I115" s="47" t="n"/>
      <c r="J115" s="40" t="n"/>
      <c r="K115" s="49">
        <f>IF(B115="","",IF(J115="","بانتظار الفحص",J115))</f>
        <v/>
      </c>
      <c r="L115" s="40" t="n"/>
    </row>
    <row r="116">
      <c r="A116" s="39">
        <f>IF(B116="","","WIR-"&amp;TEXT(ROW()-4,"0000"))</f>
        <v/>
      </c>
      <c r="B116" s="50" t="n"/>
      <c r="C116" s="49">
        <f>IF(B116="","",IFERROR(INDEX('المشروعات'!$B$5:$B$304,MATCH(B116,'المشروعات'!$A$5:$A$304,0)),""))</f>
        <v/>
      </c>
      <c r="D116" s="40" t="n"/>
      <c r="E116" s="40" t="n"/>
      <c r="F116" s="40" t="n"/>
      <c r="G116" s="40" t="n"/>
      <c r="H116" s="47" t="n"/>
      <c r="I116" s="47" t="n"/>
      <c r="J116" s="40" t="n"/>
      <c r="K116" s="49">
        <f>IF(B116="","",IF(J116="","بانتظار الفحص",J116))</f>
        <v/>
      </c>
      <c r="L116" s="40" t="n"/>
    </row>
    <row r="117">
      <c r="A117" s="39">
        <f>IF(B117="","","WIR-"&amp;TEXT(ROW()-4,"0000"))</f>
        <v/>
      </c>
      <c r="B117" s="50" t="n"/>
      <c r="C117" s="49">
        <f>IF(B117="","",IFERROR(INDEX('المشروعات'!$B$5:$B$304,MATCH(B117,'المشروعات'!$A$5:$A$304,0)),""))</f>
        <v/>
      </c>
      <c r="D117" s="40" t="n"/>
      <c r="E117" s="40" t="n"/>
      <c r="F117" s="40" t="n"/>
      <c r="G117" s="40" t="n"/>
      <c r="H117" s="47" t="n"/>
      <c r="I117" s="47" t="n"/>
      <c r="J117" s="40" t="n"/>
      <c r="K117" s="49">
        <f>IF(B117="","",IF(J117="","بانتظار الفحص",J117))</f>
        <v/>
      </c>
      <c r="L117" s="40" t="n"/>
    </row>
    <row r="118">
      <c r="A118" s="39">
        <f>IF(B118="","","WIR-"&amp;TEXT(ROW()-4,"0000"))</f>
        <v/>
      </c>
      <c r="B118" s="50" t="n"/>
      <c r="C118" s="49">
        <f>IF(B118="","",IFERROR(INDEX('المشروعات'!$B$5:$B$304,MATCH(B118,'المشروعات'!$A$5:$A$304,0)),""))</f>
        <v/>
      </c>
      <c r="D118" s="40" t="n"/>
      <c r="E118" s="40" t="n"/>
      <c r="F118" s="40" t="n"/>
      <c r="G118" s="40" t="n"/>
      <c r="H118" s="47" t="n"/>
      <c r="I118" s="47" t="n"/>
      <c r="J118" s="40" t="n"/>
      <c r="K118" s="49">
        <f>IF(B118="","",IF(J118="","بانتظار الفحص",J118))</f>
        <v/>
      </c>
      <c r="L118" s="40" t="n"/>
    </row>
    <row r="119">
      <c r="A119" s="39">
        <f>IF(B119="","","WIR-"&amp;TEXT(ROW()-4,"0000"))</f>
        <v/>
      </c>
      <c r="B119" s="50" t="n"/>
      <c r="C119" s="49">
        <f>IF(B119="","",IFERROR(INDEX('المشروعات'!$B$5:$B$304,MATCH(B119,'المشروعات'!$A$5:$A$304,0)),""))</f>
        <v/>
      </c>
      <c r="D119" s="40" t="n"/>
      <c r="E119" s="40" t="n"/>
      <c r="F119" s="40" t="n"/>
      <c r="G119" s="40" t="n"/>
      <c r="H119" s="47" t="n"/>
      <c r="I119" s="47" t="n"/>
      <c r="J119" s="40" t="n"/>
      <c r="K119" s="49">
        <f>IF(B119="","",IF(J119="","بانتظار الفحص",J119))</f>
        <v/>
      </c>
      <c r="L119" s="40" t="n"/>
    </row>
    <row r="120">
      <c r="A120" s="39">
        <f>IF(B120="","","WIR-"&amp;TEXT(ROW()-4,"0000"))</f>
        <v/>
      </c>
      <c r="B120" s="50" t="n"/>
      <c r="C120" s="49">
        <f>IF(B120="","",IFERROR(INDEX('المشروعات'!$B$5:$B$304,MATCH(B120,'المشروعات'!$A$5:$A$304,0)),""))</f>
        <v/>
      </c>
      <c r="D120" s="40" t="n"/>
      <c r="E120" s="40" t="n"/>
      <c r="F120" s="40" t="n"/>
      <c r="G120" s="40" t="n"/>
      <c r="H120" s="47" t="n"/>
      <c r="I120" s="47" t="n"/>
      <c r="J120" s="40" t="n"/>
      <c r="K120" s="49">
        <f>IF(B120="","",IF(J120="","بانتظار الفحص",J120))</f>
        <v/>
      </c>
      <c r="L120" s="40" t="n"/>
    </row>
    <row r="121">
      <c r="A121" s="39">
        <f>IF(B121="","","WIR-"&amp;TEXT(ROW()-4,"0000"))</f>
        <v/>
      </c>
      <c r="B121" s="50" t="n"/>
      <c r="C121" s="49">
        <f>IF(B121="","",IFERROR(INDEX('المشروعات'!$B$5:$B$304,MATCH(B121,'المشروعات'!$A$5:$A$304,0)),""))</f>
        <v/>
      </c>
      <c r="D121" s="40" t="n"/>
      <c r="E121" s="40" t="n"/>
      <c r="F121" s="40" t="n"/>
      <c r="G121" s="40" t="n"/>
      <c r="H121" s="47" t="n"/>
      <c r="I121" s="47" t="n"/>
      <c r="J121" s="40" t="n"/>
      <c r="K121" s="49">
        <f>IF(B121="","",IF(J121="","بانتظار الفحص",J121))</f>
        <v/>
      </c>
      <c r="L121" s="40" t="n"/>
    </row>
    <row r="122">
      <c r="A122" s="39">
        <f>IF(B122="","","WIR-"&amp;TEXT(ROW()-4,"0000"))</f>
        <v/>
      </c>
      <c r="B122" s="50" t="n"/>
      <c r="C122" s="49">
        <f>IF(B122="","",IFERROR(INDEX('المشروعات'!$B$5:$B$304,MATCH(B122,'المشروعات'!$A$5:$A$304,0)),""))</f>
        <v/>
      </c>
      <c r="D122" s="40" t="n"/>
      <c r="E122" s="40" t="n"/>
      <c r="F122" s="40" t="n"/>
      <c r="G122" s="40" t="n"/>
      <c r="H122" s="47" t="n"/>
      <c r="I122" s="47" t="n"/>
      <c r="J122" s="40" t="n"/>
      <c r="K122" s="49">
        <f>IF(B122="","",IF(J122="","بانتظار الفحص",J122))</f>
        <v/>
      </c>
      <c r="L122" s="40" t="n"/>
    </row>
    <row r="123">
      <c r="A123" s="39">
        <f>IF(B123="","","WIR-"&amp;TEXT(ROW()-4,"0000"))</f>
        <v/>
      </c>
      <c r="B123" s="50" t="n"/>
      <c r="C123" s="49">
        <f>IF(B123="","",IFERROR(INDEX('المشروعات'!$B$5:$B$304,MATCH(B123,'المشروعات'!$A$5:$A$304,0)),""))</f>
        <v/>
      </c>
      <c r="D123" s="40" t="n"/>
      <c r="E123" s="40" t="n"/>
      <c r="F123" s="40" t="n"/>
      <c r="G123" s="40" t="n"/>
      <c r="H123" s="47" t="n"/>
      <c r="I123" s="47" t="n"/>
      <c r="J123" s="40" t="n"/>
      <c r="K123" s="49">
        <f>IF(B123="","",IF(J123="","بانتظار الفحص",J123))</f>
        <v/>
      </c>
      <c r="L123" s="40" t="n"/>
    </row>
    <row r="124">
      <c r="A124" s="39">
        <f>IF(B124="","","WIR-"&amp;TEXT(ROW()-4,"0000"))</f>
        <v/>
      </c>
      <c r="B124" s="50" t="n"/>
      <c r="C124" s="49">
        <f>IF(B124="","",IFERROR(INDEX('المشروعات'!$B$5:$B$304,MATCH(B124,'المشروعات'!$A$5:$A$304,0)),""))</f>
        <v/>
      </c>
      <c r="D124" s="40" t="n"/>
      <c r="E124" s="40" t="n"/>
      <c r="F124" s="40" t="n"/>
      <c r="G124" s="40" t="n"/>
      <c r="H124" s="47" t="n"/>
      <c r="I124" s="47" t="n"/>
      <c r="J124" s="40" t="n"/>
      <c r="K124" s="49">
        <f>IF(B124="","",IF(J124="","بانتظار الفحص",J124))</f>
        <v/>
      </c>
      <c r="L124" s="40" t="n"/>
    </row>
    <row r="125">
      <c r="A125" s="39">
        <f>IF(B125="","","WIR-"&amp;TEXT(ROW()-4,"0000"))</f>
        <v/>
      </c>
      <c r="B125" s="50" t="n"/>
      <c r="C125" s="49">
        <f>IF(B125="","",IFERROR(INDEX('المشروعات'!$B$5:$B$304,MATCH(B125,'المشروعات'!$A$5:$A$304,0)),""))</f>
        <v/>
      </c>
      <c r="D125" s="40" t="n"/>
      <c r="E125" s="40" t="n"/>
      <c r="F125" s="40" t="n"/>
      <c r="G125" s="40" t="n"/>
      <c r="H125" s="47" t="n"/>
      <c r="I125" s="47" t="n"/>
      <c r="J125" s="40" t="n"/>
      <c r="K125" s="49">
        <f>IF(B125="","",IF(J125="","بانتظار الفحص",J125))</f>
        <v/>
      </c>
      <c r="L125" s="40" t="n"/>
    </row>
    <row r="126">
      <c r="A126" s="39">
        <f>IF(B126="","","WIR-"&amp;TEXT(ROW()-4,"0000"))</f>
        <v/>
      </c>
      <c r="B126" s="50" t="n"/>
      <c r="C126" s="49">
        <f>IF(B126="","",IFERROR(INDEX('المشروعات'!$B$5:$B$304,MATCH(B126,'المشروعات'!$A$5:$A$304,0)),""))</f>
        <v/>
      </c>
      <c r="D126" s="40" t="n"/>
      <c r="E126" s="40" t="n"/>
      <c r="F126" s="40" t="n"/>
      <c r="G126" s="40" t="n"/>
      <c r="H126" s="47" t="n"/>
      <c r="I126" s="47" t="n"/>
      <c r="J126" s="40" t="n"/>
      <c r="K126" s="49">
        <f>IF(B126="","",IF(J126="","بانتظار الفحص",J126))</f>
        <v/>
      </c>
      <c r="L126" s="40" t="n"/>
    </row>
    <row r="127">
      <c r="A127" s="39">
        <f>IF(B127="","","WIR-"&amp;TEXT(ROW()-4,"0000"))</f>
        <v/>
      </c>
      <c r="B127" s="50" t="n"/>
      <c r="C127" s="49">
        <f>IF(B127="","",IFERROR(INDEX('المشروعات'!$B$5:$B$304,MATCH(B127,'المشروعات'!$A$5:$A$304,0)),""))</f>
        <v/>
      </c>
      <c r="D127" s="40" t="n"/>
      <c r="E127" s="40" t="n"/>
      <c r="F127" s="40" t="n"/>
      <c r="G127" s="40" t="n"/>
      <c r="H127" s="47" t="n"/>
      <c r="I127" s="47" t="n"/>
      <c r="J127" s="40" t="n"/>
      <c r="K127" s="49">
        <f>IF(B127="","",IF(J127="","بانتظار الفحص",J127))</f>
        <v/>
      </c>
      <c r="L127" s="40" t="n"/>
    </row>
    <row r="128">
      <c r="A128" s="39">
        <f>IF(B128="","","WIR-"&amp;TEXT(ROW()-4,"0000"))</f>
        <v/>
      </c>
      <c r="B128" s="50" t="n"/>
      <c r="C128" s="49">
        <f>IF(B128="","",IFERROR(INDEX('المشروعات'!$B$5:$B$304,MATCH(B128,'المشروعات'!$A$5:$A$304,0)),""))</f>
        <v/>
      </c>
      <c r="D128" s="40" t="n"/>
      <c r="E128" s="40" t="n"/>
      <c r="F128" s="40" t="n"/>
      <c r="G128" s="40" t="n"/>
      <c r="H128" s="47" t="n"/>
      <c r="I128" s="47" t="n"/>
      <c r="J128" s="40" t="n"/>
      <c r="K128" s="49">
        <f>IF(B128="","",IF(J128="","بانتظار الفحص",J128))</f>
        <v/>
      </c>
      <c r="L128" s="40" t="n"/>
    </row>
    <row r="129">
      <c r="A129" s="39">
        <f>IF(B129="","","WIR-"&amp;TEXT(ROW()-4,"0000"))</f>
        <v/>
      </c>
      <c r="B129" s="50" t="n"/>
      <c r="C129" s="49">
        <f>IF(B129="","",IFERROR(INDEX('المشروعات'!$B$5:$B$304,MATCH(B129,'المشروعات'!$A$5:$A$304,0)),""))</f>
        <v/>
      </c>
      <c r="D129" s="40" t="n"/>
      <c r="E129" s="40" t="n"/>
      <c r="F129" s="40" t="n"/>
      <c r="G129" s="40" t="n"/>
      <c r="H129" s="47" t="n"/>
      <c r="I129" s="47" t="n"/>
      <c r="J129" s="40" t="n"/>
      <c r="K129" s="49">
        <f>IF(B129="","",IF(J129="","بانتظار الفحص",J129))</f>
        <v/>
      </c>
      <c r="L129" s="40" t="n"/>
    </row>
    <row r="130">
      <c r="A130" s="39">
        <f>IF(B130="","","WIR-"&amp;TEXT(ROW()-4,"0000"))</f>
        <v/>
      </c>
      <c r="B130" s="50" t="n"/>
      <c r="C130" s="49">
        <f>IF(B130="","",IFERROR(INDEX('المشروعات'!$B$5:$B$304,MATCH(B130,'المشروعات'!$A$5:$A$304,0)),""))</f>
        <v/>
      </c>
      <c r="D130" s="40" t="n"/>
      <c r="E130" s="40" t="n"/>
      <c r="F130" s="40" t="n"/>
      <c r="G130" s="40" t="n"/>
      <c r="H130" s="47" t="n"/>
      <c r="I130" s="47" t="n"/>
      <c r="J130" s="40" t="n"/>
      <c r="K130" s="49">
        <f>IF(B130="","",IF(J130="","بانتظار الفحص",J130))</f>
        <v/>
      </c>
      <c r="L130" s="40" t="n"/>
    </row>
    <row r="131">
      <c r="A131" s="39">
        <f>IF(B131="","","WIR-"&amp;TEXT(ROW()-4,"0000"))</f>
        <v/>
      </c>
      <c r="B131" s="50" t="n"/>
      <c r="C131" s="49">
        <f>IF(B131="","",IFERROR(INDEX('المشروعات'!$B$5:$B$304,MATCH(B131,'المشروعات'!$A$5:$A$304,0)),""))</f>
        <v/>
      </c>
      <c r="D131" s="40" t="n"/>
      <c r="E131" s="40" t="n"/>
      <c r="F131" s="40" t="n"/>
      <c r="G131" s="40" t="n"/>
      <c r="H131" s="47" t="n"/>
      <c r="I131" s="47" t="n"/>
      <c r="J131" s="40" t="n"/>
      <c r="K131" s="49">
        <f>IF(B131="","",IF(J131="","بانتظار الفحص",J131))</f>
        <v/>
      </c>
      <c r="L131" s="40" t="n"/>
    </row>
    <row r="132">
      <c r="A132" s="39">
        <f>IF(B132="","","WIR-"&amp;TEXT(ROW()-4,"0000"))</f>
        <v/>
      </c>
      <c r="B132" s="50" t="n"/>
      <c r="C132" s="49">
        <f>IF(B132="","",IFERROR(INDEX('المشروعات'!$B$5:$B$304,MATCH(B132,'المشروعات'!$A$5:$A$304,0)),""))</f>
        <v/>
      </c>
      <c r="D132" s="40" t="n"/>
      <c r="E132" s="40" t="n"/>
      <c r="F132" s="40" t="n"/>
      <c r="G132" s="40" t="n"/>
      <c r="H132" s="47" t="n"/>
      <c r="I132" s="47" t="n"/>
      <c r="J132" s="40" t="n"/>
      <c r="K132" s="49">
        <f>IF(B132="","",IF(J132="","بانتظار الفحص",J132))</f>
        <v/>
      </c>
      <c r="L132" s="40" t="n"/>
    </row>
    <row r="133">
      <c r="A133" s="39">
        <f>IF(B133="","","WIR-"&amp;TEXT(ROW()-4,"0000"))</f>
        <v/>
      </c>
      <c r="B133" s="50" t="n"/>
      <c r="C133" s="49">
        <f>IF(B133="","",IFERROR(INDEX('المشروعات'!$B$5:$B$304,MATCH(B133,'المشروعات'!$A$5:$A$304,0)),""))</f>
        <v/>
      </c>
      <c r="D133" s="40" t="n"/>
      <c r="E133" s="40" t="n"/>
      <c r="F133" s="40" t="n"/>
      <c r="G133" s="40" t="n"/>
      <c r="H133" s="47" t="n"/>
      <c r="I133" s="47" t="n"/>
      <c r="J133" s="40" t="n"/>
      <c r="K133" s="49">
        <f>IF(B133="","",IF(J133="","بانتظار الفحص",J133))</f>
        <v/>
      </c>
      <c r="L133" s="40" t="n"/>
    </row>
    <row r="134">
      <c r="A134" s="39">
        <f>IF(B134="","","WIR-"&amp;TEXT(ROW()-4,"0000"))</f>
        <v/>
      </c>
      <c r="B134" s="50" t="n"/>
      <c r="C134" s="49">
        <f>IF(B134="","",IFERROR(INDEX('المشروعات'!$B$5:$B$304,MATCH(B134,'المشروعات'!$A$5:$A$304,0)),""))</f>
        <v/>
      </c>
      <c r="D134" s="40" t="n"/>
      <c r="E134" s="40" t="n"/>
      <c r="F134" s="40" t="n"/>
      <c r="G134" s="40" t="n"/>
      <c r="H134" s="47" t="n"/>
      <c r="I134" s="47" t="n"/>
      <c r="J134" s="40" t="n"/>
      <c r="K134" s="49">
        <f>IF(B134="","",IF(J134="","بانتظار الفحص",J134))</f>
        <v/>
      </c>
      <c r="L134" s="40" t="n"/>
    </row>
    <row r="135">
      <c r="A135" s="39">
        <f>IF(B135="","","WIR-"&amp;TEXT(ROW()-4,"0000"))</f>
        <v/>
      </c>
      <c r="B135" s="50" t="n"/>
      <c r="C135" s="49">
        <f>IF(B135="","",IFERROR(INDEX('المشروعات'!$B$5:$B$304,MATCH(B135,'المشروعات'!$A$5:$A$304,0)),""))</f>
        <v/>
      </c>
      <c r="D135" s="40" t="n"/>
      <c r="E135" s="40" t="n"/>
      <c r="F135" s="40" t="n"/>
      <c r="G135" s="40" t="n"/>
      <c r="H135" s="47" t="n"/>
      <c r="I135" s="47" t="n"/>
      <c r="J135" s="40" t="n"/>
      <c r="K135" s="49">
        <f>IF(B135="","",IF(J135="","بانتظار الفحص",J135))</f>
        <v/>
      </c>
      <c r="L135" s="40" t="n"/>
    </row>
    <row r="136">
      <c r="A136" s="39">
        <f>IF(B136="","","WIR-"&amp;TEXT(ROW()-4,"0000"))</f>
        <v/>
      </c>
      <c r="B136" s="50" t="n"/>
      <c r="C136" s="49">
        <f>IF(B136="","",IFERROR(INDEX('المشروعات'!$B$5:$B$304,MATCH(B136,'المشروعات'!$A$5:$A$304,0)),""))</f>
        <v/>
      </c>
      <c r="D136" s="40" t="n"/>
      <c r="E136" s="40" t="n"/>
      <c r="F136" s="40" t="n"/>
      <c r="G136" s="40" t="n"/>
      <c r="H136" s="47" t="n"/>
      <c r="I136" s="47" t="n"/>
      <c r="J136" s="40" t="n"/>
      <c r="K136" s="49">
        <f>IF(B136="","",IF(J136="","بانتظار الفحص",J136))</f>
        <v/>
      </c>
      <c r="L136" s="40" t="n"/>
    </row>
    <row r="137">
      <c r="A137" s="39">
        <f>IF(B137="","","WIR-"&amp;TEXT(ROW()-4,"0000"))</f>
        <v/>
      </c>
      <c r="B137" s="50" t="n"/>
      <c r="C137" s="49">
        <f>IF(B137="","",IFERROR(INDEX('المشروعات'!$B$5:$B$304,MATCH(B137,'المشروعات'!$A$5:$A$304,0)),""))</f>
        <v/>
      </c>
      <c r="D137" s="40" t="n"/>
      <c r="E137" s="40" t="n"/>
      <c r="F137" s="40" t="n"/>
      <c r="G137" s="40" t="n"/>
      <c r="H137" s="47" t="n"/>
      <c r="I137" s="47" t="n"/>
      <c r="J137" s="40" t="n"/>
      <c r="K137" s="49">
        <f>IF(B137="","",IF(J137="","بانتظار الفحص",J137))</f>
        <v/>
      </c>
      <c r="L137" s="40" t="n"/>
    </row>
    <row r="138">
      <c r="A138" s="39">
        <f>IF(B138="","","WIR-"&amp;TEXT(ROW()-4,"0000"))</f>
        <v/>
      </c>
      <c r="B138" s="50" t="n"/>
      <c r="C138" s="49">
        <f>IF(B138="","",IFERROR(INDEX('المشروعات'!$B$5:$B$304,MATCH(B138,'المشروعات'!$A$5:$A$304,0)),""))</f>
        <v/>
      </c>
      <c r="D138" s="40" t="n"/>
      <c r="E138" s="40" t="n"/>
      <c r="F138" s="40" t="n"/>
      <c r="G138" s="40" t="n"/>
      <c r="H138" s="47" t="n"/>
      <c r="I138" s="47" t="n"/>
      <c r="J138" s="40" t="n"/>
      <c r="K138" s="49">
        <f>IF(B138="","",IF(J138="","بانتظار الفحص",J138))</f>
        <v/>
      </c>
      <c r="L138" s="40" t="n"/>
    </row>
    <row r="139">
      <c r="A139" s="39">
        <f>IF(B139="","","WIR-"&amp;TEXT(ROW()-4,"0000"))</f>
        <v/>
      </c>
      <c r="B139" s="50" t="n"/>
      <c r="C139" s="49">
        <f>IF(B139="","",IFERROR(INDEX('المشروعات'!$B$5:$B$304,MATCH(B139,'المشروعات'!$A$5:$A$304,0)),""))</f>
        <v/>
      </c>
      <c r="D139" s="40" t="n"/>
      <c r="E139" s="40" t="n"/>
      <c r="F139" s="40" t="n"/>
      <c r="G139" s="40" t="n"/>
      <c r="H139" s="47" t="n"/>
      <c r="I139" s="47" t="n"/>
      <c r="J139" s="40" t="n"/>
      <c r="K139" s="49">
        <f>IF(B139="","",IF(J139="","بانتظار الفحص",J139))</f>
        <v/>
      </c>
      <c r="L139" s="40" t="n"/>
    </row>
    <row r="140">
      <c r="A140" s="39">
        <f>IF(B140="","","WIR-"&amp;TEXT(ROW()-4,"0000"))</f>
        <v/>
      </c>
      <c r="B140" s="50" t="n"/>
      <c r="C140" s="49">
        <f>IF(B140="","",IFERROR(INDEX('المشروعات'!$B$5:$B$304,MATCH(B140,'المشروعات'!$A$5:$A$304,0)),""))</f>
        <v/>
      </c>
      <c r="D140" s="40" t="n"/>
      <c r="E140" s="40" t="n"/>
      <c r="F140" s="40" t="n"/>
      <c r="G140" s="40" t="n"/>
      <c r="H140" s="47" t="n"/>
      <c r="I140" s="47" t="n"/>
      <c r="J140" s="40" t="n"/>
      <c r="K140" s="49">
        <f>IF(B140="","",IF(J140="","بانتظار الفحص",J140))</f>
        <v/>
      </c>
      <c r="L140" s="40" t="n"/>
    </row>
    <row r="141">
      <c r="A141" s="39">
        <f>IF(B141="","","WIR-"&amp;TEXT(ROW()-4,"0000"))</f>
        <v/>
      </c>
      <c r="B141" s="50" t="n"/>
      <c r="C141" s="49">
        <f>IF(B141="","",IFERROR(INDEX('المشروعات'!$B$5:$B$304,MATCH(B141,'المشروعات'!$A$5:$A$304,0)),""))</f>
        <v/>
      </c>
      <c r="D141" s="40" t="n"/>
      <c r="E141" s="40" t="n"/>
      <c r="F141" s="40" t="n"/>
      <c r="G141" s="40" t="n"/>
      <c r="H141" s="47" t="n"/>
      <c r="I141" s="47" t="n"/>
      <c r="J141" s="40" t="n"/>
      <c r="K141" s="49">
        <f>IF(B141="","",IF(J141="","بانتظار الفحص",J141))</f>
        <v/>
      </c>
      <c r="L141" s="40" t="n"/>
    </row>
    <row r="142">
      <c r="A142" s="39">
        <f>IF(B142="","","WIR-"&amp;TEXT(ROW()-4,"0000"))</f>
        <v/>
      </c>
      <c r="B142" s="50" t="n"/>
      <c r="C142" s="49">
        <f>IF(B142="","",IFERROR(INDEX('المشروعات'!$B$5:$B$304,MATCH(B142,'المشروعات'!$A$5:$A$304,0)),""))</f>
        <v/>
      </c>
      <c r="D142" s="40" t="n"/>
      <c r="E142" s="40" t="n"/>
      <c r="F142" s="40" t="n"/>
      <c r="G142" s="40" t="n"/>
      <c r="H142" s="47" t="n"/>
      <c r="I142" s="47" t="n"/>
      <c r="J142" s="40" t="n"/>
      <c r="K142" s="49">
        <f>IF(B142="","",IF(J142="","بانتظار الفحص",J142))</f>
        <v/>
      </c>
      <c r="L142" s="40" t="n"/>
    </row>
    <row r="143">
      <c r="A143" s="39">
        <f>IF(B143="","","WIR-"&amp;TEXT(ROW()-4,"0000"))</f>
        <v/>
      </c>
      <c r="B143" s="50" t="n"/>
      <c r="C143" s="49">
        <f>IF(B143="","",IFERROR(INDEX('المشروعات'!$B$5:$B$304,MATCH(B143,'المشروعات'!$A$5:$A$304,0)),""))</f>
        <v/>
      </c>
      <c r="D143" s="40" t="n"/>
      <c r="E143" s="40" t="n"/>
      <c r="F143" s="40" t="n"/>
      <c r="G143" s="40" t="n"/>
      <c r="H143" s="47" t="n"/>
      <c r="I143" s="47" t="n"/>
      <c r="J143" s="40" t="n"/>
      <c r="K143" s="49">
        <f>IF(B143="","",IF(J143="","بانتظار الفحص",J143))</f>
        <v/>
      </c>
      <c r="L143" s="40" t="n"/>
    </row>
    <row r="144">
      <c r="A144" s="39">
        <f>IF(B144="","","WIR-"&amp;TEXT(ROW()-4,"0000"))</f>
        <v/>
      </c>
      <c r="B144" s="50" t="n"/>
      <c r="C144" s="49">
        <f>IF(B144="","",IFERROR(INDEX('المشروعات'!$B$5:$B$304,MATCH(B144,'المشروعات'!$A$5:$A$304,0)),""))</f>
        <v/>
      </c>
      <c r="D144" s="40" t="n"/>
      <c r="E144" s="40" t="n"/>
      <c r="F144" s="40" t="n"/>
      <c r="G144" s="40" t="n"/>
      <c r="H144" s="47" t="n"/>
      <c r="I144" s="47" t="n"/>
      <c r="J144" s="40" t="n"/>
      <c r="K144" s="49">
        <f>IF(B144="","",IF(J144="","بانتظار الفحص",J144))</f>
        <v/>
      </c>
      <c r="L144" s="40" t="n"/>
    </row>
    <row r="145">
      <c r="A145" s="39">
        <f>IF(B145="","","WIR-"&amp;TEXT(ROW()-4,"0000"))</f>
        <v/>
      </c>
      <c r="B145" s="50" t="n"/>
      <c r="C145" s="49">
        <f>IF(B145="","",IFERROR(INDEX('المشروعات'!$B$5:$B$304,MATCH(B145,'المشروعات'!$A$5:$A$304,0)),""))</f>
        <v/>
      </c>
      <c r="D145" s="40" t="n"/>
      <c r="E145" s="40" t="n"/>
      <c r="F145" s="40" t="n"/>
      <c r="G145" s="40" t="n"/>
      <c r="H145" s="47" t="n"/>
      <c r="I145" s="47" t="n"/>
      <c r="J145" s="40" t="n"/>
      <c r="K145" s="49">
        <f>IF(B145="","",IF(J145="","بانتظار الفحص",J145))</f>
        <v/>
      </c>
      <c r="L145" s="40" t="n"/>
    </row>
    <row r="146">
      <c r="A146" s="39">
        <f>IF(B146="","","WIR-"&amp;TEXT(ROW()-4,"0000"))</f>
        <v/>
      </c>
      <c r="B146" s="50" t="n"/>
      <c r="C146" s="49">
        <f>IF(B146="","",IFERROR(INDEX('المشروعات'!$B$5:$B$304,MATCH(B146,'المشروعات'!$A$5:$A$304,0)),""))</f>
        <v/>
      </c>
      <c r="D146" s="40" t="n"/>
      <c r="E146" s="40" t="n"/>
      <c r="F146" s="40" t="n"/>
      <c r="G146" s="40" t="n"/>
      <c r="H146" s="47" t="n"/>
      <c r="I146" s="47" t="n"/>
      <c r="J146" s="40" t="n"/>
      <c r="K146" s="49">
        <f>IF(B146="","",IF(J146="","بانتظار الفحص",J146))</f>
        <v/>
      </c>
      <c r="L146" s="40" t="n"/>
    </row>
    <row r="147">
      <c r="A147" s="39">
        <f>IF(B147="","","WIR-"&amp;TEXT(ROW()-4,"0000"))</f>
        <v/>
      </c>
      <c r="B147" s="50" t="n"/>
      <c r="C147" s="49">
        <f>IF(B147="","",IFERROR(INDEX('المشروعات'!$B$5:$B$304,MATCH(B147,'المشروعات'!$A$5:$A$304,0)),""))</f>
        <v/>
      </c>
      <c r="D147" s="40" t="n"/>
      <c r="E147" s="40" t="n"/>
      <c r="F147" s="40" t="n"/>
      <c r="G147" s="40" t="n"/>
      <c r="H147" s="47" t="n"/>
      <c r="I147" s="47" t="n"/>
      <c r="J147" s="40" t="n"/>
      <c r="K147" s="49">
        <f>IF(B147="","",IF(J147="","بانتظار الفحص",J147))</f>
        <v/>
      </c>
      <c r="L147" s="40" t="n"/>
    </row>
    <row r="148">
      <c r="A148" s="39">
        <f>IF(B148="","","WIR-"&amp;TEXT(ROW()-4,"0000"))</f>
        <v/>
      </c>
      <c r="B148" s="50" t="n"/>
      <c r="C148" s="49">
        <f>IF(B148="","",IFERROR(INDEX('المشروعات'!$B$5:$B$304,MATCH(B148,'المشروعات'!$A$5:$A$304,0)),""))</f>
        <v/>
      </c>
      <c r="D148" s="40" t="n"/>
      <c r="E148" s="40" t="n"/>
      <c r="F148" s="40" t="n"/>
      <c r="G148" s="40" t="n"/>
      <c r="H148" s="47" t="n"/>
      <c r="I148" s="47" t="n"/>
      <c r="J148" s="40" t="n"/>
      <c r="K148" s="49">
        <f>IF(B148="","",IF(J148="","بانتظار الفحص",J148))</f>
        <v/>
      </c>
      <c r="L148" s="40" t="n"/>
    </row>
    <row r="149">
      <c r="A149" s="39">
        <f>IF(B149="","","WIR-"&amp;TEXT(ROW()-4,"0000"))</f>
        <v/>
      </c>
      <c r="B149" s="50" t="n"/>
      <c r="C149" s="49">
        <f>IF(B149="","",IFERROR(INDEX('المشروعات'!$B$5:$B$304,MATCH(B149,'المشروعات'!$A$5:$A$304,0)),""))</f>
        <v/>
      </c>
      <c r="D149" s="40" t="n"/>
      <c r="E149" s="40" t="n"/>
      <c r="F149" s="40" t="n"/>
      <c r="G149" s="40" t="n"/>
      <c r="H149" s="47" t="n"/>
      <c r="I149" s="47" t="n"/>
      <c r="J149" s="40" t="n"/>
      <c r="K149" s="49">
        <f>IF(B149="","",IF(J149="","بانتظار الفحص",J149))</f>
        <v/>
      </c>
      <c r="L149" s="40" t="n"/>
    </row>
    <row r="150">
      <c r="A150" s="39">
        <f>IF(B150="","","WIR-"&amp;TEXT(ROW()-4,"0000"))</f>
        <v/>
      </c>
      <c r="B150" s="50" t="n"/>
      <c r="C150" s="49">
        <f>IF(B150="","",IFERROR(INDEX('المشروعات'!$B$5:$B$304,MATCH(B150,'المشروعات'!$A$5:$A$304,0)),""))</f>
        <v/>
      </c>
      <c r="D150" s="40" t="n"/>
      <c r="E150" s="40" t="n"/>
      <c r="F150" s="40" t="n"/>
      <c r="G150" s="40" t="n"/>
      <c r="H150" s="47" t="n"/>
      <c r="I150" s="47" t="n"/>
      <c r="J150" s="40" t="n"/>
      <c r="K150" s="49">
        <f>IF(B150="","",IF(J150="","بانتظار الفحص",J150))</f>
        <v/>
      </c>
      <c r="L150" s="40" t="n"/>
    </row>
    <row r="151">
      <c r="A151" s="39">
        <f>IF(B151="","","WIR-"&amp;TEXT(ROW()-4,"0000"))</f>
        <v/>
      </c>
      <c r="B151" s="50" t="n"/>
      <c r="C151" s="49">
        <f>IF(B151="","",IFERROR(INDEX('المشروعات'!$B$5:$B$304,MATCH(B151,'المشروعات'!$A$5:$A$304,0)),""))</f>
        <v/>
      </c>
      <c r="D151" s="40" t="n"/>
      <c r="E151" s="40" t="n"/>
      <c r="F151" s="40" t="n"/>
      <c r="G151" s="40" t="n"/>
      <c r="H151" s="47" t="n"/>
      <c r="I151" s="47" t="n"/>
      <c r="J151" s="40" t="n"/>
      <c r="K151" s="49">
        <f>IF(B151="","",IF(J151="","بانتظار الفحص",J151))</f>
        <v/>
      </c>
      <c r="L151" s="40" t="n"/>
    </row>
    <row r="152">
      <c r="A152" s="39">
        <f>IF(B152="","","WIR-"&amp;TEXT(ROW()-4,"0000"))</f>
        <v/>
      </c>
      <c r="B152" s="50" t="n"/>
      <c r="C152" s="49">
        <f>IF(B152="","",IFERROR(INDEX('المشروعات'!$B$5:$B$304,MATCH(B152,'المشروعات'!$A$5:$A$304,0)),""))</f>
        <v/>
      </c>
      <c r="D152" s="40" t="n"/>
      <c r="E152" s="40" t="n"/>
      <c r="F152" s="40" t="n"/>
      <c r="G152" s="40" t="n"/>
      <c r="H152" s="47" t="n"/>
      <c r="I152" s="47" t="n"/>
      <c r="J152" s="40" t="n"/>
      <c r="K152" s="49">
        <f>IF(B152="","",IF(J152="","بانتظار الفحص",J152))</f>
        <v/>
      </c>
      <c r="L152" s="40" t="n"/>
    </row>
    <row r="153">
      <c r="A153" s="39">
        <f>IF(B153="","","WIR-"&amp;TEXT(ROW()-4,"0000"))</f>
        <v/>
      </c>
      <c r="B153" s="50" t="n"/>
      <c r="C153" s="49">
        <f>IF(B153="","",IFERROR(INDEX('المشروعات'!$B$5:$B$304,MATCH(B153,'المشروعات'!$A$5:$A$304,0)),""))</f>
        <v/>
      </c>
      <c r="D153" s="40" t="n"/>
      <c r="E153" s="40" t="n"/>
      <c r="F153" s="40" t="n"/>
      <c r="G153" s="40" t="n"/>
      <c r="H153" s="47" t="n"/>
      <c r="I153" s="47" t="n"/>
      <c r="J153" s="40" t="n"/>
      <c r="K153" s="49">
        <f>IF(B153="","",IF(J153="","بانتظار الفحص",J153))</f>
        <v/>
      </c>
      <c r="L153" s="40" t="n"/>
    </row>
    <row r="154">
      <c r="A154" s="39">
        <f>IF(B154="","","WIR-"&amp;TEXT(ROW()-4,"0000"))</f>
        <v/>
      </c>
      <c r="B154" s="50" t="n"/>
      <c r="C154" s="49">
        <f>IF(B154="","",IFERROR(INDEX('المشروعات'!$B$5:$B$304,MATCH(B154,'المشروعات'!$A$5:$A$304,0)),""))</f>
        <v/>
      </c>
      <c r="D154" s="40" t="n"/>
      <c r="E154" s="40" t="n"/>
      <c r="F154" s="40" t="n"/>
      <c r="G154" s="40" t="n"/>
      <c r="H154" s="47" t="n"/>
      <c r="I154" s="47" t="n"/>
      <c r="J154" s="40" t="n"/>
      <c r="K154" s="49">
        <f>IF(B154="","",IF(J154="","بانتظار الفحص",J154))</f>
        <v/>
      </c>
      <c r="L154" s="40" t="n"/>
    </row>
    <row r="155">
      <c r="A155" s="39">
        <f>IF(B155="","","WIR-"&amp;TEXT(ROW()-4,"0000"))</f>
        <v/>
      </c>
      <c r="B155" s="50" t="n"/>
      <c r="C155" s="49">
        <f>IF(B155="","",IFERROR(INDEX('المشروعات'!$B$5:$B$304,MATCH(B155,'المشروعات'!$A$5:$A$304,0)),""))</f>
        <v/>
      </c>
      <c r="D155" s="40" t="n"/>
      <c r="E155" s="40" t="n"/>
      <c r="F155" s="40" t="n"/>
      <c r="G155" s="40" t="n"/>
      <c r="H155" s="47" t="n"/>
      <c r="I155" s="47" t="n"/>
      <c r="J155" s="40" t="n"/>
      <c r="K155" s="49">
        <f>IF(B155="","",IF(J155="","بانتظار الفحص",J155))</f>
        <v/>
      </c>
      <c r="L155" s="40" t="n"/>
    </row>
    <row r="156">
      <c r="A156" s="39">
        <f>IF(B156="","","WIR-"&amp;TEXT(ROW()-4,"0000"))</f>
        <v/>
      </c>
      <c r="B156" s="50" t="n"/>
      <c r="C156" s="49">
        <f>IF(B156="","",IFERROR(INDEX('المشروعات'!$B$5:$B$304,MATCH(B156,'المشروعات'!$A$5:$A$304,0)),""))</f>
        <v/>
      </c>
      <c r="D156" s="40" t="n"/>
      <c r="E156" s="40" t="n"/>
      <c r="F156" s="40" t="n"/>
      <c r="G156" s="40" t="n"/>
      <c r="H156" s="47" t="n"/>
      <c r="I156" s="47" t="n"/>
      <c r="J156" s="40" t="n"/>
      <c r="K156" s="49">
        <f>IF(B156="","",IF(J156="","بانتظار الفحص",J156))</f>
        <v/>
      </c>
      <c r="L156" s="40" t="n"/>
    </row>
    <row r="157">
      <c r="A157" s="39">
        <f>IF(B157="","","WIR-"&amp;TEXT(ROW()-4,"0000"))</f>
        <v/>
      </c>
      <c r="B157" s="50" t="n"/>
      <c r="C157" s="49">
        <f>IF(B157="","",IFERROR(INDEX('المشروعات'!$B$5:$B$304,MATCH(B157,'المشروعات'!$A$5:$A$304,0)),""))</f>
        <v/>
      </c>
      <c r="D157" s="40" t="n"/>
      <c r="E157" s="40" t="n"/>
      <c r="F157" s="40" t="n"/>
      <c r="G157" s="40" t="n"/>
      <c r="H157" s="47" t="n"/>
      <c r="I157" s="47" t="n"/>
      <c r="J157" s="40" t="n"/>
      <c r="K157" s="49">
        <f>IF(B157="","",IF(J157="","بانتظار الفحص",J157))</f>
        <v/>
      </c>
      <c r="L157" s="40" t="n"/>
    </row>
    <row r="158">
      <c r="A158" s="39">
        <f>IF(B158="","","WIR-"&amp;TEXT(ROW()-4,"0000"))</f>
        <v/>
      </c>
      <c r="B158" s="50" t="n"/>
      <c r="C158" s="49">
        <f>IF(B158="","",IFERROR(INDEX('المشروعات'!$B$5:$B$304,MATCH(B158,'المشروعات'!$A$5:$A$304,0)),""))</f>
        <v/>
      </c>
      <c r="D158" s="40" t="n"/>
      <c r="E158" s="40" t="n"/>
      <c r="F158" s="40" t="n"/>
      <c r="G158" s="40" t="n"/>
      <c r="H158" s="47" t="n"/>
      <c r="I158" s="47" t="n"/>
      <c r="J158" s="40" t="n"/>
      <c r="K158" s="49">
        <f>IF(B158="","",IF(J158="","بانتظار الفحص",J158))</f>
        <v/>
      </c>
      <c r="L158" s="40" t="n"/>
    </row>
    <row r="159">
      <c r="A159" s="39">
        <f>IF(B159="","","WIR-"&amp;TEXT(ROW()-4,"0000"))</f>
        <v/>
      </c>
      <c r="B159" s="50" t="n"/>
      <c r="C159" s="49">
        <f>IF(B159="","",IFERROR(INDEX('المشروعات'!$B$5:$B$304,MATCH(B159,'المشروعات'!$A$5:$A$304,0)),""))</f>
        <v/>
      </c>
      <c r="D159" s="40" t="n"/>
      <c r="E159" s="40" t="n"/>
      <c r="F159" s="40" t="n"/>
      <c r="G159" s="40" t="n"/>
      <c r="H159" s="47" t="n"/>
      <c r="I159" s="47" t="n"/>
      <c r="J159" s="40" t="n"/>
      <c r="K159" s="49">
        <f>IF(B159="","",IF(J159="","بانتظار الفحص",J159))</f>
        <v/>
      </c>
      <c r="L159" s="40" t="n"/>
    </row>
    <row r="160">
      <c r="A160" s="39">
        <f>IF(B160="","","WIR-"&amp;TEXT(ROW()-4,"0000"))</f>
        <v/>
      </c>
      <c r="B160" s="50" t="n"/>
      <c r="C160" s="49">
        <f>IF(B160="","",IFERROR(INDEX('المشروعات'!$B$5:$B$304,MATCH(B160,'المشروعات'!$A$5:$A$304,0)),""))</f>
        <v/>
      </c>
      <c r="D160" s="40" t="n"/>
      <c r="E160" s="40" t="n"/>
      <c r="F160" s="40" t="n"/>
      <c r="G160" s="40" t="n"/>
      <c r="H160" s="47" t="n"/>
      <c r="I160" s="47" t="n"/>
      <c r="J160" s="40" t="n"/>
      <c r="K160" s="49">
        <f>IF(B160="","",IF(J160="","بانتظار الفحص",J160))</f>
        <v/>
      </c>
      <c r="L160" s="40" t="n"/>
    </row>
    <row r="161">
      <c r="A161" s="39">
        <f>IF(B161="","","WIR-"&amp;TEXT(ROW()-4,"0000"))</f>
        <v/>
      </c>
      <c r="B161" s="50" t="n"/>
      <c r="C161" s="49">
        <f>IF(B161="","",IFERROR(INDEX('المشروعات'!$B$5:$B$304,MATCH(B161,'المشروعات'!$A$5:$A$304,0)),""))</f>
        <v/>
      </c>
      <c r="D161" s="40" t="n"/>
      <c r="E161" s="40" t="n"/>
      <c r="F161" s="40" t="n"/>
      <c r="G161" s="40" t="n"/>
      <c r="H161" s="47" t="n"/>
      <c r="I161" s="47" t="n"/>
      <c r="J161" s="40" t="n"/>
      <c r="K161" s="49">
        <f>IF(B161="","",IF(J161="","بانتظار الفحص",J161))</f>
        <v/>
      </c>
      <c r="L161" s="40" t="n"/>
    </row>
    <row r="162">
      <c r="A162" s="39">
        <f>IF(B162="","","WIR-"&amp;TEXT(ROW()-4,"0000"))</f>
        <v/>
      </c>
      <c r="B162" s="50" t="n"/>
      <c r="C162" s="49">
        <f>IF(B162="","",IFERROR(INDEX('المشروعات'!$B$5:$B$304,MATCH(B162,'المشروعات'!$A$5:$A$304,0)),""))</f>
        <v/>
      </c>
      <c r="D162" s="40" t="n"/>
      <c r="E162" s="40" t="n"/>
      <c r="F162" s="40" t="n"/>
      <c r="G162" s="40" t="n"/>
      <c r="H162" s="47" t="n"/>
      <c r="I162" s="47" t="n"/>
      <c r="J162" s="40" t="n"/>
      <c r="K162" s="49">
        <f>IF(B162="","",IF(J162="","بانتظار الفحص",J162))</f>
        <v/>
      </c>
      <c r="L162" s="40" t="n"/>
    </row>
    <row r="163">
      <c r="A163" s="39">
        <f>IF(B163="","","WIR-"&amp;TEXT(ROW()-4,"0000"))</f>
        <v/>
      </c>
      <c r="B163" s="50" t="n"/>
      <c r="C163" s="49">
        <f>IF(B163="","",IFERROR(INDEX('المشروعات'!$B$5:$B$304,MATCH(B163,'المشروعات'!$A$5:$A$304,0)),""))</f>
        <v/>
      </c>
      <c r="D163" s="40" t="n"/>
      <c r="E163" s="40" t="n"/>
      <c r="F163" s="40" t="n"/>
      <c r="G163" s="40" t="n"/>
      <c r="H163" s="47" t="n"/>
      <c r="I163" s="47" t="n"/>
      <c r="J163" s="40" t="n"/>
      <c r="K163" s="49">
        <f>IF(B163="","",IF(J163="","بانتظار الفحص",J163))</f>
        <v/>
      </c>
      <c r="L163" s="40" t="n"/>
    </row>
    <row r="164">
      <c r="A164" s="39">
        <f>IF(B164="","","WIR-"&amp;TEXT(ROW()-4,"0000"))</f>
        <v/>
      </c>
      <c r="B164" s="50" t="n"/>
      <c r="C164" s="49">
        <f>IF(B164="","",IFERROR(INDEX('المشروعات'!$B$5:$B$304,MATCH(B164,'المشروعات'!$A$5:$A$304,0)),""))</f>
        <v/>
      </c>
      <c r="D164" s="40" t="n"/>
      <c r="E164" s="40" t="n"/>
      <c r="F164" s="40" t="n"/>
      <c r="G164" s="40" t="n"/>
      <c r="H164" s="47" t="n"/>
      <c r="I164" s="47" t="n"/>
      <c r="J164" s="40" t="n"/>
      <c r="K164" s="49">
        <f>IF(B164="","",IF(J164="","بانتظار الفحص",J164))</f>
        <v/>
      </c>
      <c r="L164" s="40" t="n"/>
    </row>
    <row r="165">
      <c r="A165" s="39">
        <f>IF(B165="","","WIR-"&amp;TEXT(ROW()-4,"0000"))</f>
        <v/>
      </c>
      <c r="B165" s="50" t="n"/>
      <c r="C165" s="49">
        <f>IF(B165="","",IFERROR(INDEX('المشروعات'!$B$5:$B$304,MATCH(B165,'المشروعات'!$A$5:$A$304,0)),""))</f>
        <v/>
      </c>
      <c r="D165" s="40" t="n"/>
      <c r="E165" s="40" t="n"/>
      <c r="F165" s="40" t="n"/>
      <c r="G165" s="40" t="n"/>
      <c r="H165" s="47" t="n"/>
      <c r="I165" s="47" t="n"/>
      <c r="J165" s="40" t="n"/>
      <c r="K165" s="49">
        <f>IF(B165="","",IF(J165="","بانتظار الفحص",J165))</f>
        <v/>
      </c>
      <c r="L165" s="40" t="n"/>
    </row>
    <row r="166">
      <c r="A166" s="39">
        <f>IF(B166="","","WIR-"&amp;TEXT(ROW()-4,"0000"))</f>
        <v/>
      </c>
      <c r="B166" s="50" t="n"/>
      <c r="C166" s="49">
        <f>IF(B166="","",IFERROR(INDEX('المشروعات'!$B$5:$B$304,MATCH(B166,'المشروعات'!$A$5:$A$304,0)),""))</f>
        <v/>
      </c>
      <c r="D166" s="40" t="n"/>
      <c r="E166" s="40" t="n"/>
      <c r="F166" s="40" t="n"/>
      <c r="G166" s="40" t="n"/>
      <c r="H166" s="47" t="n"/>
      <c r="I166" s="47" t="n"/>
      <c r="J166" s="40" t="n"/>
      <c r="K166" s="49">
        <f>IF(B166="","",IF(J166="","بانتظار الفحص",J166))</f>
        <v/>
      </c>
      <c r="L166" s="40" t="n"/>
    </row>
    <row r="167">
      <c r="A167" s="39">
        <f>IF(B167="","","WIR-"&amp;TEXT(ROW()-4,"0000"))</f>
        <v/>
      </c>
      <c r="B167" s="50" t="n"/>
      <c r="C167" s="49">
        <f>IF(B167="","",IFERROR(INDEX('المشروعات'!$B$5:$B$304,MATCH(B167,'المشروعات'!$A$5:$A$304,0)),""))</f>
        <v/>
      </c>
      <c r="D167" s="40" t="n"/>
      <c r="E167" s="40" t="n"/>
      <c r="F167" s="40" t="n"/>
      <c r="G167" s="40" t="n"/>
      <c r="H167" s="47" t="n"/>
      <c r="I167" s="47" t="n"/>
      <c r="J167" s="40" t="n"/>
      <c r="K167" s="49">
        <f>IF(B167="","",IF(J167="","بانتظار الفحص",J167))</f>
        <v/>
      </c>
      <c r="L167" s="40" t="n"/>
    </row>
    <row r="168">
      <c r="A168" s="39">
        <f>IF(B168="","","WIR-"&amp;TEXT(ROW()-4,"0000"))</f>
        <v/>
      </c>
      <c r="B168" s="50" t="n"/>
      <c r="C168" s="49">
        <f>IF(B168="","",IFERROR(INDEX('المشروعات'!$B$5:$B$304,MATCH(B168,'المشروعات'!$A$5:$A$304,0)),""))</f>
        <v/>
      </c>
      <c r="D168" s="40" t="n"/>
      <c r="E168" s="40" t="n"/>
      <c r="F168" s="40" t="n"/>
      <c r="G168" s="40" t="n"/>
      <c r="H168" s="47" t="n"/>
      <c r="I168" s="47" t="n"/>
      <c r="J168" s="40" t="n"/>
      <c r="K168" s="49">
        <f>IF(B168="","",IF(J168="","بانتظار الفحص",J168))</f>
        <v/>
      </c>
      <c r="L168" s="40" t="n"/>
    </row>
    <row r="169">
      <c r="A169" s="39">
        <f>IF(B169="","","WIR-"&amp;TEXT(ROW()-4,"0000"))</f>
        <v/>
      </c>
      <c r="B169" s="50" t="n"/>
      <c r="C169" s="49">
        <f>IF(B169="","",IFERROR(INDEX('المشروعات'!$B$5:$B$304,MATCH(B169,'المشروعات'!$A$5:$A$304,0)),""))</f>
        <v/>
      </c>
      <c r="D169" s="40" t="n"/>
      <c r="E169" s="40" t="n"/>
      <c r="F169" s="40" t="n"/>
      <c r="G169" s="40" t="n"/>
      <c r="H169" s="47" t="n"/>
      <c r="I169" s="47" t="n"/>
      <c r="J169" s="40" t="n"/>
      <c r="K169" s="49">
        <f>IF(B169="","",IF(J169="","بانتظار الفحص",J169))</f>
        <v/>
      </c>
      <c r="L169" s="40" t="n"/>
    </row>
    <row r="170">
      <c r="A170" s="39">
        <f>IF(B170="","","WIR-"&amp;TEXT(ROW()-4,"0000"))</f>
        <v/>
      </c>
      <c r="B170" s="50" t="n"/>
      <c r="C170" s="49">
        <f>IF(B170="","",IFERROR(INDEX('المشروعات'!$B$5:$B$304,MATCH(B170,'المشروعات'!$A$5:$A$304,0)),""))</f>
        <v/>
      </c>
      <c r="D170" s="40" t="n"/>
      <c r="E170" s="40" t="n"/>
      <c r="F170" s="40" t="n"/>
      <c r="G170" s="40" t="n"/>
      <c r="H170" s="47" t="n"/>
      <c r="I170" s="47" t="n"/>
      <c r="J170" s="40" t="n"/>
      <c r="K170" s="49">
        <f>IF(B170="","",IF(J170="","بانتظار الفحص",J170))</f>
        <v/>
      </c>
      <c r="L170" s="40" t="n"/>
    </row>
    <row r="171">
      <c r="A171" s="39">
        <f>IF(B171="","","WIR-"&amp;TEXT(ROW()-4,"0000"))</f>
        <v/>
      </c>
      <c r="B171" s="50" t="n"/>
      <c r="C171" s="49">
        <f>IF(B171="","",IFERROR(INDEX('المشروعات'!$B$5:$B$304,MATCH(B171,'المشروعات'!$A$5:$A$304,0)),""))</f>
        <v/>
      </c>
      <c r="D171" s="40" t="n"/>
      <c r="E171" s="40" t="n"/>
      <c r="F171" s="40" t="n"/>
      <c r="G171" s="40" t="n"/>
      <c r="H171" s="47" t="n"/>
      <c r="I171" s="47" t="n"/>
      <c r="J171" s="40" t="n"/>
      <c r="K171" s="49">
        <f>IF(B171="","",IF(J171="","بانتظار الفحص",J171))</f>
        <v/>
      </c>
      <c r="L171" s="40" t="n"/>
    </row>
    <row r="172">
      <c r="A172" s="39">
        <f>IF(B172="","","WIR-"&amp;TEXT(ROW()-4,"0000"))</f>
        <v/>
      </c>
      <c r="B172" s="50" t="n"/>
      <c r="C172" s="49">
        <f>IF(B172="","",IFERROR(INDEX('المشروعات'!$B$5:$B$304,MATCH(B172,'المشروعات'!$A$5:$A$304,0)),""))</f>
        <v/>
      </c>
      <c r="D172" s="40" t="n"/>
      <c r="E172" s="40" t="n"/>
      <c r="F172" s="40" t="n"/>
      <c r="G172" s="40" t="n"/>
      <c r="H172" s="47" t="n"/>
      <c r="I172" s="47" t="n"/>
      <c r="J172" s="40" t="n"/>
      <c r="K172" s="49">
        <f>IF(B172="","",IF(J172="","بانتظار الفحص",J172))</f>
        <v/>
      </c>
      <c r="L172" s="40" t="n"/>
    </row>
    <row r="173">
      <c r="A173" s="39">
        <f>IF(B173="","","WIR-"&amp;TEXT(ROW()-4,"0000"))</f>
        <v/>
      </c>
      <c r="B173" s="50" t="n"/>
      <c r="C173" s="49">
        <f>IF(B173="","",IFERROR(INDEX('المشروعات'!$B$5:$B$304,MATCH(B173,'المشروعات'!$A$5:$A$304,0)),""))</f>
        <v/>
      </c>
      <c r="D173" s="40" t="n"/>
      <c r="E173" s="40" t="n"/>
      <c r="F173" s="40" t="n"/>
      <c r="G173" s="40" t="n"/>
      <c r="H173" s="47" t="n"/>
      <c r="I173" s="47" t="n"/>
      <c r="J173" s="40" t="n"/>
      <c r="K173" s="49">
        <f>IF(B173="","",IF(J173="","بانتظار الفحص",J173))</f>
        <v/>
      </c>
      <c r="L173" s="40" t="n"/>
    </row>
    <row r="174">
      <c r="A174" s="39">
        <f>IF(B174="","","WIR-"&amp;TEXT(ROW()-4,"0000"))</f>
        <v/>
      </c>
      <c r="B174" s="50" t="n"/>
      <c r="C174" s="49">
        <f>IF(B174="","",IFERROR(INDEX('المشروعات'!$B$5:$B$304,MATCH(B174,'المشروعات'!$A$5:$A$304,0)),""))</f>
        <v/>
      </c>
      <c r="D174" s="40" t="n"/>
      <c r="E174" s="40" t="n"/>
      <c r="F174" s="40" t="n"/>
      <c r="G174" s="40" t="n"/>
      <c r="H174" s="47" t="n"/>
      <c r="I174" s="47" t="n"/>
      <c r="J174" s="40" t="n"/>
      <c r="K174" s="49">
        <f>IF(B174="","",IF(J174="","بانتظار الفحص",J174))</f>
        <v/>
      </c>
      <c r="L174" s="40" t="n"/>
    </row>
    <row r="175">
      <c r="A175" s="39">
        <f>IF(B175="","","WIR-"&amp;TEXT(ROW()-4,"0000"))</f>
        <v/>
      </c>
      <c r="B175" s="50" t="n"/>
      <c r="C175" s="49">
        <f>IF(B175="","",IFERROR(INDEX('المشروعات'!$B$5:$B$304,MATCH(B175,'المشروعات'!$A$5:$A$304,0)),""))</f>
        <v/>
      </c>
      <c r="D175" s="40" t="n"/>
      <c r="E175" s="40" t="n"/>
      <c r="F175" s="40" t="n"/>
      <c r="G175" s="40" t="n"/>
      <c r="H175" s="47" t="n"/>
      <c r="I175" s="47" t="n"/>
      <c r="J175" s="40" t="n"/>
      <c r="K175" s="49">
        <f>IF(B175="","",IF(J175="","بانتظار الفحص",J175))</f>
        <v/>
      </c>
      <c r="L175" s="40" t="n"/>
    </row>
    <row r="176">
      <c r="A176" s="39">
        <f>IF(B176="","","WIR-"&amp;TEXT(ROW()-4,"0000"))</f>
        <v/>
      </c>
      <c r="B176" s="50" t="n"/>
      <c r="C176" s="49">
        <f>IF(B176="","",IFERROR(INDEX('المشروعات'!$B$5:$B$304,MATCH(B176,'المشروعات'!$A$5:$A$304,0)),""))</f>
        <v/>
      </c>
      <c r="D176" s="40" t="n"/>
      <c r="E176" s="40" t="n"/>
      <c r="F176" s="40" t="n"/>
      <c r="G176" s="40" t="n"/>
      <c r="H176" s="47" t="n"/>
      <c r="I176" s="47" t="n"/>
      <c r="J176" s="40" t="n"/>
      <c r="K176" s="49">
        <f>IF(B176="","",IF(J176="","بانتظار الفحص",J176))</f>
        <v/>
      </c>
      <c r="L176" s="40" t="n"/>
    </row>
    <row r="177">
      <c r="A177" s="39">
        <f>IF(B177="","","WIR-"&amp;TEXT(ROW()-4,"0000"))</f>
        <v/>
      </c>
      <c r="B177" s="50" t="n"/>
      <c r="C177" s="49">
        <f>IF(B177="","",IFERROR(INDEX('المشروعات'!$B$5:$B$304,MATCH(B177,'المشروعات'!$A$5:$A$304,0)),""))</f>
        <v/>
      </c>
      <c r="D177" s="40" t="n"/>
      <c r="E177" s="40" t="n"/>
      <c r="F177" s="40" t="n"/>
      <c r="G177" s="40" t="n"/>
      <c r="H177" s="47" t="n"/>
      <c r="I177" s="47" t="n"/>
      <c r="J177" s="40" t="n"/>
      <c r="K177" s="49">
        <f>IF(B177="","",IF(J177="","بانتظار الفحص",J177))</f>
        <v/>
      </c>
      <c r="L177" s="40" t="n"/>
    </row>
    <row r="178">
      <c r="A178" s="39">
        <f>IF(B178="","","WIR-"&amp;TEXT(ROW()-4,"0000"))</f>
        <v/>
      </c>
      <c r="B178" s="50" t="n"/>
      <c r="C178" s="49">
        <f>IF(B178="","",IFERROR(INDEX('المشروعات'!$B$5:$B$304,MATCH(B178,'المشروعات'!$A$5:$A$304,0)),""))</f>
        <v/>
      </c>
      <c r="D178" s="40" t="n"/>
      <c r="E178" s="40" t="n"/>
      <c r="F178" s="40" t="n"/>
      <c r="G178" s="40" t="n"/>
      <c r="H178" s="47" t="n"/>
      <c r="I178" s="47" t="n"/>
      <c r="J178" s="40" t="n"/>
      <c r="K178" s="49">
        <f>IF(B178="","",IF(J178="","بانتظار الفحص",J178))</f>
        <v/>
      </c>
      <c r="L178" s="40" t="n"/>
    </row>
    <row r="179">
      <c r="A179" s="39">
        <f>IF(B179="","","WIR-"&amp;TEXT(ROW()-4,"0000"))</f>
        <v/>
      </c>
      <c r="B179" s="50" t="n"/>
      <c r="C179" s="49">
        <f>IF(B179="","",IFERROR(INDEX('المشروعات'!$B$5:$B$304,MATCH(B179,'المشروعات'!$A$5:$A$304,0)),""))</f>
        <v/>
      </c>
      <c r="D179" s="40" t="n"/>
      <c r="E179" s="40" t="n"/>
      <c r="F179" s="40" t="n"/>
      <c r="G179" s="40" t="n"/>
      <c r="H179" s="47" t="n"/>
      <c r="I179" s="47" t="n"/>
      <c r="J179" s="40" t="n"/>
      <c r="K179" s="49">
        <f>IF(B179="","",IF(J179="","بانتظار الفحص",J179))</f>
        <v/>
      </c>
      <c r="L179" s="40" t="n"/>
    </row>
    <row r="180">
      <c r="A180" s="39">
        <f>IF(B180="","","WIR-"&amp;TEXT(ROW()-4,"0000"))</f>
        <v/>
      </c>
      <c r="B180" s="50" t="n"/>
      <c r="C180" s="49">
        <f>IF(B180="","",IFERROR(INDEX('المشروعات'!$B$5:$B$304,MATCH(B180,'المشروعات'!$A$5:$A$304,0)),""))</f>
        <v/>
      </c>
      <c r="D180" s="40" t="n"/>
      <c r="E180" s="40" t="n"/>
      <c r="F180" s="40" t="n"/>
      <c r="G180" s="40" t="n"/>
      <c r="H180" s="47" t="n"/>
      <c r="I180" s="47" t="n"/>
      <c r="J180" s="40" t="n"/>
      <c r="K180" s="49">
        <f>IF(B180="","",IF(J180="","بانتظار الفحص",J180))</f>
        <v/>
      </c>
      <c r="L180" s="40" t="n"/>
    </row>
    <row r="181">
      <c r="A181" s="39">
        <f>IF(B181="","","WIR-"&amp;TEXT(ROW()-4,"0000"))</f>
        <v/>
      </c>
      <c r="B181" s="50" t="n"/>
      <c r="C181" s="49">
        <f>IF(B181="","",IFERROR(INDEX('المشروعات'!$B$5:$B$304,MATCH(B181,'المشروعات'!$A$5:$A$304,0)),""))</f>
        <v/>
      </c>
      <c r="D181" s="40" t="n"/>
      <c r="E181" s="40" t="n"/>
      <c r="F181" s="40" t="n"/>
      <c r="G181" s="40" t="n"/>
      <c r="H181" s="47" t="n"/>
      <c r="I181" s="47" t="n"/>
      <c r="J181" s="40" t="n"/>
      <c r="K181" s="49">
        <f>IF(B181="","",IF(J181="","بانتظار الفحص",J181))</f>
        <v/>
      </c>
      <c r="L181" s="40" t="n"/>
    </row>
    <row r="182">
      <c r="A182" s="39">
        <f>IF(B182="","","WIR-"&amp;TEXT(ROW()-4,"0000"))</f>
        <v/>
      </c>
      <c r="B182" s="50" t="n"/>
      <c r="C182" s="49">
        <f>IF(B182="","",IFERROR(INDEX('المشروعات'!$B$5:$B$304,MATCH(B182,'المشروعات'!$A$5:$A$304,0)),""))</f>
        <v/>
      </c>
      <c r="D182" s="40" t="n"/>
      <c r="E182" s="40" t="n"/>
      <c r="F182" s="40" t="n"/>
      <c r="G182" s="40" t="n"/>
      <c r="H182" s="47" t="n"/>
      <c r="I182" s="47" t="n"/>
      <c r="J182" s="40" t="n"/>
      <c r="K182" s="49">
        <f>IF(B182="","",IF(J182="","بانتظار الفحص",J182))</f>
        <v/>
      </c>
      <c r="L182" s="40" t="n"/>
    </row>
    <row r="183">
      <c r="A183" s="39">
        <f>IF(B183="","","WIR-"&amp;TEXT(ROW()-4,"0000"))</f>
        <v/>
      </c>
      <c r="B183" s="50" t="n"/>
      <c r="C183" s="49">
        <f>IF(B183="","",IFERROR(INDEX('المشروعات'!$B$5:$B$304,MATCH(B183,'المشروعات'!$A$5:$A$304,0)),""))</f>
        <v/>
      </c>
      <c r="D183" s="40" t="n"/>
      <c r="E183" s="40" t="n"/>
      <c r="F183" s="40" t="n"/>
      <c r="G183" s="40" t="n"/>
      <c r="H183" s="47" t="n"/>
      <c r="I183" s="47" t="n"/>
      <c r="J183" s="40" t="n"/>
      <c r="K183" s="49">
        <f>IF(B183="","",IF(J183="","بانتظار الفحص",J183))</f>
        <v/>
      </c>
      <c r="L183" s="40" t="n"/>
    </row>
    <row r="184">
      <c r="A184" s="39">
        <f>IF(B184="","","WIR-"&amp;TEXT(ROW()-4,"0000"))</f>
        <v/>
      </c>
      <c r="B184" s="50" t="n"/>
      <c r="C184" s="49">
        <f>IF(B184="","",IFERROR(INDEX('المشروعات'!$B$5:$B$304,MATCH(B184,'المشروعات'!$A$5:$A$304,0)),""))</f>
        <v/>
      </c>
      <c r="D184" s="40" t="n"/>
      <c r="E184" s="40" t="n"/>
      <c r="F184" s="40" t="n"/>
      <c r="G184" s="40" t="n"/>
      <c r="H184" s="47" t="n"/>
      <c r="I184" s="47" t="n"/>
      <c r="J184" s="40" t="n"/>
      <c r="K184" s="49">
        <f>IF(B184="","",IF(J184="","بانتظار الفحص",J184))</f>
        <v/>
      </c>
      <c r="L184" s="40" t="n"/>
    </row>
    <row r="185">
      <c r="A185" s="39">
        <f>IF(B185="","","WIR-"&amp;TEXT(ROW()-4,"0000"))</f>
        <v/>
      </c>
      <c r="B185" s="50" t="n"/>
      <c r="C185" s="49">
        <f>IF(B185="","",IFERROR(INDEX('المشروعات'!$B$5:$B$304,MATCH(B185,'المشروعات'!$A$5:$A$304,0)),""))</f>
        <v/>
      </c>
      <c r="D185" s="40" t="n"/>
      <c r="E185" s="40" t="n"/>
      <c r="F185" s="40" t="n"/>
      <c r="G185" s="40" t="n"/>
      <c r="H185" s="47" t="n"/>
      <c r="I185" s="47" t="n"/>
      <c r="J185" s="40" t="n"/>
      <c r="K185" s="49">
        <f>IF(B185="","",IF(J185="","بانتظار الفحص",J185))</f>
        <v/>
      </c>
      <c r="L185" s="40" t="n"/>
    </row>
    <row r="186">
      <c r="A186" s="39">
        <f>IF(B186="","","WIR-"&amp;TEXT(ROW()-4,"0000"))</f>
        <v/>
      </c>
      <c r="B186" s="50" t="n"/>
      <c r="C186" s="49">
        <f>IF(B186="","",IFERROR(INDEX('المشروعات'!$B$5:$B$304,MATCH(B186,'المشروعات'!$A$5:$A$304,0)),""))</f>
        <v/>
      </c>
      <c r="D186" s="40" t="n"/>
      <c r="E186" s="40" t="n"/>
      <c r="F186" s="40" t="n"/>
      <c r="G186" s="40" t="n"/>
      <c r="H186" s="47" t="n"/>
      <c r="I186" s="47" t="n"/>
      <c r="J186" s="40" t="n"/>
      <c r="K186" s="49">
        <f>IF(B186="","",IF(J186="","بانتظار الفحص",J186))</f>
        <v/>
      </c>
      <c r="L186" s="40" t="n"/>
    </row>
    <row r="187">
      <c r="A187" s="39">
        <f>IF(B187="","","WIR-"&amp;TEXT(ROW()-4,"0000"))</f>
        <v/>
      </c>
      <c r="B187" s="50" t="n"/>
      <c r="C187" s="49">
        <f>IF(B187="","",IFERROR(INDEX('المشروعات'!$B$5:$B$304,MATCH(B187,'المشروعات'!$A$5:$A$304,0)),""))</f>
        <v/>
      </c>
      <c r="D187" s="40" t="n"/>
      <c r="E187" s="40" t="n"/>
      <c r="F187" s="40" t="n"/>
      <c r="G187" s="40" t="n"/>
      <c r="H187" s="47" t="n"/>
      <c r="I187" s="47" t="n"/>
      <c r="J187" s="40" t="n"/>
      <c r="K187" s="49">
        <f>IF(B187="","",IF(J187="","بانتظار الفحص",J187))</f>
        <v/>
      </c>
      <c r="L187" s="40" t="n"/>
    </row>
    <row r="188">
      <c r="A188" s="39">
        <f>IF(B188="","","WIR-"&amp;TEXT(ROW()-4,"0000"))</f>
        <v/>
      </c>
      <c r="B188" s="50" t="n"/>
      <c r="C188" s="49">
        <f>IF(B188="","",IFERROR(INDEX('المشروعات'!$B$5:$B$304,MATCH(B188,'المشروعات'!$A$5:$A$304,0)),""))</f>
        <v/>
      </c>
      <c r="D188" s="40" t="n"/>
      <c r="E188" s="40" t="n"/>
      <c r="F188" s="40" t="n"/>
      <c r="G188" s="40" t="n"/>
      <c r="H188" s="47" t="n"/>
      <c r="I188" s="47" t="n"/>
      <c r="J188" s="40" t="n"/>
      <c r="K188" s="49">
        <f>IF(B188="","",IF(J188="","بانتظار الفحص",J188))</f>
        <v/>
      </c>
      <c r="L188" s="40" t="n"/>
    </row>
    <row r="189">
      <c r="A189" s="39">
        <f>IF(B189="","","WIR-"&amp;TEXT(ROW()-4,"0000"))</f>
        <v/>
      </c>
      <c r="B189" s="50" t="n"/>
      <c r="C189" s="49">
        <f>IF(B189="","",IFERROR(INDEX('المشروعات'!$B$5:$B$304,MATCH(B189,'المشروعات'!$A$5:$A$304,0)),""))</f>
        <v/>
      </c>
      <c r="D189" s="40" t="n"/>
      <c r="E189" s="40" t="n"/>
      <c r="F189" s="40" t="n"/>
      <c r="G189" s="40" t="n"/>
      <c r="H189" s="47" t="n"/>
      <c r="I189" s="47" t="n"/>
      <c r="J189" s="40" t="n"/>
      <c r="K189" s="49">
        <f>IF(B189="","",IF(J189="","بانتظار الفحص",J189))</f>
        <v/>
      </c>
      <c r="L189" s="40" t="n"/>
    </row>
    <row r="190">
      <c r="A190" s="39">
        <f>IF(B190="","","WIR-"&amp;TEXT(ROW()-4,"0000"))</f>
        <v/>
      </c>
      <c r="B190" s="50" t="n"/>
      <c r="C190" s="49">
        <f>IF(B190="","",IFERROR(INDEX('المشروعات'!$B$5:$B$304,MATCH(B190,'المشروعات'!$A$5:$A$304,0)),""))</f>
        <v/>
      </c>
      <c r="D190" s="40" t="n"/>
      <c r="E190" s="40" t="n"/>
      <c r="F190" s="40" t="n"/>
      <c r="G190" s="40" t="n"/>
      <c r="H190" s="47" t="n"/>
      <c r="I190" s="47" t="n"/>
      <c r="J190" s="40" t="n"/>
      <c r="K190" s="49">
        <f>IF(B190="","",IF(J190="","بانتظار الفحص",J190))</f>
        <v/>
      </c>
      <c r="L190" s="40" t="n"/>
    </row>
    <row r="191">
      <c r="A191" s="39">
        <f>IF(B191="","","WIR-"&amp;TEXT(ROW()-4,"0000"))</f>
        <v/>
      </c>
      <c r="B191" s="50" t="n"/>
      <c r="C191" s="49">
        <f>IF(B191="","",IFERROR(INDEX('المشروعات'!$B$5:$B$304,MATCH(B191,'المشروعات'!$A$5:$A$304,0)),""))</f>
        <v/>
      </c>
      <c r="D191" s="40" t="n"/>
      <c r="E191" s="40" t="n"/>
      <c r="F191" s="40" t="n"/>
      <c r="G191" s="40" t="n"/>
      <c r="H191" s="47" t="n"/>
      <c r="I191" s="47" t="n"/>
      <c r="J191" s="40" t="n"/>
      <c r="K191" s="49">
        <f>IF(B191="","",IF(J191="","بانتظار الفحص",J191))</f>
        <v/>
      </c>
      <c r="L191" s="40" t="n"/>
    </row>
    <row r="192">
      <c r="A192" s="39">
        <f>IF(B192="","","WIR-"&amp;TEXT(ROW()-4,"0000"))</f>
        <v/>
      </c>
      <c r="B192" s="50" t="n"/>
      <c r="C192" s="49">
        <f>IF(B192="","",IFERROR(INDEX('المشروعات'!$B$5:$B$304,MATCH(B192,'المشروعات'!$A$5:$A$304,0)),""))</f>
        <v/>
      </c>
      <c r="D192" s="40" t="n"/>
      <c r="E192" s="40" t="n"/>
      <c r="F192" s="40" t="n"/>
      <c r="G192" s="40" t="n"/>
      <c r="H192" s="47" t="n"/>
      <c r="I192" s="47" t="n"/>
      <c r="J192" s="40" t="n"/>
      <c r="K192" s="49">
        <f>IF(B192="","",IF(J192="","بانتظار الفحص",J192))</f>
        <v/>
      </c>
      <c r="L192" s="40" t="n"/>
    </row>
    <row r="193">
      <c r="A193" s="39">
        <f>IF(B193="","","WIR-"&amp;TEXT(ROW()-4,"0000"))</f>
        <v/>
      </c>
      <c r="B193" s="50" t="n"/>
      <c r="C193" s="49">
        <f>IF(B193="","",IFERROR(INDEX('المشروعات'!$B$5:$B$304,MATCH(B193,'المشروعات'!$A$5:$A$304,0)),""))</f>
        <v/>
      </c>
      <c r="D193" s="40" t="n"/>
      <c r="E193" s="40" t="n"/>
      <c r="F193" s="40" t="n"/>
      <c r="G193" s="40" t="n"/>
      <c r="H193" s="47" t="n"/>
      <c r="I193" s="47" t="n"/>
      <c r="J193" s="40" t="n"/>
      <c r="K193" s="49">
        <f>IF(B193="","",IF(J193="","بانتظار الفحص",J193))</f>
        <v/>
      </c>
      <c r="L193" s="40" t="n"/>
    </row>
    <row r="194">
      <c r="A194" s="39">
        <f>IF(B194="","","WIR-"&amp;TEXT(ROW()-4,"0000"))</f>
        <v/>
      </c>
      <c r="B194" s="50" t="n"/>
      <c r="C194" s="49">
        <f>IF(B194="","",IFERROR(INDEX('المشروعات'!$B$5:$B$304,MATCH(B194,'المشروعات'!$A$5:$A$304,0)),""))</f>
        <v/>
      </c>
      <c r="D194" s="40" t="n"/>
      <c r="E194" s="40" t="n"/>
      <c r="F194" s="40" t="n"/>
      <c r="G194" s="40" t="n"/>
      <c r="H194" s="47" t="n"/>
      <c r="I194" s="47" t="n"/>
      <c r="J194" s="40" t="n"/>
      <c r="K194" s="49">
        <f>IF(B194="","",IF(J194="","بانتظار الفحص",J194))</f>
        <v/>
      </c>
      <c r="L194" s="40" t="n"/>
    </row>
    <row r="195">
      <c r="A195" s="39">
        <f>IF(B195="","","WIR-"&amp;TEXT(ROW()-4,"0000"))</f>
        <v/>
      </c>
      <c r="B195" s="50" t="n"/>
      <c r="C195" s="49">
        <f>IF(B195="","",IFERROR(INDEX('المشروعات'!$B$5:$B$304,MATCH(B195,'المشروعات'!$A$5:$A$304,0)),""))</f>
        <v/>
      </c>
      <c r="D195" s="40" t="n"/>
      <c r="E195" s="40" t="n"/>
      <c r="F195" s="40" t="n"/>
      <c r="G195" s="40" t="n"/>
      <c r="H195" s="47" t="n"/>
      <c r="I195" s="47" t="n"/>
      <c r="J195" s="40" t="n"/>
      <c r="K195" s="49">
        <f>IF(B195="","",IF(J195="","بانتظار الفحص",J195))</f>
        <v/>
      </c>
      <c r="L195" s="40" t="n"/>
    </row>
    <row r="196">
      <c r="A196" s="39">
        <f>IF(B196="","","WIR-"&amp;TEXT(ROW()-4,"0000"))</f>
        <v/>
      </c>
      <c r="B196" s="50" t="n"/>
      <c r="C196" s="49">
        <f>IF(B196="","",IFERROR(INDEX('المشروعات'!$B$5:$B$304,MATCH(B196,'المشروعات'!$A$5:$A$304,0)),""))</f>
        <v/>
      </c>
      <c r="D196" s="40" t="n"/>
      <c r="E196" s="40" t="n"/>
      <c r="F196" s="40" t="n"/>
      <c r="G196" s="40" t="n"/>
      <c r="H196" s="47" t="n"/>
      <c r="I196" s="47" t="n"/>
      <c r="J196" s="40" t="n"/>
      <c r="K196" s="49">
        <f>IF(B196="","",IF(J196="","بانتظار الفحص",J196))</f>
        <v/>
      </c>
      <c r="L196" s="40" t="n"/>
    </row>
    <row r="197">
      <c r="A197" s="39">
        <f>IF(B197="","","WIR-"&amp;TEXT(ROW()-4,"0000"))</f>
        <v/>
      </c>
      <c r="B197" s="50" t="n"/>
      <c r="C197" s="49">
        <f>IF(B197="","",IFERROR(INDEX('المشروعات'!$B$5:$B$304,MATCH(B197,'المشروعات'!$A$5:$A$304,0)),""))</f>
        <v/>
      </c>
      <c r="D197" s="40" t="n"/>
      <c r="E197" s="40" t="n"/>
      <c r="F197" s="40" t="n"/>
      <c r="G197" s="40" t="n"/>
      <c r="H197" s="47" t="n"/>
      <c r="I197" s="47" t="n"/>
      <c r="J197" s="40" t="n"/>
      <c r="K197" s="49">
        <f>IF(B197="","",IF(J197="","بانتظار الفحص",J197))</f>
        <v/>
      </c>
      <c r="L197" s="40" t="n"/>
    </row>
    <row r="198">
      <c r="A198" s="39">
        <f>IF(B198="","","WIR-"&amp;TEXT(ROW()-4,"0000"))</f>
        <v/>
      </c>
      <c r="B198" s="50" t="n"/>
      <c r="C198" s="49">
        <f>IF(B198="","",IFERROR(INDEX('المشروعات'!$B$5:$B$304,MATCH(B198,'المشروعات'!$A$5:$A$304,0)),""))</f>
        <v/>
      </c>
      <c r="D198" s="40" t="n"/>
      <c r="E198" s="40" t="n"/>
      <c r="F198" s="40" t="n"/>
      <c r="G198" s="40" t="n"/>
      <c r="H198" s="47" t="n"/>
      <c r="I198" s="47" t="n"/>
      <c r="J198" s="40" t="n"/>
      <c r="K198" s="49">
        <f>IF(B198="","",IF(J198="","بانتظار الفحص",J198))</f>
        <v/>
      </c>
      <c r="L198" s="40" t="n"/>
    </row>
    <row r="199">
      <c r="A199" s="39">
        <f>IF(B199="","","WIR-"&amp;TEXT(ROW()-4,"0000"))</f>
        <v/>
      </c>
      <c r="B199" s="50" t="n"/>
      <c r="C199" s="49">
        <f>IF(B199="","",IFERROR(INDEX('المشروعات'!$B$5:$B$304,MATCH(B199,'المشروعات'!$A$5:$A$304,0)),""))</f>
        <v/>
      </c>
      <c r="D199" s="40" t="n"/>
      <c r="E199" s="40" t="n"/>
      <c r="F199" s="40" t="n"/>
      <c r="G199" s="40" t="n"/>
      <c r="H199" s="47" t="n"/>
      <c r="I199" s="47" t="n"/>
      <c r="J199" s="40" t="n"/>
      <c r="K199" s="49">
        <f>IF(B199="","",IF(J199="","بانتظار الفحص",J199))</f>
        <v/>
      </c>
      <c r="L199" s="40" t="n"/>
    </row>
    <row r="200">
      <c r="A200" s="39">
        <f>IF(B200="","","WIR-"&amp;TEXT(ROW()-4,"0000"))</f>
        <v/>
      </c>
      <c r="B200" s="50" t="n"/>
      <c r="C200" s="49">
        <f>IF(B200="","",IFERROR(INDEX('المشروعات'!$B$5:$B$304,MATCH(B200,'المشروعات'!$A$5:$A$304,0)),""))</f>
        <v/>
      </c>
      <c r="D200" s="40" t="n"/>
      <c r="E200" s="40" t="n"/>
      <c r="F200" s="40" t="n"/>
      <c r="G200" s="40" t="n"/>
      <c r="H200" s="47" t="n"/>
      <c r="I200" s="47" t="n"/>
      <c r="J200" s="40" t="n"/>
      <c r="K200" s="49">
        <f>IF(B200="","",IF(J200="","بانتظار الفحص",J200))</f>
        <v/>
      </c>
      <c r="L200" s="40" t="n"/>
    </row>
    <row r="201">
      <c r="A201" s="39">
        <f>IF(B201="","","WIR-"&amp;TEXT(ROW()-4,"0000"))</f>
        <v/>
      </c>
      <c r="B201" s="50" t="n"/>
      <c r="C201" s="49">
        <f>IF(B201="","",IFERROR(INDEX('المشروعات'!$B$5:$B$304,MATCH(B201,'المشروعات'!$A$5:$A$304,0)),""))</f>
        <v/>
      </c>
      <c r="D201" s="40" t="n"/>
      <c r="E201" s="40" t="n"/>
      <c r="F201" s="40" t="n"/>
      <c r="G201" s="40" t="n"/>
      <c r="H201" s="47" t="n"/>
      <c r="I201" s="47" t="n"/>
      <c r="J201" s="40" t="n"/>
      <c r="K201" s="49">
        <f>IF(B201="","",IF(J201="","بانتظار الفحص",J201))</f>
        <v/>
      </c>
      <c r="L201" s="40" t="n"/>
    </row>
    <row r="202">
      <c r="A202" s="39">
        <f>IF(B202="","","WIR-"&amp;TEXT(ROW()-4,"0000"))</f>
        <v/>
      </c>
      <c r="B202" s="50" t="n"/>
      <c r="C202" s="49">
        <f>IF(B202="","",IFERROR(INDEX('المشروعات'!$B$5:$B$304,MATCH(B202,'المشروعات'!$A$5:$A$304,0)),""))</f>
        <v/>
      </c>
      <c r="D202" s="40" t="n"/>
      <c r="E202" s="40" t="n"/>
      <c r="F202" s="40" t="n"/>
      <c r="G202" s="40" t="n"/>
      <c r="H202" s="47" t="n"/>
      <c r="I202" s="47" t="n"/>
      <c r="J202" s="40" t="n"/>
      <c r="K202" s="49">
        <f>IF(B202="","",IF(J202="","بانتظار الفحص",J202))</f>
        <v/>
      </c>
      <c r="L202" s="40" t="n"/>
    </row>
    <row r="203">
      <c r="A203" s="39">
        <f>IF(B203="","","WIR-"&amp;TEXT(ROW()-4,"0000"))</f>
        <v/>
      </c>
      <c r="B203" s="50" t="n"/>
      <c r="C203" s="49">
        <f>IF(B203="","",IFERROR(INDEX('المشروعات'!$B$5:$B$304,MATCH(B203,'المشروعات'!$A$5:$A$304,0)),""))</f>
        <v/>
      </c>
      <c r="D203" s="40" t="n"/>
      <c r="E203" s="40" t="n"/>
      <c r="F203" s="40" t="n"/>
      <c r="G203" s="40" t="n"/>
      <c r="H203" s="47" t="n"/>
      <c r="I203" s="47" t="n"/>
      <c r="J203" s="40" t="n"/>
      <c r="K203" s="49">
        <f>IF(B203="","",IF(J203="","بانتظار الفحص",J203))</f>
        <v/>
      </c>
      <c r="L203" s="40" t="n"/>
    </row>
    <row r="204">
      <c r="A204" s="39">
        <f>IF(B204="","","WIR-"&amp;TEXT(ROW()-4,"0000"))</f>
        <v/>
      </c>
      <c r="B204" s="50" t="n"/>
      <c r="C204" s="49">
        <f>IF(B204="","",IFERROR(INDEX('المشروعات'!$B$5:$B$304,MATCH(B204,'المشروعات'!$A$5:$A$304,0)),""))</f>
        <v/>
      </c>
      <c r="D204" s="40" t="n"/>
      <c r="E204" s="40" t="n"/>
      <c r="F204" s="40" t="n"/>
      <c r="G204" s="40" t="n"/>
      <c r="H204" s="47" t="n"/>
      <c r="I204" s="47" t="n"/>
      <c r="J204" s="40" t="n"/>
      <c r="K204" s="49">
        <f>IF(B204="","",IF(J204="","بانتظار الفحص",J204))</f>
        <v/>
      </c>
      <c r="L204" s="40" t="n"/>
    </row>
    <row r="205">
      <c r="A205" s="39">
        <f>IF(B205="","","WIR-"&amp;TEXT(ROW()-4,"0000"))</f>
        <v/>
      </c>
      <c r="B205" s="50" t="n"/>
      <c r="C205" s="49">
        <f>IF(B205="","",IFERROR(INDEX('المشروعات'!$B$5:$B$304,MATCH(B205,'المشروعات'!$A$5:$A$304,0)),""))</f>
        <v/>
      </c>
      <c r="D205" s="40" t="n"/>
      <c r="E205" s="40" t="n"/>
      <c r="F205" s="40" t="n"/>
      <c r="G205" s="40" t="n"/>
      <c r="H205" s="47" t="n"/>
      <c r="I205" s="47" t="n"/>
      <c r="J205" s="40" t="n"/>
      <c r="K205" s="49">
        <f>IF(B205="","",IF(J205="","بانتظار الفحص",J205))</f>
        <v/>
      </c>
      <c r="L205" s="40" t="n"/>
    </row>
    <row r="206">
      <c r="A206" s="39">
        <f>IF(B206="","","WIR-"&amp;TEXT(ROW()-4,"0000"))</f>
        <v/>
      </c>
      <c r="B206" s="50" t="n"/>
      <c r="C206" s="49">
        <f>IF(B206="","",IFERROR(INDEX('المشروعات'!$B$5:$B$304,MATCH(B206,'المشروعات'!$A$5:$A$304,0)),""))</f>
        <v/>
      </c>
      <c r="D206" s="40" t="n"/>
      <c r="E206" s="40" t="n"/>
      <c r="F206" s="40" t="n"/>
      <c r="G206" s="40" t="n"/>
      <c r="H206" s="47" t="n"/>
      <c r="I206" s="47" t="n"/>
      <c r="J206" s="40" t="n"/>
      <c r="K206" s="49">
        <f>IF(B206="","",IF(J206="","بانتظار الفحص",J206))</f>
        <v/>
      </c>
      <c r="L206" s="40" t="n"/>
    </row>
    <row r="207">
      <c r="A207" s="39">
        <f>IF(B207="","","WIR-"&amp;TEXT(ROW()-4,"0000"))</f>
        <v/>
      </c>
      <c r="B207" s="50" t="n"/>
      <c r="C207" s="49">
        <f>IF(B207="","",IFERROR(INDEX('المشروعات'!$B$5:$B$304,MATCH(B207,'المشروعات'!$A$5:$A$304,0)),""))</f>
        <v/>
      </c>
      <c r="D207" s="40" t="n"/>
      <c r="E207" s="40" t="n"/>
      <c r="F207" s="40" t="n"/>
      <c r="G207" s="40" t="n"/>
      <c r="H207" s="47" t="n"/>
      <c r="I207" s="47" t="n"/>
      <c r="J207" s="40" t="n"/>
      <c r="K207" s="49">
        <f>IF(B207="","",IF(J207="","بانتظار الفحص",J207))</f>
        <v/>
      </c>
      <c r="L207" s="40" t="n"/>
    </row>
    <row r="208">
      <c r="A208" s="39">
        <f>IF(B208="","","WIR-"&amp;TEXT(ROW()-4,"0000"))</f>
        <v/>
      </c>
      <c r="B208" s="50" t="n"/>
      <c r="C208" s="49">
        <f>IF(B208="","",IFERROR(INDEX('المشروعات'!$B$5:$B$304,MATCH(B208,'المشروعات'!$A$5:$A$304,0)),""))</f>
        <v/>
      </c>
      <c r="D208" s="40" t="n"/>
      <c r="E208" s="40" t="n"/>
      <c r="F208" s="40" t="n"/>
      <c r="G208" s="40" t="n"/>
      <c r="H208" s="47" t="n"/>
      <c r="I208" s="47" t="n"/>
      <c r="J208" s="40" t="n"/>
      <c r="K208" s="49">
        <f>IF(B208="","",IF(J208="","بانتظار الفحص",J208))</f>
        <v/>
      </c>
      <c r="L208" s="40" t="n"/>
    </row>
    <row r="209">
      <c r="A209" s="39">
        <f>IF(B209="","","WIR-"&amp;TEXT(ROW()-4,"0000"))</f>
        <v/>
      </c>
      <c r="B209" s="50" t="n"/>
      <c r="C209" s="49">
        <f>IF(B209="","",IFERROR(INDEX('المشروعات'!$B$5:$B$304,MATCH(B209,'المشروعات'!$A$5:$A$304,0)),""))</f>
        <v/>
      </c>
      <c r="D209" s="40" t="n"/>
      <c r="E209" s="40" t="n"/>
      <c r="F209" s="40" t="n"/>
      <c r="G209" s="40" t="n"/>
      <c r="H209" s="47" t="n"/>
      <c r="I209" s="47" t="n"/>
      <c r="J209" s="40" t="n"/>
      <c r="K209" s="49">
        <f>IF(B209="","",IF(J209="","بانتظار الفحص",J209))</f>
        <v/>
      </c>
      <c r="L209" s="40" t="n"/>
    </row>
    <row r="210">
      <c r="A210" s="39">
        <f>IF(B210="","","WIR-"&amp;TEXT(ROW()-4,"0000"))</f>
        <v/>
      </c>
      <c r="B210" s="50" t="n"/>
      <c r="C210" s="49">
        <f>IF(B210="","",IFERROR(INDEX('المشروعات'!$B$5:$B$304,MATCH(B210,'المشروعات'!$A$5:$A$304,0)),""))</f>
        <v/>
      </c>
      <c r="D210" s="40" t="n"/>
      <c r="E210" s="40" t="n"/>
      <c r="F210" s="40" t="n"/>
      <c r="G210" s="40" t="n"/>
      <c r="H210" s="47" t="n"/>
      <c r="I210" s="47" t="n"/>
      <c r="J210" s="40" t="n"/>
      <c r="K210" s="49">
        <f>IF(B210="","",IF(J210="","بانتظار الفحص",J210))</f>
        <v/>
      </c>
      <c r="L210" s="40" t="n"/>
    </row>
    <row r="211">
      <c r="A211" s="39">
        <f>IF(B211="","","WIR-"&amp;TEXT(ROW()-4,"0000"))</f>
        <v/>
      </c>
      <c r="B211" s="50" t="n"/>
      <c r="C211" s="49">
        <f>IF(B211="","",IFERROR(INDEX('المشروعات'!$B$5:$B$304,MATCH(B211,'المشروعات'!$A$5:$A$304,0)),""))</f>
        <v/>
      </c>
      <c r="D211" s="40" t="n"/>
      <c r="E211" s="40" t="n"/>
      <c r="F211" s="40" t="n"/>
      <c r="G211" s="40" t="n"/>
      <c r="H211" s="47" t="n"/>
      <c r="I211" s="47" t="n"/>
      <c r="J211" s="40" t="n"/>
      <c r="K211" s="49">
        <f>IF(B211="","",IF(J211="","بانتظار الفحص",J211))</f>
        <v/>
      </c>
      <c r="L211" s="40" t="n"/>
    </row>
    <row r="212">
      <c r="A212" s="39">
        <f>IF(B212="","","WIR-"&amp;TEXT(ROW()-4,"0000"))</f>
        <v/>
      </c>
      <c r="B212" s="50" t="n"/>
      <c r="C212" s="49">
        <f>IF(B212="","",IFERROR(INDEX('المشروعات'!$B$5:$B$304,MATCH(B212,'المشروعات'!$A$5:$A$304,0)),""))</f>
        <v/>
      </c>
      <c r="D212" s="40" t="n"/>
      <c r="E212" s="40" t="n"/>
      <c r="F212" s="40" t="n"/>
      <c r="G212" s="40" t="n"/>
      <c r="H212" s="47" t="n"/>
      <c r="I212" s="47" t="n"/>
      <c r="J212" s="40" t="n"/>
      <c r="K212" s="49">
        <f>IF(B212="","",IF(J212="","بانتظار الفحص",J212))</f>
        <v/>
      </c>
      <c r="L212" s="40" t="n"/>
    </row>
    <row r="213">
      <c r="A213" s="39">
        <f>IF(B213="","","WIR-"&amp;TEXT(ROW()-4,"0000"))</f>
        <v/>
      </c>
      <c r="B213" s="50" t="n"/>
      <c r="C213" s="49">
        <f>IF(B213="","",IFERROR(INDEX('المشروعات'!$B$5:$B$304,MATCH(B213,'المشروعات'!$A$5:$A$304,0)),""))</f>
        <v/>
      </c>
      <c r="D213" s="40" t="n"/>
      <c r="E213" s="40" t="n"/>
      <c r="F213" s="40" t="n"/>
      <c r="G213" s="40" t="n"/>
      <c r="H213" s="47" t="n"/>
      <c r="I213" s="47" t="n"/>
      <c r="J213" s="40" t="n"/>
      <c r="K213" s="49">
        <f>IF(B213="","",IF(J213="","بانتظار الفحص",J213))</f>
        <v/>
      </c>
      <c r="L213" s="40" t="n"/>
    </row>
    <row r="214">
      <c r="A214" s="39">
        <f>IF(B214="","","WIR-"&amp;TEXT(ROW()-4,"0000"))</f>
        <v/>
      </c>
      <c r="B214" s="50" t="n"/>
      <c r="C214" s="49">
        <f>IF(B214="","",IFERROR(INDEX('المشروعات'!$B$5:$B$304,MATCH(B214,'المشروعات'!$A$5:$A$304,0)),""))</f>
        <v/>
      </c>
      <c r="D214" s="40" t="n"/>
      <c r="E214" s="40" t="n"/>
      <c r="F214" s="40" t="n"/>
      <c r="G214" s="40" t="n"/>
      <c r="H214" s="47" t="n"/>
      <c r="I214" s="47" t="n"/>
      <c r="J214" s="40" t="n"/>
      <c r="K214" s="49">
        <f>IF(B214="","",IF(J214="","بانتظار الفحص",J214))</f>
        <v/>
      </c>
      <c r="L214" s="40" t="n"/>
    </row>
    <row r="215">
      <c r="A215" s="39">
        <f>IF(B215="","","WIR-"&amp;TEXT(ROW()-4,"0000"))</f>
        <v/>
      </c>
      <c r="B215" s="50" t="n"/>
      <c r="C215" s="49">
        <f>IF(B215="","",IFERROR(INDEX('المشروعات'!$B$5:$B$304,MATCH(B215,'المشروعات'!$A$5:$A$304,0)),""))</f>
        <v/>
      </c>
      <c r="D215" s="40" t="n"/>
      <c r="E215" s="40" t="n"/>
      <c r="F215" s="40" t="n"/>
      <c r="G215" s="40" t="n"/>
      <c r="H215" s="47" t="n"/>
      <c r="I215" s="47" t="n"/>
      <c r="J215" s="40" t="n"/>
      <c r="K215" s="49">
        <f>IF(B215="","",IF(J215="","بانتظار الفحص",J215))</f>
        <v/>
      </c>
      <c r="L215" s="40" t="n"/>
    </row>
    <row r="216">
      <c r="A216" s="39">
        <f>IF(B216="","","WIR-"&amp;TEXT(ROW()-4,"0000"))</f>
        <v/>
      </c>
      <c r="B216" s="50" t="n"/>
      <c r="C216" s="49">
        <f>IF(B216="","",IFERROR(INDEX('المشروعات'!$B$5:$B$304,MATCH(B216,'المشروعات'!$A$5:$A$304,0)),""))</f>
        <v/>
      </c>
      <c r="D216" s="40" t="n"/>
      <c r="E216" s="40" t="n"/>
      <c r="F216" s="40" t="n"/>
      <c r="G216" s="40" t="n"/>
      <c r="H216" s="47" t="n"/>
      <c r="I216" s="47" t="n"/>
      <c r="J216" s="40" t="n"/>
      <c r="K216" s="49">
        <f>IF(B216="","",IF(J216="","بانتظار الفحص",J216))</f>
        <v/>
      </c>
      <c r="L216" s="40" t="n"/>
    </row>
    <row r="217">
      <c r="A217" s="39">
        <f>IF(B217="","","WIR-"&amp;TEXT(ROW()-4,"0000"))</f>
        <v/>
      </c>
      <c r="B217" s="50" t="n"/>
      <c r="C217" s="49">
        <f>IF(B217="","",IFERROR(INDEX('المشروعات'!$B$5:$B$304,MATCH(B217,'المشروعات'!$A$5:$A$304,0)),""))</f>
        <v/>
      </c>
      <c r="D217" s="40" t="n"/>
      <c r="E217" s="40" t="n"/>
      <c r="F217" s="40" t="n"/>
      <c r="G217" s="40" t="n"/>
      <c r="H217" s="47" t="n"/>
      <c r="I217" s="47" t="n"/>
      <c r="J217" s="40" t="n"/>
      <c r="K217" s="49">
        <f>IF(B217="","",IF(J217="","بانتظار الفحص",J217))</f>
        <v/>
      </c>
      <c r="L217" s="40" t="n"/>
    </row>
    <row r="218">
      <c r="A218" s="39">
        <f>IF(B218="","","WIR-"&amp;TEXT(ROW()-4,"0000"))</f>
        <v/>
      </c>
      <c r="B218" s="50" t="n"/>
      <c r="C218" s="49">
        <f>IF(B218="","",IFERROR(INDEX('المشروعات'!$B$5:$B$304,MATCH(B218,'المشروعات'!$A$5:$A$304,0)),""))</f>
        <v/>
      </c>
      <c r="D218" s="40" t="n"/>
      <c r="E218" s="40" t="n"/>
      <c r="F218" s="40" t="n"/>
      <c r="G218" s="40" t="n"/>
      <c r="H218" s="47" t="n"/>
      <c r="I218" s="47" t="n"/>
      <c r="J218" s="40" t="n"/>
      <c r="K218" s="49">
        <f>IF(B218="","",IF(J218="","بانتظار الفحص",J218))</f>
        <v/>
      </c>
      <c r="L218" s="40" t="n"/>
    </row>
    <row r="219">
      <c r="A219" s="39">
        <f>IF(B219="","","WIR-"&amp;TEXT(ROW()-4,"0000"))</f>
        <v/>
      </c>
      <c r="B219" s="50" t="n"/>
      <c r="C219" s="49">
        <f>IF(B219="","",IFERROR(INDEX('المشروعات'!$B$5:$B$304,MATCH(B219,'المشروعات'!$A$5:$A$304,0)),""))</f>
        <v/>
      </c>
      <c r="D219" s="40" t="n"/>
      <c r="E219" s="40" t="n"/>
      <c r="F219" s="40" t="n"/>
      <c r="G219" s="40" t="n"/>
      <c r="H219" s="47" t="n"/>
      <c r="I219" s="47" t="n"/>
      <c r="J219" s="40" t="n"/>
      <c r="K219" s="49">
        <f>IF(B219="","",IF(J219="","بانتظار الفحص",J219))</f>
        <v/>
      </c>
      <c r="L219" s="40" t="n"/>
    </row>
    <row r="220">
      <c r="A220" s="39">
        <f>IF(B220="","","WIR-"&amp;TEXT(ROW()-4,"0000"))</f>
        <v/>
      </c>
      <c r="B220" s="50" t="n"/>
      <c r="C220" s="49">
        <f>IF(B220="","",IFERROR(INDEX('المشروعات'!$B$5:$B$304,MATCH(B220,'المشروعات'!$A$5:$A$304,0)),""))</f>
        <v/>
      </c>
      <c r="D220" s="40" t="n"/>
      <c r="E220" s="40" t="n"/>
      <c r="F220" s="40" t="n"/>
      <c r="G220" s="40" t="n"/>
      <c r="H220" s="47" t="n"/>
      <c r="I220" s="47" t="n"/>
      <c r="J220" s="40" t="n"/>
      <c r="K220" s="49">
        <f>IF(B220="","",IF(J220="","بانتظار الفحص",J220))</f>
        <v/>
      </c>
      <c r="L220" s="40" t="n"/>
    </row>
    <row r="221">
      <c r="A221" s="39">
        <f>IF(B221="","","WIR-"&amp;TEXT(ROW()-4,"0000"))</f>
        <v/>
      </c>
      <c r="B221" s="50" t="n"/>
      <c r="C221" s="49">
        <f>IF(B221="","",IFERROR(INDEX('المشروعات'!$B$5:$B$304,MATCH(B221,'المشروعات'!$A$5:$A$304,0)),""))</f>
        <v/>
      </c>
      <c r="D221" s="40" t="n"/>
      <c r="E221" s="40" t="n"/>
      <c r="F221" s="40" t="n"/>
      <c r="G221" s="40" t="n"/>
      <c r="H221" s="47" t="n"/>
      <c r="I221" s="47" t="n"/>
      <c r="J221" s="40" t="n"/>
      <c r="K221" s="49">
        <f>IF(B221="","",IF(J221="","بانتظار الفحص",J221))</f>
        <v/>
      </c>
      <c r="L221" s="40" t="n"/>
    </row>
    <row r="222">
      <c r="A222" s="39">
        <f>IF(B222="","","WIR-"&amp;TEXT(ROW()-4,"0000"))</f>
        <v/>
      </c>
      <c r="B222" s="50" t="n"/>
      <c r="C222" s="49">
        <f>IF(B222="","",IFERROR(INDEX('المشروعات'!$B$5:$B$304,MATCH(B222,'المشروعات'!$A$5:$A$304,0)),""))</f>
        <v/>
      </c>
      <c r="D222" s="40" t="n"/>
      <c r="E222" s="40" t="n"/>
      <c r="F222" s="40" t="n"/>
      <c r="G222" s="40" t="n"/>
      <c r="H222" s="47" t="n"/>
      <c r="I222" s="47" t="n"/>
      <c r="J222" s="40" t="n"/>
      <c r="K222" s="49">
        <f>IF(B222="","",IF(J222="","بانتظار الفحص",J222))</f>
        <v/>
      </c>
      <c r="L222" s="40" t="n"/>
    </row>
    <row r="223">
      <c r="A223" s="39">
        <f>IF(B223="","","WIR-"&amp;TEXT(ROW()-4,"0000"))</f>
        <v/>
      </c>
      <c r="B223" s="50" t="n"/>
      <c r="C223" s="49">
        <f>IF(B223="","",IFERROR(INDEX('المشروعات'!$B$5:$B$304,MATCH(B223,'المشروعات'!$A$5:$A$304,0)),""))</f>
        <v/>
      </c>
      <c r="D223" s="40" t="n"/>
      <c r="E223" s="40" t="n"/>
      <c r="F223" s="40" t="n"/>
      <c r="G223" s="40" t="n"/>
      <c r="H223" s="47" t="n"/>
      <c r="I223" s="47" t="n"/>
      <c r="J223" s="40" t="n"/>
      <c r="K223" s="49">
        <f>IF(B223="","",IF(J223="","بانتظار الفحص",J223))</f>
        <v/>
      </c>
      <c r="L223" s="40" t="n"/>
    </row>
    <row r="224">
      <c r="A224" s="39">
        <f>IF(B224="","","WIR-"&amp;TEXT(ROW()-4,"0000"))</f>
        <v/>
      </c>
      <c r="B224" s="50" t="n"/>
      <c r="C224" s="49">
        <f>IF(B224="","",IFERROR(INDEX('المشروعات'!$B$5:$B$304,MATCH(B224,'المشروعات'!$A$5:$A$304,0)),""))</f>
        <v/>
      </c>
      <c r="D224" s="40" t="n"/>
      <c r="E224" s="40" t="n"/>
      <c r="F224" s="40" t="n"/>
      <c r="G224" s="40" t="n"/>
      <c r="H224" s="47" t="n"/>
      <c r="I224" s="47" t="n"/>
      <c r="J224" s="40" t="n"/>
      <c r="K224" s="49">
        <f>IF(B224="","",IF(J224="","بانتظار الفحص",J224))</f>
        <v/>
      </c>
      <c r="L224" s="40" t="n"/>
    </row>
    <row r="225">
      <c r="A225" s="39">
        <f>IF(B225="","","WIR-"&amp;TEXT(ROW()-4,"0000"))</f>
        <v/>
      </c>
      <c r="B225" s="50" t="n"/>
      <c r="C225" s="49">
        <f>IF(B225="","",IFERROR(INDEX('المشروعات'!$B$5:$B$304,MATCH(B225,'المشروعات'!$A$5:$A$304,0)),""))</f>
        <v/>
      </c>
      <c r="D225" s="40" t="n"/>
      <c r="E225" s="40" t="n"/>
      <c r="F225" s="40" t="n"/>
      <c r="G225" s="40" t="n"/>
      <c r="H225" s="47" t="n"/>
      <c r="I225" s="47" t="n"/>
      <c r="J225" s="40" t="n"/>
      <c r="K225" s="49">
        <f>IF(B225="","",IF(J225="","بانتظار الفحص",J225))</f>
        <v/>
      </c>
      <c r="L225" s="40" t="n"/>
    </row>
    <row r="226">
      <c r="A226" s="39">
        <f>IF(B226="","","WIR-"&amp;TEXT(ROW()-4,"0000"))</f>
        <v/>
      </c>
      <c r="B226" s="50" t="n"/>
      <c r="C226" s="49">
        <f>IF(B226="","",IFERROR(INDEX('المشروعات'!$B$5:$B$304,MATCH(B226,'المشروعات'!$A$5:$A$304,0)),""))</f>
        <v/>
      </c>
      <c r="D226" s="40" t="n"/>
      <c r="E226" s="40" t="n"/>
      <c r="F226" s="40" t="n"/>
      <c r="G226" s="40" t="n"/>
      <c r="H226" s="47" t="n"/>
      <c r="I226" s="47" t="n"/>
      <c r="J226" s="40" t="n"/>
      <c r="K226" s="49">
        <f>IF(B226="","",IF(J226="","بانتظار الفحص",J226))</f>
        <v/>
      </c>
      <c r="L226" s="40" t="n"/>
    </row>
    <row r="227">
      <c r="A227" s="39">
        <f>IF(B227="","","WIR-"&amp;TEXT(ROW()-4,"0000"))</f>
        <v/>
      </c>
      <c r="B227" s="50" t="n"/>
      <c r="C227" s="49">
        <f>IF(B227="","",IFERROR(INDEX('المشروعات'!$B$5:$B$304,MATCH(B227,'المشروعات'!$A$5:$A$304,0)),""))</f>
        <v/>
      </c>
      <c r="D227" s="40" t="n"/>
      <c r="E227" s="40" t="n"/>
      <c r="F227" s="40" t="n"/>
      <c r="G227" s="40" t="n"/>
      <c r="H227" s="47" t="n"/>
      <c r="I227" s="47" t="n"/>
      <c r="J227" s="40" t="n"/>
      <c r="K227" s="49">
        <f>IF(B227="","",IF(J227="","بانتظار الفحص",J227))</f>
        <v/>
      </c>
      <c r="L227" s="40" t="n"/>
    </row>
    <row r="228">
      <c r="A228" s="39">
        <f>IF(B228="","","WIR-"&amp;TEXT(ROW()-4,"0000"))</f>
        <v/>
      </c>
      <c r="B228" s="50" t="n"/>
      <c r="C228" s="49">
        <f>IF(B228="","",IFERROR(INDEX('المشروعات'!$B$5:$B$304,MATCH(B228,'المشروعات'!$A$5:$A$304,0)),""))</f>
        <v/>
      </c>
      <c r="D228" s="40" t="n"/>
      <c r="E228" s="40" t="n"/>
      <c r="F228" s="40" t="n"/>
      <c r="G228" s="40" t="n"/>
      <c r="H228" s="47" t="n"/>
      <c r="I228" s="47" t="n"/>
      <c r="J228" s="40" t="n"/>
      <c r="K228" s="49">
        <f>IF(B228="","",IF(J228="","بانتظار الفحص",J228))</f>
        <v/>
      </c>
      <c r="L228" s="40" t="n"/>
    </row>
    <row r="229">
      <c r="A229" s="39">
        <f>IF(B229="","","WIR-"&amp;TEXT(ROW()-4,"0000"))</f>
        <v/>
      </c>
      <c r="B229" s="50" t="n"/>
      <c r="C229" s="49">
        <f>IF(B229="","",IFERROR(INDEX('المشروعات'!$B$5:$B$304,MATCH(B229,'المشروعات'!$A$5:$A$304,0)),""))</f>
        <v/>
      </c>
      <c r="D229" s="40" t="n"/>
      <c r="E229" s="40" t="n"/>
      <c r="F229" s="40" t="n"/>
      <c r="G229" s="40" t="n"/>
      <c r="H229" s="47" t="n"/>
      <c r="I229" s="47" t="n"/>
      <c r="J229" s="40" t="n"/>
      <c r="K229" s="49">
        <f>IF(B229="","",IF(J229="","بانتظار الفحص",J229))</f>
        <v/>
      </c>
      <c r="L229" s="40" t="n"/>
    </row>
    <row r="230">
      <c r="A230" s="39">
        <f>IF(B230="","","WIR-"&amp;TEXT(ROW()-4,"0000"))</f>
        <v/>
      </c>
      <c r="B230" s="50" t="n"/>
      <c r="C230" s="49">
        <f>IF(B230="","",IFERROR(INDEX('المشروعات'!$B$5:$B$304,MATCH(B230,'المشروعات'!$A$5:$A$304,0)),""))</f>
        <v/>
      </c>
      <c r="D230" s="40" t="n"/>
      <c r="E230" s="40" t="n"/>
      <c r="F230" s="40" t="n"/>
      <c r="G230" s="40" t="n"/>
      <c r="H230" s="47" t="n"/>
      <c r="I230" s="47" t="n"/>
      <c r="J230" s="40" t="n"/>
      <c r="K230" s="49">
        <f>IF(B230="","",IF(J230="","بانتظار الفحص",J230))</f>
        <v/>
      </c>
      <c r="L230" s="40" t="n"/>
    </row>
    <row r="231">
      <c r="A231" s="39">
        <f>IF(B231="","","WIR-"&amp;TEXT(ROW()-4,"0000"))</f>
        <v/>
      </c>
      <c r="B231" s="50" t="n"/>
      <c r="C231" s="49">
        <f>IF(B231="","",IFERROR(INDEX('المشروعات'!$B$5:$B$304,MATCH(B231,'المشروعات'!$A$5:$A$304,0)),""))</f>
        <v/>
      </c>
      <c r="D231" s="40" t="n"/>
      <c r="E231" s="40" t="n"/>
      <c r="F231" s="40" t="n"/>
      <c r="G231" s="40" t="n"/>
      <c r="H231" s="47" t="n"/>
      <c r="I231" s="47" t="n"/>
      <c r="J231" s="40" t="n"/>
      <c r="K231" s="49">
        <f>IF(B231="","",IF(J231="","بانتظار الفحص",J231))</f>
        <v/>
      </c>
      <c r="L231" s="40" t="n"/>
    </row>
    <row r="232">
      <c r="A232" s="39">
        <f>IF(B232="","","WIR-"&amp;TEXT(ROW()-4,"0000"))</f>
        <v/>
      </c>
      <c r="B232" s="50" t="n"/>
      <c r="C232" s="49">
        <f>IF(B232="","",IFERROR(INDEX('المشروعات'!$B$5:$B$304,MATCH(B232,'المشروعات'!$A$5:$A$304,0)),""))</f>
        <v/>
      </c>
      <c r="D232" s="40" t="n"/>
      <c r="E232" s="40" t="n"/>
      <c r="F232" s="40" t="n"/>
      <c r="G232" s="40" t="n"/>
      <c r="H232" s="47" t="n"/>
      <c r="I232" s="47" t="n"/>
      <c r="J232" s="40" t="n"/>
      <c r="K232" s="49">
        <f>IF(B232="","",IF(J232="","بانتظار الفحص",J232))</f>
        <v/>
      </c>
      <c r="L232" s="40" t="n"/>
    </row>
    <row r="233">
      <c r="A233" s="39">
        <f>IF(B233="","","WIR-"&amp;TEXT(ROW()-4,"0000"))</f>
        <v/>
      </c>
      <c r="B233" s="50" t="n"/>
      <c r="C233" s="49">
        <f>IF(B233="","",IFERROR(INDEX('المشروعات'!$B$5:$B$304,MATCH(B233,'المشروعات'!$A$5:$A$304,0)),""))</f>
        <v/>
      </c>
      <c r="D233" s="40" t="n"/>
      <c r="E233" s="40" t="n"/>
      <c r="F233" s="40" t="n"/>
      <c r="G233" s="40" t="n"/>
      <c r="H233" s="47" t="n"/>
      <c r="I233" s="47" t="n"/>
      <c r="J233" s="40" t="n"/>
      <c r="K233" s="49">
        <f>IF(B233="","",IF(J233="","بانتظار الفحص",J233))</f>
        <v/>
      </c>
      <c r="L233" s="40" t="n"/>
    </row>
    <row r="234">
      <c r="A234" s="39">
        <f>IF(B234="","","WIR-"&amp;TEXT(ROW()-4,"0000"))</f>
        <v/>
      </c>
      <c r="B234" s="50" t="n"/>
      <c r="C234" s="49">
        <f>IF(B234="","",IFERROR(INDEX('المشروعات'!$B$5:$B$304,MATCH(B234,'المشروعات'!$A$5:$A$304,0)),""))</f>
        <v/>
      </c>
      <c r="D234" s="40" t="n"/>
      <c r="E234" s="40" t="n"/>
      <c r="F234" s="40" t="n"/>
      <c r="G234" s="40" t="n"/>
      <c r="H234" s="47" t="n"/>
      <c r="I234" s="47" t="n"/>
      <c r="J234" s="40" t="n"/>
      <c r="K234" s="49">
        <f>IF(B234="","",IF(J234="","بانتظار الفحص",J234))</f>
        <v/>
      </c>
      <c r="L234" s="40" t="n"/>
    </row>
    <row r="235">
      <c r="A235" s="39">
        <f>IF(B235="","","WIR-"&amp;TEXT(ROW()-4,"0000"))</f>
        <v/>
      </c>
      <c r="B235" s="50" t="n"/>
      <c r="C235" s="49">
        <f>IF(B235="","",IFERROR(INDEX('المشروعات'!$B$5:$B$304,MATCH(B235,'المشروعات'!$A$5:$A$304,0)),""))</f>
        <v/>
      </c>
      <c r="D235" s="40" t="n"/>
      <c r="E235" s="40" t="n"/>
      <c r="F235" s="40" t="n"/>
      <c r="G235" s="40" t="n"/>
      <c r="H235" s="47" t="n"/>
      <c r="I235" s="47" t="n"/>
      <c r="J235" s="40" t="n"/>
      <c r="K235" s="49">
        <f>IF(B235="","",IF(J235="","بانتظار الفحص",J235))</f>
        <v/>
      </c>
      <c r="L235" s="40" t="n"/>
    </row>
    <row r="236">
      <c r="A236" s="39">
        <f>IF(B236="","","WIR-"&amp;TEXT(ROW()-4,"0000"))</f>
        <v/>
      </c>
      <c r="B236" s="50" t="n"/>
      <c r="C236" s="49">
        <f>IF(B236="","",IFERROR(INDEX('المشروعات'!$B$5:$B$304,MATCH(B236,'المشروعات'!$A$5:$A$304,0)),""))</f>
        <v/>
      </c>
      <c r="D236" s="40" t="n"/>
      <c r="E236" s="40" t="n"/>
      <c r="F236" s="40" t="n"/>
      <c r="G236" s="40" t="n"/>
      <c r="H236" s="47" t="n"/>
      <c r="I236" s="47" t="n"/>
      <c r="J236" s="40" t="n"/>
      <c r="K236" s="49">
        <f>IF(B236="","",IF(J236="","بانتظار الفحص",J236))</f>
        <v/>
      </c>
      <c r="L236" s="40" t="n"/>
    </row>
    <row r="237">
      <c r="A237" s="39">
        <f>IF(B237="","","WIR-"&amp;TEXT(ROW()-4,"0000"))</f>
        <v/>
      </c>
      <c r="B237" s="50" t="n"/>
      <c r="C237" s="49">
        <f>IF(B237="","",IFERROR(INDEX('المشروعات'!$B$5:$B$304,MATCH(B237,'المشروعات'!$A$5:$A$304,0)),""))</f>
        <v/>
      </c>
      <c r="D237" s="40" t="n"/>
      <c r="E237" s="40" t="n"/>
      <c r="F237" s="40" t="n"/>
      <c r="G237" s="40" t="n"/>
      <c r="H237" s="47" t="n"/>
      <c r="I237" s="47" t="n"/>
      <c r="J237" s="40" t="n"/>
      <c r="K237" s="49">
        <f>IF(B237="","",IF(J237="","بانتظار الفحص",J237))</f>
        <v/>
      </c>
      <c r="L237" s="40" t="n"/>
    </row>
    <row r="238">
      <c r="A238" s="39">
        <f>IF(B238="","","WIR-"&amp;TEXT(ROW()-4,"0000"))</f>
        <v/>
      </c>
      <c r="B238" s="50" t="n"/>
      <c r="C238" s="49">
        <f>IF(B238="","",IFERROR(INDEX('المشروعات'!$B$5:$B$304,MATCH(B238,'المشروعات'!$A$5:$A$304,0)),""))</f>
        <v/>
      </c>
      <c r="D238" s="40" t="n"/>
      <c r="E238" s="40" t="n"/>
      <c r="F238" s="40" t="n"/>
      <c r="G238" s="40" t="n"/>
      <c r="H238" s="47" t="n"/>
      <c r="I238" s="47" t="n"/>
      <c r="J238" s="40" t="n"/>
      <c r="K238" s="49">
        <f>IF(B238="","",IF(J238="","بانتظار الفحص",J238))</f>
        <v/>
      </c>
      <c r="L238" s="40" t="n"/>
    </row>
    <row r="239">
      <c r="A239" s="39">
        <f>IF(B239="","","WIR-"&amp;TEXT(ROW()-4,"0000"))</f>
        <v/>
      </c>
      <c r="B239" s="50" t="n"/>
      <c r="C239" s="49">
        <f>IF(B239="","",IFERROR(INDEX('المشروعات'!$B$5:$B$304,MATCH(B239,'المشروعات'!$A$5:$A$304,0)),""))</f>
        <v/>
      </c>
      <c r="D239" s="40" t="n"/>
      <c r="E239" s="40" t="n"/>
      <c r="F239" s="40" t="n"/>
      <c r="G239" s="40" t="n"/>
      <c r="H239" s="47" t="n"/>
      <c r="I239" s="47" t="n"/>
      <c r="J239" s="40" t="n"/>
      <c r="K239" s="49">
        <f>IF(B239="","",IF(J239="","بانتظار الفحص",J239))</f>
        <v/>
      </c>
      <c r="L239" s="40" t="n"/>
    </row>
    <row r="240">
      <c r="A240" s="39">
        <f>IF(B240="","","WIR-"&amp;TEXT(ROW()-4,"0000"))</f>
        <v/>
      </c>
      <c r="B240" s="50" t="n"/>
      <c r="C240" s="49">
        <f>IF(B240="","",IFERROR(INDEX('المشروعات'!$B$5:$B$304,MATCH(B240,'المشروعات'!$A$5:$A$304,0)),""))</f>
        <v/>
      </c>
      <c r="D240" s="40" t="n"/>
      <c r="E240" s="40" t="n"/>
      <c r="F240" s="40" t="n"/>
      <c r="G240" s="40" t="n"/>
      <c r="H240" s="47" t="n"/>
      <c r="I240" s="47" t="n"/>
      <c r="J240" s="40" t="n"/>
      <c r="K240" s="49">
        <f>IF(B240="","",IF(J240="","بانتظار الفحص",J240))</f>
        <v/>
      </c>
      <c r="L240" s="40" t="n"/>
    </row>
    <row r="241">
      <c r="A241" s="39">
        <f>IF(B241="","","WIR-"&amp;TEXT(ROW()-4,"0000"))</f>
        <v/>
      </c>
      <c r="B241" s="50" t="n"/>
      <c r="C241" s="49">
        <f>IF(B241="","",IFERROR(INDEX('المشروعات'!$B$5:$B$304,MATCH(B241,'المشروعات'!$A$5:$A$304,0)),""))</f>
        <v/>
      </c>
      <c r="D241" s="40" t="n"/>
      <c r="E241" s="40" t="n"/>
      <c r="F241" s="40" t="n"/>
      <c r="G241" s="40" t="n"/>
      <c r="H241" s="47" t="n"/>
      <c r="I241" s="47" t="n"/>
      <c r="J241" s="40" t="n"/>
      <c r="K241" s="49">
        <f>IF(B241="","",IF(J241="","بانتظار الفحص",J241))</f>
        <v/>
      </c>
      <c r="L241" s="40" t="n"/>
    </row>
    <row r="242">
      <c r="A242" s="39">
        <f>IF(B242="","","WIR-"&amp;TEXT(ROW()-4,"0000"))</f>
        <v/>
      </c>
      <c r="B242" s="50" t="n"/>
      <c r="C242" s="49">
        <f>IF(B242="","",IFERROR(INDEX('المشروعات'!$B$5:$B$304,MATCH(B242,'المشروعات'!$A$5:$A$304,0)),""))</f>
        <v/>
      </c>
      <c r="D242" s="40" t="n"/>
      <c r="E242" s="40" t="n"/>
      <c r="F242" s="40" t="n"/>
      <c r="G242" s="40" t="n"/>
      <c r="H242" s="47" t="n"/>
      <c r="I242" s="47" t="n"/>
      <c r="J242" s="40" t="n"/>
      <c r="K242" s="49">
        <f>IF(B242="","",IF(J242="","بانتظار الفحص",J242))</f>
        <v/>
      </c>
      <c r="L242" s="40" t="n"/>
    </row>
    <row r="243">
      <c r="A243" s="39">
        <f>IF(B243="","","WIR-"&amp;TEXT(ROW()-4,"0000"))</f>
        <v/>
      </c>
      <c r="B243" s="50" t="n"/>
      <c r="C243" s="49">
        <f>IF(B243="","",IFERROR(INDEX('المشروعات'!$B$5:$B$304,MATCH(B243,'المشروعات'!$A$5:$A$304,0)),""))</f>
        <v/>
      </c>
      <c r="D243" s="40" t="n"/>
      <c r="E243" s="40" t="n"/>
      <c r="F243" s="40" t="n"/>
      <c r="G243" s="40" t="n"/>
      <c r="H243" s="47" t="n"/>
      <c r="I243" s="47" t="n"/>
      <c r="J243" s="40" t="n"/>
      <c r="K243" s="49">
        <f>IF(B243="","",IF(J243="","بانتظار الفحص",J243))</f>
        <v/>
      </c>
      <c r="L243" s="40" t="n"/>
    </row>
    <row r="244">
      <c r="A244" s="39">
        <f>IF(B244="","","WIR-"&amp;TEXT(ROW()-4,"0000"))</f>
        <v/>
      </c>
      <c r="B244" s="50" t="n"/>
      <c r="C244" s="49">
        <f>IF(B244="","",IFERROR(INDEX('المشروعات'!$B$5:$B$304,MATCH(B244,'المشروعات'!$A$5:$A$304,0)),""))</f>
        <v/>
      </c>
      <c r="D244" s="40" t="n"/>
      <c r="E244" s="40" t="n"/>
      <c r="F244" s="40" t="n"/>
      <c r="G244" s="40" t="n"/>
      <c r="H244" s="47" t="n"/>
      <c r="I244" s="47" t="n"/>
      <c r="J244" s="40" t="n"/>
      <c r="K244" s="49">
        <f>IF(B244="","",IF(J244="","بانتظار الفحص",J244))</f>
        <v/>
      </c>
      <c r="L244" s="40" t="n"/>
    </row>
    <row r="245">
      <c r="A245" s="39">
        <f>IF(B245="","","WIR-"&amp;TEXT(ROW()-4,"0000"))</f>
        <v/>
      </c>
      <c r="B245" s="50" t="n"/>
      <c r="C245" s="49">
        <f>IF(B245="","",IFERROR(INDEX('المشروعات'!$B$5:$B$304,MATCH(B245,'المشروعات'!$A$5:$A$304,0)),""))</f>
        <v/>
      </c>
      <c r="D245" s="40" t="n"/>
      <c r="E245" s="40" t="n"/>
      <c r="F245" s="40" t="n"/>
      <c r="G245" s="40" t="n"/>
      <c r="H245" s="47" t="n"/>
      <c r="I245" s="47" t="n"/>
      <c r="J245" s="40" t="n"/>
      <c r="K245" s="49">
        <f>IF(B245="","",IF(J245="","بانتظار الفحص",J245))</f>
        <v/>
      </c>
      <c r="L245" s="40" t="n"/>
    </row>
    <row r="246">
      <c r="A246" s="39">
        <f>IF(B246="","","WIR-"&amp;TEXT(ROW()-4,"0000"))</f>
        <v/>
      </c>
      <c r="B246" s="50" t="n"/>
      <c r="C246" s="49">
        <f>IF(B246="","",IFERROR(INDEX('المشروعات'!$B$5:$B$304,MATCH(B246,'المشروعات'!$A$5:$A$304,0)),""))</f>
        <v/>
      </c>
      <c r="D246" s="40" t="n"/>
      <c r="E246" s="40" t="n"/>
      <c r="F246" s="40" t="n"/>
      <c r="G246" s="40" t="n"/>
      <c r="H246" s="47" t="n"/>
      <c r="I246" s="47" t="n"/>
      <c r="J246" s="40" t="n"/>
      <c r="K246" s="49">
        <f>IF(B246="","",IF(J246="","بانتظار الفحص",J246))</f>
        <v/>
      </c>
      <c r="L246" s="40" t="n"/>
    </row>
    <row r="247">
      <c r="A247" s="39">
        <f>IF(B247="","","WIR-"&amp;TEXT(ROW()-4,"0000"))</f>
        <v/>
      </c>
      <c r="B247" s="50" t="n"/>
      <c r="C247" s="49">
        <f>IF(B247="","",IFERROR(INDEX('المشروعات'!$B$5:$B$304,MATCH(B247,'المشروعات'!$A$5:$A$304,0)),""))</f>
        <v/>
      </c>
      <c r="D247" s="40" t="n"/>
      <c r="E247" s="40" t="n"/>
      <c r="F247" s="40" t="n"/>
      <c r="G247" s="40" t="n"/>
      <c r="H247" s="47" t="n"/>
      <c r="I247" s="47" t="n"/>
      <c r="J247" s="40" t="n"/>
      <c r="K247" s="49">
        <f>IF(B247="","",IF(J247="","بانتظار الفحص",J247))</f>
        <v/>
      </c>
      <c r="L247" s="40" t="n"/>
    </row>
    <row r="248">
      <c r="A248" s="39">
        <f>IF(B248="","","WIR-"&amp;TEXT(ROW()-4,"0000"))</f>
        <v/>
      </c>
      <c r="B248" s="50" t="n"/>
      <c r="C248" s="49">
        <f>IF(B248="","",IFERROR(INDEX('المشروعات'!$B$5:$B$304,MATCH(B248,'المشروعات'!$A$5:$A$304,0)),""))</f>
        <v/>
      </c>
      <c r="D248" s="40" t="n"/>
      <c r="E248" s="40" t="n"/>
      <c r="F248" s="40" t="n"/>
      <c r="G248" s="40" t="n"/>
      <c r="H248" s="47" t="n"/>
      <c r="I248" s="47" t="n"/>
      <c r="J248" s="40" t="n"/>
      <c r="K248" s="49">
        <f>IF(B248="","",IF(J248="","بانتظار الفحص",J248))</f>
        <v/>
      </c>
      <c r="L248" s="40" t="n"/>
    </row>
    <row r="249">
      <c r="A249" s="39">
        <f>IF(B249="","","WIR-"&amp;TEXT(ROW()-4,"0000"))</f>
        <v/>
      </c>
      <c r="B249" s="50" t="n"/>
      <c r="C249" s="49">
        <f>IF(B249="","",IFERROR(INDEX('المشروعات'!$B$5:$B$304,MATCH(B249,'المشروعات'!$A$5:$A$304,0)),""))</f>
        <v/>
      </c>
      <c r="D249" s="40" t="n"/>
      <c r="E249" s="40" t="n"/>
      <c r="F249" s="40" t="n"/>
      <c r="G249" s="40" t="n"/>
      <c r="H249" s="47" t="n"/>
      <c r="I249" s="47" t="n"/>
      <c r="J249" s="40" t="n"/>
      <c r="K249" s="49">
        <f>IF(B249="","",IF(J249="","بانتظار الفحص",J249))</f>
        <v/>
      </c>
      <c r="L249" s="40" t="n"/>
    </row>
    <row r="250">
      <c r="A250" s="39">
        <f>IF(B250="","","WIR-"&amp;TEXT(ROW()-4,"0000"))</f>
        <v/>
      </c>
      <c r="B250" s="50" t="n"/>
      <c r="C250" s="49">
        <f>IF(B250="","",IFERROR(INDEX('المشروعات'!$B$5:$B$304,MATCH(B250,'المشروعات'!$A$5:$A$304,0)),""))</f>
        <v/>
      </c>
      <c r="D250" s="40" t="n"/>
      <c r="E250" s="40" t="n"/>
      <c r="F250" s="40" t="n"/>
      <c r="G250" s="40" t="n"/>
      <c r="H250" s="47" t="n"/>
      <c r="I250" s="47" t="n"/>
      <c r="J250" s="40" t="n"/>
      <c r="K250" s="49">
        <f>IF(B250="","",IF(J250="","بانتظار الفحص",J250))</f>
        <v/>
      </c>
      <c r="L250" s="40" t="n"/>
    </row>
    <row r="251">
      <c r="A251" s="39">
        <f>IF(B251="","","WIR-"&amp;TEXT(ROW()-4,"0000"))</f>
        <v/>
      </c>
      <c r="B251" s="50" t="n"/>
      <c r="C251" s="49">
        <f>IF(B251="","",IFERROR(INDEX('المشروعات'!$B$5:$B$304,MATCH(B251,'المشروعات'!$A$5:$A$304,0)),""))</f>
        <v/>
      </c>
      <c r="D251" s="40" t="n"/>
      <c r="E251" s="40" t="n"/>
      <c r="F251" s="40" t="n"/>
      <c r="G251" s="40" t="n"/>
      <c r="H251" s="47" t="n"/>
      <c r="I251" s="47" t="n"/>
      <c r="J251" s="40" t="n"/>
      <c r="K251" s="49">
        <f>IF(B251="","",IF(J251="","بانتظار الفحص",J251))</f>
        <v/>
      </c>
      <c r="L251" s="40" t="n"/>
    </row>
    <row r="252">
      <c r="A252" s="39">
        <f>IF(B252="","","WIR-"&amp;TEXT(ROW()-4,"0000"))</f>
        <v/>
      </c>
      <c r="B252" s="50" t="n"/>
      <c r="C252" s="49">
        <f>IF(B252="","",IFERROR(INDEX('المشروعات'!$B$5:$B$304,MATCH(B252,'المشروعات'!$A$5:$A$304,0)),""))</f>
        <v/>
      </c>
      <c r="D252" s="40" t="n"/>
      <c r="E252" s="40" t="n"/>
      <c r="F252" s="40" t="n"/>
      <c r="G252" s="40" t="n"/>
      <c r="H252" s="47" t="n"/>
      <c r="I252" s="47" t="n"/>
      <c r="J252" s="40" t="n"/>
      <c r="K252" s="49">
        <f>IF(B252="","",IF(J252="","بانتظار الفحص",J252))</f>
        <v/>
      </c>
      <c r="L252" s="40" t="n"/>
    </row>
    <row r="253">
      <c r="A253" s="39">
        <f>IF(B253="","","WIR-"&amp;TEXT(ROW()-4,"0000"))</f>
        <v/>
      </c>
      <c r="B253" s="50" t="n"/>
      <c r="C253" s="49">
        <f>IF(B253="","",IFERROR(INDEX('المشروعات'!$B$5:$B$304,MATCH(B253,'المشروعات'!$A$5:$A$304,0)),""))</f>
        <v/>
      </c>
      <c r="D253" s="40" t="n"/>
      <c r="E253" s="40" t="n"/>
      <c r="F253" s="40" t="n"/>
      <c r="G253" s="40" t="n"/>
      <c r="H253" s="47" t="n"/>
      <c r="I253" s="47" t="n"/>
      <c r="J253" s="40" t="n"/>
      <c r="K253" s="49">
        <f>IF(B253="","",IF(J253="","بانتظار الفحص",J253))</f>
        <v/>
      </c>
      <c r="L253" s="40" t="n"/>
    </row>
    <row r="254">
      <c r="A254" s="39">
        <f>IF(B254="","","WIR-"&amp;TEXT(ROW()-4,"0000"))</f>
        <v/>
      </c>
      <c r="B254" s="50" t="n"/>
      <c r="C254" s="49">
        <f>IF(B254="","",IFERROR(INDEX('المشروعات'!$B$5:$B$304,MATCH(B254,'المشروعات'!$A$5:$A$304,0)),""))</f>
        <v/>
      </c>
      <c r="D254" s="40" t="n"/>
      <c r="E254" s="40" t="n"/>
      <c r="F254" s="40" t="n"/>
      <c r="G254" s="40" t="n"/>
      <c r="H254" s="47" t="n"/>
      <c r="I254" s="47" t="n"/>
      <c r="J254" s="40" t="n"/>
      <c r="K254" s="49">
        <f>IF(B254="","",IF(J254="","بانتظار الفحص",J254))</f>
        <v/>
      </c>
      <c r="L254" s="40" t="n"/>
    </row>
    <row r="255">
      <c r="A255" s="39">
        <f>IF(B255="","","WIR-"&amp;TEXT(ROW()-4,"0000"))</f>
        <v/>
      </c>
      <c r="B255" s="50" t="n"/>
      <c r="C255" s="49">
        <f>IF(B255="","",IFERROR(INDEX('المشروعات'!$B$5:$B$304,MATCH(B255,'المشروعات'!$A$5:$A$304,0)),""))</f>
        <v/>
      </c>
      <c r="D255" s="40" t="n"/>
      <c r="E255" s="40" t="n"/>
      <c r="F255" s="40" t="n"/>
      <c r="G255" s="40" t="n"/>
      <c r="H255" s="47" t="n"/>
      <c r="I255" s="47" t="n"/>
      <c r="J255" s="40" t="n"/>
      <c r="K255" s="49">
        <f>IF(B255="","",IF(J255="","بانتظار الفحص",J255))</f>
        <v/>
      </c>
      <c r="L255" s="40" t="n"/>
    </row>
    <row r="256">
      <c r="A256" s="39">
        <f>IF(B256="","","WIR-"&amp;TEXT(ROW()-4,"0000"))</f>
        <v/>
      </c>
      <c r="B256" s="50" t="n"/>
      <c r="C256" s="49">
        <f>IF(B256="","",IFERROR(INDEX('المشروعات'!$B$5:$B$304,MATCH(B256,'المشروعات'!$A$5:$A$304,0)),""))</f>
        <v/>
      </c>
      <c r="D256" s="40" t="n"/>
      <c r="E256" s="40" t="n"/>
      <c r="F256" s="40" t="n"/>
      <c r="G256" s="40" t="n"/>
      <c r="H256" s="47" t="n"/>
      <c r="I256" s="47" t="n"/>
      <c r="J256" s="40" t="n"/>
      <c r="K256" s="49">
        <f>IF(B256="","",IF(J256="","بانتظار الفحص",J256))</f>
        <v/>
      </c>
      <c r="L256" s="40" t="n"/>
    </row>
    <row r="257">
      <c r="A257" s="39">
        <f>IF(B257="","","WIR-"&amp;TEXT(ROW()-4,"0000"))</f>
        <v/>
      </c>
      <c r="B257" s="50" t="n"/>
      <c r="C257" s="49">
        <f>IF(B257="","",IFERROR(INDEX('المشروعات'!$B$5:$B$304,MATCH(B257,'المشروعات'!$A$5:$A$304,0)),""))</f>
        <v/>
      </c>
      <c r="D257" s="40" t="n"/>
      <c r="E257" s="40" t="n"/>
      <c r="F257" s="40" t="n"/>
      <c r="G257" s="40" t="n"/>
      <c r="H257" s="47" t="n"/>
      <c r="I257" s="47" t="n"/>
      <c r="J257" s="40" t="n"/>
      <c r="K257" s="49">
        <f>IF(B257="","",IF(J257="","بانتظار الفحص",J257))</f>
        <v/>
      </c>
      <c r="L257" s="40" t="n"/>
    </row>
    <row r="258">
      <c r="A258" s="39">
        <f>IF(B258="","","WIR-"&amp;TEXT(ROW()-4,"0000"))</f>
        <v/>
      </c>
      <c r="B258" s="50" t="n"/>
      <c r="C258" s="49">
        <f>IF(B258="","",IFERROR(INDEX('المشروعات'!$B$5:$B$304,MATCH(B258,'المشروعات'!$A$5:$A$304,0)),""))</f>
        <v/>
      </c>
      <c r="D258" s="40" t="n"/>
      <c r="E258" s="40" t="n"/>
      <c r="F258" s="40" t="n"/>
      <c r="G258" s="40" t="n"/>
      <c r="H258" s="47" t="n"/>
      <c r="I258" s="47" t="n"/>
      <c r="J258" s="40" t="n"/>
      <c r="K258" s="49">
        <f>IF(B258="","",IF(J258="","بانتظار الفحص",J258))</f>
        <v/>
      </c>
      <c r="L258" s="40" t="n"/>
    </row>
    <row r="259">
      <c r="A259" s="39">
        <f>IF(B259="","","WIR-"&amp;TEXT(ROW()-4,"0000"))</f>
        <v/>
      </c>
      <c r="B259" s="50" t="n"/>
      <c r="C259" s="49">
        <f>IF(B259="","",IFERROR(INDEX('المشروعات'!$B$5:$B$304,MATCH(B259,'المشروعات'!$A$5:$A$304,0)),""))</f>
        <v/>
      </c>
      <c r="D259" s="40" t="n"/>
      <c r="E259" s="40" t="n"/>
      <c r="F259" s="40" t="n"/>
      <c r="G259" s="40" t="n"/>
      <c r="H259" s="47" t="n"/>
      <c r="I259" s="47" t="n"/>
      <c r="J259" s="40" t="n"/>
      <c r="K259" s="49">
        <f>IF(B259="","",IF(J259="","بانتظار الفحص",J259))</f>
        <v/>
      </c>
      <c r="L259" s="40" t="n"/>
    </row>
    <row r="260">
      <c r="A260" s="39">
        <f>IF(B260="","","WIR-"&amp;TEXT(ROW()-4,"0000"))</f>
        <v/>
      </c>
      <c r="B260" s="50" t="n"/>
      <c r="C260" s="49">
        <f>IF(B260="","",IFERROR(INDEX('المشروعات'!$B$5:$B$304,MATCH(B260,'المشروعات'!$A$5:$A$304,0)),""))</f>
        <v/>
      </c>
      <c r="D260" s="40" t="n"/>
      <c r="E260" s="40" t="n"/>
      <c r="F260" s="40" t="n"/>
      <c r="G260" s="40" t="n"/>
      <c r="H260" s="47" t="n"/>
      <c r="I260" s="47" t="n"/>
      <c r="J260" s="40" t="n"/>
      <c r="K260" s="49">
        <f>IF(B260="","",IF(J260="","بانتظار الفحص",J260))</f>
        <v/>
      </c>
      <c r="L260" s="40" t="n"/>
    </row>
    <row r="261">
      <c r="A261" s="39">
        <f>IF(B261="","","WIR-"&amp;TEXT(ROW()-4,"0000"))</f>
        <v/>
      </c>
      <c r="B261" s="50" t="n"/>
      <c r="C261" s="49">
        <f>IF(B261="","",IFERROR(INDEX('المشروعات'!$B$5:$B$304,MATCH(B261,'المشروعات'!$A$5:$A$304,0)),""))</f>
        <v/>
      </c>
      <c r="D261" s="40" t="n"/>
      <c r="E261" s="40" t="n"/>
      <c r="F261" s="40" t="n"/>
      <c r="G261" s="40" t="n"/>
      <c r="H261" s="47" t="n"/>
      <c r="I261" s="47" t="n"/>
      <c r="J261" s="40" t="n"/>
      <c r="K261" s="49">
        <f>IF(B261="","",IF(J261="","بانتظار الفحص",J261))</f>
        <v/>
      </c>
      <c r="L261" s="40" t="n"/>
    </row>
    <row r="262">
      <c r="A262" s="39">
        <f>IF(B262="","","WIR-"&amp;TEXT(ROW()-4,"0000"))</f>
        <v/>
      </c>
      <c r="B262" s="50" t="n"/>
      <c r="C262" s="49">
        <f>IF(B262="","",IFERROR(INDEX('المشروعات'!$B$5:$B$304,MATCH(B262,'المشروعات'!$A$5:$A$304,0)),""))</f>
        <v/>
      </c>
      <c r="D262" s="40" t="n"/>
      <c r="E262" s="40" t="n"/>
      <c r="F262" s="40" t="n"/>
      <c r="G262" s="40" t="n"/>
      <c r="H262" s="47" t="n"/>
      <c r="I262" s="47" t="n"/>
      <c r="J262" s="40" t="n"/>
      <c r="K262" s="49">
        <f>IF(B262="","",IF(J262="","بانتظار الفحص",J262))</f>
        <v/>
      </c>
      <c r="L262" s="40" t="n"/>
    </row>
    <row r="263">
      <c r="A263" s="39">
        <f>IF(B263="","","WIR-"&amp;TEXT(ROW()-4,"0000"))</f>
        <v/>
      </c>
      <c r="B263" s="50" t="n"/>
      <c r="C263" s="49">
        <f>IF(B263="","",IFERROR(INDEX('المشروعات'!$B$5:$B$304,MATCH(B263,'المشروعات'!$A$5:$A$304,0)),""))</f>
        <v/>
      </c>
      <c r="D263" s="40" t="n"/>
      <c r="E263" s="40" t="n"/>
      <c r="F263" s="40" t="n"/>
      <c r="G263" s="40" t="n"/>
      <c r="H263" s="47" t="n"/>
      <c r="I263" s="47" t="n"/>
      <c r="J263" s="40" t="n"/>
      <c r="K263" s="49">
        <f>IF(B263="","",IF(J263="","بانتظار الفحص",J263))</f>
        <v/>
      </c>
      <c r="L263" s="40" t="n"/>
    </row>
    <row r="264">
      <c r="A264" s="39">
        <f>IF(B264="","","WIR-"&amp;TEXT(ROW()-4,"0000"))</f>
        <v/>
      </c>
      <c r="B264" s="50" t="n"/>
      <c r="C264" s="49">
        <f>IF(B264="","",IFERROR(INDEX('المشروعات'!$B$5:$B$304,MATCH(B264,'المشروعات'!$A$5:$A$304,0)),""))</f>
        <v/>
      </c>
      <c r="D264" s="40" t="n"/>
      <c r="E264" s="40" t="n"/>
      <c r="F264" s="40" t="n"/>
      <c r="G264" s="40" t="n"/>
      <c r="H264" s="47" t="n"/>
      <c r="I264" s="47" t="n"/>
      <c r="J264" s="40" t="n"/>
      <c r="K264" s="49">
        <f>IF(B264="","",IF(J264="","بانتظار الفحص",J264))</f>
        <v/>
      </c>
      <c r="L264" s="40" t="n"/>
    </row>
    <row r="265">
      <c r="A265" s="39">
        <f>IF(B265="","","WIR-"&amp;TEXT(ROW()-4,"0000"))</f>
        <v/>
      </c>
      <c r="B265" s="50" t="n"/>
      <c r="C265" s="49">
        <f>IF(B265="","",IFERROR(INDEX('المشروعات'!$B$5:$B$304,MATCH(B265,'المشروعات'!$A$5:$A$304,0)),""))</f>
        <v/>
      </c>
      <c r="D265" s="40" t="n"/>
      <c r="E265" s="40" t="n"/>
      <c r="F265" s="40" t="n"/>
      <c r="G265" s="40" t="n"/>
      <c r="H265" s="47" t="n"/>
      <c r="I265" s="47" t="n"/>
      <c r="J265" s="40" t="n"/>
      <c r="K265" s="49">
        <f>IF(B265="","",IF(J265="","بانتظار الفحص",J265))</f>
        <v/>
      </c>
      <c r="L265" s="40" t="n"/>
    </row>
    <row r="266">
      <c r="A266" s="39">
        <f>IF(B266="","","WIR-"&amp;TEXT(ROW()-4,"0000"))</f>
        <v/>
      </c>
      <c r="B266" s="50" t="n"/>
      <c r="C266" s="49">
        <f>IF(B266="","",IFERROR(INDEX('المشروعات'!$B$5:$B$304,MATCH(B266,'المشروعات'!$A$5:$A$304,0)),""))</f>
        <v/>
      </c>
      <c r="D266" s="40" t="n"/>
      <c r="E266" s="40" t="n"/>
      <c r="F266" s="40" t="n"/>
      <c r="G266" s="40" t="n"/>
      <c r="H266" s="47" t="n"/>
      <c r="I266" s="47" t="n"/>
      <c r="J266" s="40" t="n"/>
      <c r="K266" s="49">
        <f>IF(B266="","",IF(J266="","بانتظار الفحص",J266))</f>
        <v/>
      </c>
      <c r="L266" s="40" t="n"/>
    </row>
    <row r="267">
      <c r="A267" s="39">
        <f>IF(B267="","","WIR-"&amp;TEXT(ROW()-4,"0000"))</f>
        <v/>
      </c>
      <c r="B267" s="50" t="n"/>
      <c r="C267" s="49">
        <f>IF(B267="","",IFERROR(INDEX('المشروعات'!$B$5:$B$304,MATCH(B267,'المشروعات'!$A$5:$A$304,0)),""))</f>
        <v/>
      </c>
      <c r="D267" s="40" t="n"/>
      <c r="E267" s="40" t="n"/>
      <c r="F267" s="40" t="n"/>
      <c r="G267" s="40" t="n"/>
      <c r="H267" s="47" t="n"/>
      <c r="I267" s="47" t="n"/>
      <c r="J267" s="40" t="n"/>
      <c r="K267" s="49">
        <f>IF(B267="","",IF(J267="","بانتظار الفحص",J267))</f>
        <v/>
      </c>
      <c r="L267" s="40" t="n"/>
    </row>
    <row r="268">
      <c r="A268" s="39">
        <f>IF(B268="","","WIR-"&amp;TEXT(ROW()-4,"0000"))</f>
        <v/>
      </c>
      <c r="B268" s="50" t="n"/>
      <c r="C268" s="49">
        <f>IF(B268="","",IFERROR(INDEX('المشروعات'!$B$5:$B$304,MATCH(B268,'المشروعات'!$A$5:$A$304,0)),""))</f>
        <v/>
      </c>
      <c r="D268" s="40" t="n"/>
      <c r="E268" s="40" t="n"/>
      <c r="F268" s="40" t="n"/>
      <c r="G268" s="40" t="n"/>
      <c r="H268" s="47" t="n"/>
      <c r="I268" s="47" t="n"/>
      <c r="J268" s="40" t="n"/>
      <c r="K268" s="49">
        <f>IF(B268="","",IF(J268="","بانتظار الفحص",J268))</f>
        <v/>
      </c>
      <c r="L268" s="40" t="n"/>
    </row>
    <row r="269">
      <c r="A269" s="39">
        <f>IF(B269="","","WIR-"&amp;TEXT(ROW()-4,"0000"))</f>
        <v/>
      </c>
      <c r="B269" s="50" t="n"/>
      <c r="C269" s="49">
        <f>IF(B269="","",IFERROR(INDEX('المشروعات'!$B$5:$B$304,MATCH(B269,'المشروعات'!$A$5:$A$304,0)),""))</f>
        <v/>
      </c>
      <c r="D269" s="40" t="n"/>
      <c r="E269" s="40" t="n"/>
      <c r="F269" s="40" t="n"/>
      <c r="G269" s="40" t="n"/>
      <c r="H269" s="47" t="n"/>
      <c r="I269" s="47" t="n"/>
      <c r="J269" s="40" t="n"/>
      <c r="K269" s="49">
        <f>IF(B269="","",IF(J269="","بانتظار الفحص",J269))</f>
        <v/>
      </c>
      <c r="L269" s="40" t="n"/>
    </row>
    <row r="270">
      <c r="A270" s="39">
        <f>IF(B270="","","WIR-"&amp;TEXT(ROW()-4,"0000"))</f>
        <v/>
      </c>
      <c r="B270" s="50" t="n"/>
      <c r="C270" s="49">
        <f>IF(B270="","",IFERROR(INDEX('المشروعات'!$B$5:$B$304,MATCH(B270,'المشروعات'!$A$5:$A$304,0)),""))</f>
        <v/>
      </c>
      <c r="D270" s="40" t="n"/>
      <c r="E270" s="40" t="n"/>
      <c r="F270" s="40" t="n"/>
      <c r="G270" s="40" t="n"/>
      <c r="H270" s="47" t="n"/>
      <c r="I270" s="47" t="n"/>
      <c r="J270" s="40" t="n"/>
      <c r="K270" s="49">
        <f>IF(B270="","",IF(J270="","بانتظار الفحص",J270))</f>
        <v/>
      </c>
      <c r="L270" s="40" t="n"/>
    </row>
    <row r="271">
      <c r="A271" s="39">
        <f>IF(B271="","","WIR-"&amp;TEXT(ROW()-4,"0000"))</f>
        <v/>
      </c>
      <c r="B271" s="50" t="n"/>
      <c r="C271" s="49">
        <f>IF(B271="","",IFERROR(INDEX('المشروعات'!$B$5:$B$304,MATCH(B271,'المشروعات'!$A$5:$A$304,0)),""))</f>
        <v/>
      </c>
      <c r="D271" s="40" t="n"/>
      <c r="E271" s="40" t="n"/>
      <c r="F271" s="40" t="n"/>
      <c r="G271" s="40" t="n"/>
      <c r="H271" s="47" t="n"/>
      <c r="I271" s="47" t="n"/>
      <c r="J271" s="40" t="n"/>
      <c r="K271" s="49">
        <f>IF(B271="","",IF(J271="","بانتظار الفحص",J271))</f>
        <v/>
      </c>
      <c r="L271" s="40" t="n"/>
    </row>
    <row r="272">
      <c r="A272" s="39">
        <f>IF(B272="","","WIR-"&amp;TEXT(ROW()-4,"0000"))</f>
        <v/>
      </c>
      <c r="B272" s="50" t="n"/>
      <c r="C272" s="49">
        <f>IF(B272="","",IFERROR(INDEX('المشروعات'!$B$5:$B$304,MATCH(B272,'المشروعات'!$A$5:$A$304,0)),""))</f>
        <v/>
      </c>
      <c r="D272" s="40" t="n"/>
      <c r="E272" s="40" t="n"/>
      <c r="F272" s="40" t="n"/>
      <c r="G272" s="40" t="n"/>
      <c r="H272" s="47" t="n"/>
      <c r="I272" s="47" t="n"/>
      <c r="J272" s="40" t="n"/>
      <c r="K272" s="49">
        <f>IF(B272="","",IF(J272="","بانتظار الفحص",J272))</f>
        <v/>
      </c>
      <c r="L272" s="40" t="n"/>
    </row>
    <row r="273">
      <c r="A273" s="39">
        <f>IF(B273="","","WIR-"&amp;TEXT(ROW()-4,"0000"))</f>
        <v/>
      </c>
      <c r="B273" s="50" t="n"/>
      <c r="C273" s="49">
        <f>IF(B273="","",IFERROR(INDEX('المشروعات'!$B$5:$B$304,MATCH(B273,'المشروعات'!$A$5:$A$304,0)),""))</f>
        <v/>
      </c>
      <c r="D273" s="40" t="n"/>
      <c r="E273" s="40" t="n"/>
      <c r="F273" s="40" t="n"/>
      <c r="G273" s="40" t="n"/>
      <c r="H273" s="47" t="n"/>
      <c r="I273" s="47" t="n"/>
      <c r="J273" s="40" t="n"/>
      <c r="K273" s="49">
        <f>IF(B273="","",IF(J273="","بانتظار الفحص",J273))</f>
        <v/>
      </c>
      <c r="L273" s="40" t="n"/>
    </row>
    <row r="274">
      <c r="A274" s="39">
        <f>IF(B274="","","WIR-"&amp;TEXT(ROW()-4,"0000"))</f>
        <v/>
      </c>
      <c r="B274" s="50" t="n"/>
      <c r="C274" s="49">
        <f>IF(B274="","",IFERROR(INDEX('المشروعات'!$B$5:$B$304,MATCH(B274,'المشروعات'!$A$5:$A$304,0)),""))</f>
        <v/>
      </c>
      <c r="D274" s="40" t="n"/>
      <c r="E274" s="40" t="n"/>
      <c r="F274" s="40" t="n"/>
      <c r="G274" s="40" t="n"/>
      <c r="H274" s="47" t="n"/>
      <c r="I274" s="47" t="n"/>
      <c r="J274" s="40" t="n"/>
      <c r="K274" s="49">
        <f>IF(B274="","",IF(J274="","بانتظار الفحص",J274))</f>
        <v/>
      </c>
      <c r="L274" s="40" t="n"/>
    </row>
    <row r="275">
      <c r="A275" s="39">
        <f>IF(B275="","","WIR-"&amp;TEXT(ROW()-4,"0000"))</f>
        <v/>
      </c>
      <c r="B275" s="50" t="n"/>
      <c r="C275" s="49">
        <f>IF(B275="","",IFERROR(INDEX('المشروعات'!$B$5:$B$304,MATCH(B275,'المشروعات'!$A$5:$A$304,0)),""))</f>
        <v/>
      </c>
      <c r="D275" s="40" t="n"/>
      <c r="E275" s="40" t="n"/>
      <c r="F275" s="40" t="n"/>
      <c r="G275" s="40" t="n"/>
      <c r="H275" s="47" t="n"/>
      <c r="I275" s="47" t="n"/>
      <c r="J275" s="40" t="n"/>
      <c r="K275" s="49">
        <f>IF(B275="","",IF(J275="","بانتظار الفحص",J275))</f>
        <v/>
      </c>
      <c r="L275" s="40" t="n"/>
    </row>
    <row r="276">
      <c r="A276" s="39">
        <f>IF(B276="","","WIR-"&amp;TEXT(ROW()-4,"0000"))</f>
        <v/>
      </c>
      <c r="B276" s="50" t="n"/>
      <c r="C276" s="49">
        <f>IF(B276="","",IFERROR(INDEX('المشروعات'!$B$5:$B$304,MATCH(B276,'المشروعات'!$A$5:$A$304,0)),""))</f>
        <v/>
      </c>
      <c r="D276" s="40" t="n"/>
      <c r="E276" s="40" t="n"/>
      <c r="F276" s="40" t="n"/>
      <c r="G276" s="40" t="n"/>
      <c r="H276" s="47" t="n"/>
      <c r="I276" s="47" t="n"/>
      <c r="J276" s="40" t="n"/>
      <c r="K276" s="49">
        <f>IF(B276="","",IF(J276="","بانتظار الفحص",J276))</f>
        <v/>
      </c>
      <c r="L276" s="40" t="n"/>
    </row>
    <row r="277">
      <c r="A277" s="39">
        <f>IF(B277="","","WIR-"&amp;TEXT(ROW()-4,"0000"))</f>
        <v/>
      </c>
      <c r="B277" s="50" t="n"/>
      <c r="C277" s="49">
        <f>IF(B277="","",IFERROR(INDEX('المشروعات'!$B$5:$B$304,MATCH(B277,'المشروعات'!$A$5:$A$304,0)),""))</f>
        <v/>
      </c>
      <c r="D277" s="40" t="n"/>
      <c r="E277" s="40" t="n"/>
      <c r="F277" s="40" t="n"/>
      <c r="G277" s="40" t="n"/>
      <c r="H277" s="47" t="n"/>
      <c r="I277" s="47" t="n"/>
      <c r="J277" s="40" t="n"/>
      <c r="K277" s="49">
        <f>IF(B277="","",IF(J277="","بانتظار الفحص",J277))</f>
        <v/>
      </c>
      <c r="L277" s="40" t="n"/>
    </row>
    <row r="278">
      <c r="A278" s="39">
        <f>IF(B278="","","WIR-"&amp;TEXT(ROW()-4,"0000"))</f>
        <v/>
      </c>
      <c r="B278" s="50" t="n"/>
      <c r="C278" s="49">
        <f>IF(B278="","",IFERROR(INDEX('المشروعات'!$B$5:$B$304,MATCH(B278,'المشروعات'!$A$5:$A$304,0)),""))</f>
        <v/>
      </c>
      <c r="D278" s="40" t="n"/>
      <c r="E278" s="40" t="n"/>
      <c r="F278" s="40" t="n"/>
      <c r="G278" s="40" t="n"/>
      <c r="H278" s="47" t="n"/>
      <c r="I278" s="47" t="n"/>
      <c r="J278" s="40" t="n"/>
      <c r="K278" s="49">
        <f>IF(B278="","",IF(J278="","بانتظار الفحص",J278))</f>
        <v/>
      </c>
      <c r="L278" s="40" t="n"/>
    </row>
    <row r="279">
      <c r="A279" s="39">
        <f>IF(B279="","","WIR-"&amp;TEXT(ROW()-4,"0000"))</f>
        <v/>
      </c>
      <c r="B279" s="50" t="n"/>
      <c r="C279" s="49">
        <f>IF(B279="","",IFERROR(INDEX('المشروعات'!$B$5:$B$304,MATCH(B279,'المشروعات'!$A$5:$A$304,0)),""))</f>
        <v/>
      </c>
      <c r="D279" s="40" t="n"/>
      <c r="E279" s="40" t="n"/>
      <c r="F279" s="40" t="n"/>
      <c r="G279" s="40" t="n"/>
      <c r="H279" s="47" t="n"/>
      <c r="I279" s="47" t="n"/>
      <c r="J279" s="40" t="n"/>
      <c r="K279" s="49">
        <f>IF(B279="","",IF(J279="","بانتظار الفحص",J279))</f>
        <v/>
      </c>
      <c r="L279" s="40" t="n"/>
    </row>
    <row r="280">
      <c r="A280" s="39">
        <f>IF(B280="","","WIR-"&amp;TEXT(ROW()-4,"0000"))</f>
        <v/>
      </c>
      <c r="B280" s="50" t="n"/>
      <c r="C280" s="49">
        <f>IF(B280="","",IFERROR(INDEX('المشروعات'!$B$5:$B$304,MATCH(B280,'المشروعات'!$A$5:$A$304,0)),""))</f>
        <v/>
      </c>
      <c r="D280" s="40" t="n"/>
      <c r="E280" s="40" t="n"/>
      <c r="F280" s="40" t="n"/>
      <c r="G280" s="40" t="n"/>
      <c r="H280" s="47" t="n"/>
      <c r="I280" s="47" t="n"/>
      <c r="J280" s="40" t="n"/>
      <c r="K280" s="49">
        <f>IF(B280="","",IF(J280="","بانتظار الفحص",J280))</f>
        <v/>
      </c>
      <c r="L280" s="40" t="n"/>
    </row>
    <row r="281">
      <c r="A281" s="39">
        <f>IF(B281="","","WIR-"&amp;TEXT(ROW()-4,"0000"))</f>
        <v/>
      </c>
      <c r="B281" s="50" t="n"/>
      <c r="C281" s="49">
        <f>IF(B281="","",IFERROR(INDEX('المشروعات'!$B$5:$B$304,MATCH(B281,'المشروعات'!$A$5:$A$304,0)),""))</f>
        <v/>
      </c>
      <c r="D281" s="40" t="n"/>
      <c r="E281" s="40" t="n"/>
      <c r="F281" s="40" t="n"/>
      <c r="G281" s="40" t="n"/>
      <c r="H281" s="47" t="n"/>
      <c r="I281" s="47" t="n"/>
      <c r="J281" s="40" t="n"/>
      <c r="K281" s="49">
        <f>IF(B281="","",IF(J281="","بانتظار الفحص",J281))</f>
        <v/>
      </c>
      <c r="L281" s="40" t="n"/>
    </row>
    <row r="282">
      <c r="A282" s="39">
        <f>IF(B282="","","WIR-"&amp;TEXT(ROW()-4,"0000"))</f>
        <v/>
      </c>
      <c r="B282" s="50" t="n"/>
      <c r="C282" s="49">
        <f>IF(B282="","",IFERROR(INDEX('المشروعات'!$B$5:$B$304,MATCH(B282,'المشروعات'!$A$5:$A$304,0)),""))</f>
        <v/>
      </c>
      <c r="D282" s="40" t="n"/>
      <c r="E282" s="40" t="n"/>
      <c r="F282" s="40" t="n"/>
      <c r="G282" s="40" t="n"/>
      <c r="H282" s="47" t="n"/>
      <c r="I282" s="47" t="n"/>
      <c r="J282" s="40" t="n"/>
      <c r="K282" s="49">
        <f>IF(B282="","",IF(J282="","بانتظار الفحص",J282))</f>
        <v/>
      </c>
      <c r="L282" s="40" t="n"/>
    </row>
    <row r="283">
      <c r="A283" s="39">
        <f>IF(B283="","","WIR-"&amp;TEXT(ROW()-4,"0000"))</f>
        <v/>
      </c>
      <c r="B283" s="50" t="n"/>
      <c r="C283" s="49">
        <f>IF(B283="","",IFERROR(INDEX('المشروعات'!$B$5:$B$304,MATCH(B283,'المشروعات'!$A$5:$A$304,0)),""))</f>
        <v/>
      </c>
      <c r="D283" s="40" t="n"/>
      <c r="E283" s="40" t="n"/>
      <c r="F283" s="40" t="n"/>
      <c r="G283" s="40" t="n"/>
      <c r="H283" s="47" t="n"/>
      <c r="I283" s="47" t="n"/>
      <c r="J283" s="40" t="n"/>
      <c r="K283" s="49">
        <f>IF(B283="","",IF(J283="","بانتظار الفحص",J283))</f>
        <v/>
      </c>
      <c r="L283" s="40" t="n"/>
    </row>
    <row r="284">
      <c r="A284" s="39">
        <f>IF(B284="","","WIR-"&amp;TEXT(ROW()-4,"0000"))</f>
        <v/>
      </c>
      <c r="B284" s="50" t="n"/>
      <c r="C284" s="49">
        <f>IF(B284="","",IFERROR(INDEX('المشروعات'!$B$5:$B$304,MATCH(B284,'المشروعات'!$A$5:$A$304,0)),""))</f>
        <v/>
      </c>
      <c r="D284" s="40" t="n"/>
      <c r="E284" s="40" t="n"/>
      <c r="F284" s="40" t="n"/>
      <c r="G284" s="40" t="n"/>
      <c r="H284" s="47" t="n"/>
      <c r="I284" s="47" t="n"/>
      <c r="J284" s="40" t="n"/>
      <c r="K284" s="49">
        <f>IF(B284="","",IF(J284="","بانتظار الفحص",J284))</f>
        <v/>
      </c>
      <c r="L284" s="40" t="n"/>
    </row>
    <row r="285">
      <c r="A285" s="39">
        <f>IF(B285="","","WIR-"&amp;TEXT(ROW()-4,"0000"))</f>
        <v/>
      </c>
      <c r="B285" s="50" t="n"/>
      <c r="C285" s="49">
        <f>IF(B285="","",IFERROR(INDEX('المشروعات'!$B$5:$B$304,MATCH(B285,'المشروعات'!$A$5:$A$304,0)),""))</f>
        <v/>
      </c>
      <c r="D285" s="40" t="n"/>
      <c r="E285" s="40" t="n"/>
      <c r="F285" s="40" t="n"/>
      <c r="G285" s="40" t="n"/>
      <c r="H285" s="47" t="n"/>
      <c r="I285" s="47" t="n"/>
      <c r="J285" s="40" t="n"/>
      <c r="K285" s="49">
        <f>IF(B285="","",IF(J285="","بانتظار الفحص",J285))</f>
        <v/>
      </c>
      <c r="L285" s="40" t="n"/>
    </row>
    <row r="286">
      <c r="A286" s="39">
        <f>IF(B286="","","WIR-"&amp;TEXT(ROW()-4,"0000"))</f>
        <v/>
      </c>
      <c r="B286" s="50" t="n"/>
      <c r="C286" s="49">
        <f>IF(B286="","",IFERROR(INDEX('المشروعات'!$B$5:$B$304,MATCH(B286,'المشروعات'!$A$5:$A$304,0)),""))</f>
        <v/>
      </c>
      <c r="D286" s="40" t="n"/>
      <c r="E286" s="40" t="n"/>
      <c r="F286" s="40" t="n"/>
      <c r="G286" s="40" t="n"/>
      <c r="H286" s="47" t="n"/>
      <c r="I286" s="47" t="n"/>
      <c r="J286" s="40" t="n"/>
      <c r="K286" s="49">
        <f>IF(B286="","",IF(J286="","بانتظار الفحص",J286))</f>
        <v/>
      </c>
      <c r="L286" s="40" t="n"/>
    </row>
    <row r="287">
      <c r="A287" s="39">
        <f>IF(B287="","","WIR-"&amp;TEXT(ROW()-4,"0000"))</f>
        <v/>
      </c>
      <c r="B287" s="50" t="n"/>
      <c r="C287" s="49">
        <f>IF(B287="","",IFERROR(INDEX('المشروعات'!$B$5:$B$304,MATCH(B287,'المشروعات'!$A$5:$A$304,0)),""))</f>
        <v/>
      </c>
      <c r="D287" s="40" t="n"/>
      <c r="E287" s="40" t="n"/>
      <c r="F287" s="40" t="n"/>
      <c r="G287" s="40" t="n"/>
      <c r="H287" s="47" t="n"/>
      <c r="I287" s="47" t="n"/>
      <c r="J287" s="40" t="n"/>
      <c r="K287" s="49">
        <f>IF(B287="","",IF(J287="","بانتظار الفحص",J287))</f>
        <v/>
      </c>
      <c r="L287" s="40" t="n"/>
    </row>
    <row r="288">
      <c r="A288" s="39">
        <f>IF(B288="","","WIR-"&amp;TEXT(ROW()-4,"0000"))</f>
        <v/>
      </c>
      <c r="B288" s="50" t="n"/>
      <c r="C288" s="49">
        <f>IF(B288="","",IFERROR(INDEX('المشروعات'!$B$5:$B$304,MATCH(B288,'المشروعات'!$A$5:$A$304,0)),""))</f>
        <v/>
      </c>
      <c r="D288" s="40" t="n"/>
      <c r="E288" s="40" t="n"/>
      <c r="F288" s="40" t="n"/>
      <c r="G288" s="40" t="n"/>
      <c r="H288" s="47" t="n"/>
      <c r="I288" s="47" t="n"/>
      <c r="J288" s="40" t="n"/>
      <c r="K288" s="49">
        <f>IF(B288="","",IF(J288="","بانتظار الفحص",J288))</f>
        <v/>
      </c>
      <c r="L288" s="40" t="n"/>
    </row>
    <row r="289">
      <c r="A289" s="39">
        <f>IF(B289="","","WIR-"&amp;TEXT(ROW()-4,"0000"))</f>
        <v/>
      </c>
      <c r="B289" s="50" t="n"/>
      <c r="C289" s="49">
        <f>IF(B289="","",IFERROR(INDEX('المشروعات'!$B$5:$B$304,MATCH(B289,'المشروعات'!$A$5:$A$304,0)),""))</f>
        <v/>
      </c>
      <c r="D289" s="40" t="n"/>
      <c r="E289" s="40" t="n"/>
      <c r="F289" s="40" t="n"/>
      <c r="G289" s="40" t="n"/>
      <c r="H289" s="47" t="n"/>
      <c r="I289" s="47" t="n"/>
      <c r="J289" s="40" t="n"/>
      <c r="K289" s="49">
        <f>IF(B289="","",IF(J289="","بانتظار الفحص",J289))</f>
        <v/>
      </c>
      <c r="L289" s="40" t="n"/>
    </row>
    <row r="290">
      <c r="A290" s="39">
        <f>IF(B290="","","WIR-"&amp;TEXT(ROW()-4,"0000"))</f>
        <v/>
      </c>
      <c r="B290" s="50" t="n"/>
      <c r="C290" s="49">
        <f>IF(B290="","",IFERROR(INDEX('المشروعات'!$B$5:$B$304,MATCH(B290,'المشروعات'!$A$5:$A$304,0)),""))</f>
        <v/>
      </c>
      <c r="D290" s="40" t="n"/>
      <c r="E290" s="40" t="n"/>
      <c r="F290" s="40" t="n"/>
      <c r="G290" s="40" t="n"/>
      <c r="H290" s="47" t="n"/>
      <c r="I290" s="47" t="n"/>
      <c r="J290" s="40" t="n"/>
      <c r="K290" s="49">
        <f>IF(B290="","",IF(J290="","بانتظار الفحص",J290))</f>
        <v/>
      </c>
      <c r="L290" s="40" t="n"/>
    </row>
    <row r="291">
      <c r="A291" s="39">
        <f>IF(B291="","","WIR-"&amp;TEXT(ROW()-4,"0000"))</f>
        <v/>
      </c>
      <c r="B291" s="50" t="n"/>
      <c r="C291" s="49">
        <f>IF(B291="","",IFERROR(INDEX('المشروعات'!$B$5:$B$304,MATCH(B291,'المشروعات'!$A$5:$A$304,0)),""))</f>
        <v/>
      </c>
      <c r="D291" s="40" t="n"/>
      <c r="E291" s="40" t="n"/>
      <c r="F291" s="40" t="n"/>
      <c r="G291" s="40" t="n"/>
      <c r="H291" s="47" t="n"/>
      <c r="I291" s="47" t="n"/>
      <c r="J291" s="40" t="n"/>
      <c r="K291" s="49">
        <f>IF(B291="","",IF(J291="","بانتظار الفحص",J291))</f>
        <v/>
      </c>
      <c r="L291" s="40" t="n"/>
    </row>
    <row r="292">
      <c r="A292" s="39">
        <f>IF(B292="","","WIR-"&amp;TEXT(ROW()-4,"0000"))</f>
        <v/>
      </c>
      <c r="B292" s="50" t="n"/>
      <c r="C292" s="49">
        <f>IF(B292="","",IFERROR(INDEX('المشروعات'!$B$5:$B$304,MATCH(B292,'المشروعات'!$A$5:$A$304,0)),""))</f>
        <v/>
      </c>
      <c r="D292" s="40" t="n"/>
      <c r="E292" s="40" t="n"/>
      <c r="F292" s="40" t="n"/>
      <c r="G292" s="40" t="n"/>
      <c r="H292" s="47" t="n"/>
      <c r="I292" s="47" t="n"/>
      <c r="J292" s="40" t="n"/>
      <c r="K292" s="49">
        <f>IF(B292="","",IF(J292="","بانتظار الفحص",J292))</f>
        <v/>
      </c>
      <c r="L292" s="40" t="n"/>
    </row>
    <row r="293">
      <c r="A293" s="39">
        <f>IF(B293="","","WIR-"&amp;TEXT(ROW()-4,"0000"))</f>
        <v/>
      </c>
      <c r="B293" s="50" t="n"/>
      <c r="C293" s="49">
        <f>IF(B293="","",IFERROR(INDEX('المشروعات'!$B$5:$B$304,MATCH(B293,'المشروعات'!$A$5:$A$304,0)),""))</f>
        <v/>
      </c>
      <c r="D293" s="40" t="n"/>
      <c r="E293" s="40" t="n"/>
      <c r="F293" s="40" t="n"/>
      <c r="G293" s="40" t="n"/>
      <c r="H293" s="47" t="n"/>
      <c r="I293" s="47" t="n"/>
      <c r="J293" s="40" t="n"/>
      <c r="K293" s="49">
        <f>IF(B293="","",IF(J293="","بانتظار الفحص",J293))</f>
        <v/>
      </c>
      <c r="L293" s="40" t="n"/>
    </row>
    <row r="294">
      <c r="A294" s="39">
        <f>IF(B294="","","WIR-"&amp;TEXT(ROW()-4,"0000"))</f>
        <v/>
      </c>
      <c r="B294" s="50" t="n"/>
      <c r="C294" s="49">
        <f>IF(B294="","",IFERROR(INDEX('المشروعات'!$B$5:$B$304,MATCH(B294,'المشروعات'!$A$5:$A$304,0)),""))</f>
        <v/>
      </c>
      <c r="D294" s="40" t="n"/>
      <c r="E294" s="40" t="n"/>
      <c r="F294" s="40" t="n"/>
      <c r="G294" s="40" t="n"/>
      <c r="H294" s="47" t="n"/>
      <c r="I294" s="47" t="n"/>
      <c r="J294" s="40" t="n"/>
      <c r="K294" s="49">
        <f>IF(B294="","",IF(J294="","بانتظار الفحص",J294))</f>
        <v/>
      </c>
      <c r="L294" s="40" t="n"/>
    </row>
    <row r="295">
      <c r="A295" s="39">
        <f>IF(B295="","","WIR-"&amp;TEXT(ROW()-4,"0000"))</f>
        <v/>
      </c>
      <c r="B295" s="50" t="n"/>
      <c r="C295" s="49">
        <f>IF(B295="","",IFERROR(INDEX('المشروعات'!$B$5:$B$304,MATCH(B295,'المشروعات'!$A$5:$A$304,0)),""))</f>
        <v/>
      </c>
      <c r="D295" s="40" t="n"/>
      <c r="E295" s="40" t="n"/>
      <c r="F295" s="40" t="n"/>
      <c r="G295" s="40" t="n"/>
      <c r="H295" s="47" t="n"/>
      <c r="I295" s="47" t="n"/>
      <c r="J295" s="40" t="n"/>
      <c r="K295" s="49">
        <f>IF(B295="","",IF(J295="","بانتظار الفحص",J295))</f>
        <v/>
      </c>
      <c r="L295" s="40" t="n"/>
    </row>
    <row r="296">
      <c r="A296" s="39">
        <f>IF(B296="","","WIR-"&amp;TEXT(ROW()-4,"0000"))</f>
        <v/>
      </c>
      <c r="B296" s="50" t="n"/>
      <c r="C296" s="49">
        <f>IF(B296="","",IFERROR(INDEX('المشروعات'!$B$5:$B$304,MATCH(B296,'المشروعات'!$A$5:$A$304,0)),""))</f>
        <v/>
      </c>
      <c r="D296" s="40" t="n"/>
      <c r="E296" s="40" t="n"/>
      <c r="F296" s="40" t="n"/>
      <c r="G296" s="40" t="n"/>
      <c r="H296" s="47" t="n"/>
      <c r="I296" s="47" t="n"/>
      <c r="J296" s="40" t="n"/>
      <c r="K296" s="49">
        <f>IF(B296="","",IF(J296="","بانتظار الفحص",J296))</f>
        <v/>
      </c>
      <c r="L296" s="40" t="n"/>
    </row>
    <row r="297">
      <c r="A297" s="39">
        <f>IF(B297="","","WIR-"&amp;TEXT(ROW()-4,"0000"))</f>
        <v/>
      </c>
      <c r="B297" s="50" t="n"/>
      <c r="C297" s="49">
        <f>IF(B297="","",IFERROR(INDEX('المشروعات'!$B$5:$B$304,MATCH(B297,'المشروعات'!$A$5:$A$304,0)),""))</f>
        <v/>
      </c>
      <c r="D297" s="40" t="n"/>
      <c r="E297" s="40" t="n"/>
      <c r="F297" s="40" t="n"/>
      <c r="G297" s="40" t="n"/>
      <c r="H297" s="47" t="n"/>
      <c r="I297" s="47" t="n"/>
      <c r="J297" s="40" t="n"/>
      <c r="K297" s="49">
        <f>IF(B297="","",IF(J297="","بانتظار الفحص",J297))</f>
        <v/>
      </c>
      <c r="L297" s="40" t="n"/>
    </row>
    <row r="298">
      <c r="A298" s="39">
        <f>IF(B298="","","WIR-"&amp;TEXT(ROW()-4,"0000"))</f>
        <v/>
      </c>
      <c r="B298" s="50" t="n"/>
      <c r="C298" s="49">
        <f>IF(B298="","",IFERROR(INDEX('المشروعات'!$B$5:$B$304,MATCH(B298,'المشروعات'!$A$5:$A$304,0)),""))</f>
        <v/>
      </c>
      <c r="D298" s="40" t="n"/>
      <c r="E298" s="40" t="n"/>
      <c r="F298" s="40" t="n"/>
      <c r="G298" s="40" t="n"/>
      <c r="H298" s="47" t="n"/>
      <c r="I298" s="47" t="n"/>
      <c r="J298" s="40" t="n"/>
      <c r="K298" s="49">
        <f>IF(B298="","",IF(J298="","بانتظار الفحص",J298))</f>
        <v/>
      </c>
      <c r="L298" s="40" t="n"/>
    </row>
    <row r="299">
      <c r="A299" s="39">
        <f>IF(B299="","","WIR-"&amp;TEXT(ROW()-4,"0000"))</f>
        <v/>
      </c>
      <c r="B299" s="50" t="n"/>
      <c r="C299" s="49">
        <f>IF(B299="","",IFERROR(INDEX('المشروعات'!$B$5:$B$304,MATCH(B299,'المشروعات'!$A$5:$A$304,0)),""))</f>
        <v/>
      </c>
      <c r="D299" s="40" t="n"/>
      <c r="E299" s="40" t="n"/>
      <c r="F299" s="40" t="n"/>
      <c r="G299" s="40" t="n"/>
      <c r="H299" s="47" t="n"/>
      <c r="I299" s="47" t="n"/>
      <c r="J299" s="40" t="n"/>
      <c r="K299" s="49">
        <f>IF(B299="","",IF(J299="","بانتظار الفحص",J299))</f>
        <v/>
      </c>
      <c r="L299" s="40" t="n"/>
    </row>
    <row r="300">
      <c r="A300" s="39">
        <f>IF(B300="","","WIR-"&amp;TEXT(ROW()-4,"0000"))</f>
        <v/>
      </c>
      <c r="B300" s="50" t="n"/>
      <c r="C300" s="49">
        <f>IF(B300="","",IFERROR(INDEX('المشروعات'!$B$5:$B$304,MATCH(B300,'المشروعات'!$A$5:$A$304,0)),""))</f>
        <v/>
      </c>
      <c r="D300" s="40" t="n"/>
      <c r="E300" s="40" t="n"/>
      <c r="F300" s="40" t="n"/>
      <c r="G300" s="40" t="n"/>
      <c r="H300" s="47" t="n"/>
      <c r="I300" s="47" t="n"/>
      <c r="J300" s="40" t="n"/>
      <c r="K300" s="49">
        <f>IF(B300="","",IF(J300="","بانتظار الفحص",J300))</f>
        <v/>
      </c>
      <c r="L300" s="40" t="n"/>
    </row>
    <row r="301">
      <c r="A301" s="39">
        <f>IF(B301="","","WIR-"&amp;TEXT(ROW()-4,"0000"))</f>
        <v/>
      </c>
      <c r="B301" s="50" t="n"/>
      <c r="C301" s="49">
        <f>IF(B301="","",IFERROR(INDEX('المشروعات'!$B$5:$B$304,MATCH(B301,'المشروعات'!$A$5:$A$304,0)),""))</f>
        <v/>
      </c>
      <c r="D301" s="40" t="n"/>
      <c r="E301" s="40" t="n"/>
      <c r="F301" s="40" t="n"/>
      <c r="G301" s="40" t="n"/>
      <c r="H301" s="47" t="n"/>
      <c r="I301" s="47" t="n"/>
      <c r="J301" s="40" t="n"/>
      <c r="K301" s="49">
        <f>IF(B301="","",IF(J301="","بانتظار الفحص",J301))</f>
        <v/>
      </c>
      <c r="L301" s="40" t="n"/>
    </row>
    <row r="302">
      <c r="A302" s="39">
        <f>IF(B302="","","WIR-"&amp;TEXT(ROW()-4,"0000"))</f>
        <v/>
      </c>
      <c r="B302" s="50" t="n"/>
      <c r="C302" s="49">
        <f>IF(B302="","",IFERROR(INDEX('المشروعات'!$B$5:$B$304,MATCH(B302,'المشروعات'!$A$5:$A$304,0)),""))</f>
        <v/>
      </c>
      <c r="D302" s="40" t="n"/>
      <c r="E302" s="40" t="n"/>
      <c r="F302" s="40" t="n"/>
      <c r="G302" s="40" t="n"/>
      <c r="H302" s="47" t="n"/>
      <c r="I302" s="47" t="n"/>
      <c r="J302" s="40" t="n"/>
      <c r="K302" s="49">
        <f>IF(B302="","",IF(J302="","بانتظار الفحص",J302))</f>
        <v/>
      </c>
      <c r="L302" s="40" t="n"/>
    </row>
    <row r="303">
      <c r="A303" s="39">
        <f>IF(B303="","","WIR-"&amp;TEXT(ROW()-4,"0000"))</f>
        <v/>
      </c>
      <c r="B303" s="50" t="n"/>
      <c r="C303" s="49">
        <f>IF(B303="","",IFERROR(INDEX('المشروعات'!$B$5:$B$304,MATCH(B303,'المشروعات'!$A$5:$A$304,0)),""))</f>
        <v/>
      </c>
      <c r="D303" s="40" t="n"/>
      <c r="E303" s="40" t="n"/>
      <c r="F303" s="40" t="n"/>
      <c r="G303" s="40" t="n"/>
      <c r="H303" s="47" t="n"/>
      <c r="I303" s="47" t="n"/>
      <c r="J303" s="40" t="n"/>
      <c r="K303" s="49">
        <f>IF(B303="","",IF(J303="","بانتظار الفحص",J303))</f>
        <v/>
      </c>
      <c r="L303" s="40" t="n"/>
    </row>
    <row r="304">
      <c r="A304" s="39">
        <f>IF(B304="","","WIR-"&amp;TEXT(ROW()-4,"0000"))</f>
        <v/>
      </c>
      <c r="B304" s="50" t="n"/>
      <c r="C304" s="49">
        <f>IF(B304="","",IFERROR(INDEX('المشروعات'!$B$5:$B$304,MATCH(B304,'المشروعات'!$A$5:$A$304,0)),""))</f>
        <v/>
      </c>
      <c r="D304" s="40" t="n"/>
      <c r="E304" s="40" t="n"/>
      <c r="F304" s="40" t="n"/>
      <c r="G304" s="40" t="n"/>
      <c r="H304" s="47" t="n"/>
      <c r="I304" s="47" t="n"/>
      <c r="J304" s="40" t="n"/>
      <c r="K304" s="49">
        <f>IF(B304="","",IF(J304="","بانتظار الفحص",J304))</f>
        <v/>
      </c>
      <c r="L304" s="40" t="n"/>
    </row>
  </sheetData>
  <autoFilter ref="A4:L304"/>
  <mergeCells count="2">
    <mergeCell ref="A2:L2"/>
    <mergeCell ref="A1:L1"/>
  </mergeCells>
  <conditionalFormatting sqref="J5:J304">
    <cfRule type="expression" priority="1" dxfId="0" stopIfTrue="1">
      <formula>OR(ISNUMBER(SEARCH("متأخر",J5)),ISNUMBER(SEARCH("مرفوض",J5)),ISNUMBER(SEARCH("غير معتمدة",J5)),ISNUMBER(SEARCH("غير محصّل",J5)),ISNUMBER(SEARCH("سالب",J5)),ISNUMBER(SEARCH("أكثر من الرصيد",J5)),ISNUMBER(SEARCH("بتحفظات",J5)))</formula>
    </cfRule>
    <cfRule type="expression" priority="2" dxfId="1" stopIfTrue="1">
      <formula>OR(ISNUMBER(SEARCH("قيد",J5)),ISNUMBER(SEARCH("جزئي",J5)),ISNUMBER(SEARCH("بانتظار",J5)),ISNUMBER(SEARCH("مفتوح",J5)),ISNUMBER(SEARCH("أعد الطلب",J5)),ISNUMBER(SEARCH("لم يُورد",J5)),ISNUMBER(SEARCH("فترة الضمان",J5)),ISNUMBER(SEARCH("مُقدم",J5)))</formula>
    </cfRule>
    <cfRule type="expression" priority="3" dxfId="2" stopIfTrue="1">
      <formula>OR(ISNUMBER(SEARCH("معتمد",J5)),ISNUMBER(SEARCH("مقبول",J5)),ISNUMBER(SEARCH("مكتمل",J5)),ISNUMBER(SEARCH("مغلق",J5)),ISNUMBER(SEARCH("بالكامل",J5)),ISNUMBER(SEARCH("مسلّم",J5)),ISNUMBER(SEARCH("كامل",J5)),ISNUMBER(SEARCH("متاح",J5)),ISNUMBER(SEARCH("جاري",J5)))</formula>
    </cfRule>
  </conditionalFormatting>
  <conditionalFormatting sqref="K5:K304">
    <cfRule type="expression" priority="4" dxfId="0" stopIfTrue="1">
      <formula>OR(ISNUMBER(SEARCH("متأخر",K5)),ISNUMBER(SEARCH("مرفوض",K5)),ISNUMBER(SEARCH("غير معتمدة",K5)),ISNUMBER(SEARCH("غير محصّل",K5)),ISNUMBER(SEARCH("سالب",K5)),ISNUMBER(SEARCH("أكثر من الرصيد",K5)),ISNUMBER(SEARCH("بتحفظات",K5)))</formula>
    </cfRule>
    <cfRule type="expression" priority="5" dxfId="1" stopIfTrue="1">
      <formula>OR(ISNUMBER(SEARCH("قيد",K5)),ISNUMBER(SEARCH("جزئي",K5)),ISNUMBER(SEARCH("بانتظار",K5)),ISNUMBER(SEARCH("مفتوح",K5)),ISNUMBER(SEARCH("أعد الطلب",K5)),ISNUMBER(SEARCH("لم يُورد",K5)),ISNUMBER(SEARCH("فترة الضمان",K5)),ISNUMBER(SEARCH("مُقدم",K5)))</formula>
    </cfRule>
    <cfRule type="expression" priority="6" dxfId="2" stopIfTrue="1">
      <formula>OR(ISNUMBER(SEARCH("معتمد",K5)),ISNUMBER(SEARCH("مقبول",K5)),ISNUMBER(SEARCH("مكتمل",K5)),ISNUMBER(SEARCH("مغلق",K5)),ISNUMBER(SEARCH("بالكامل",K5)),ISNUMBER(SEARCH("مسلّم",K5)),ISNUMBER(SEARCH("كامل",K5)),ISNUMBER(SEARCH("متاح",K5)),ISNUMBER(SEARCH("جاري",K5)))</formula>
    </cfRule>
  </conditionalFormatting>
  <dataValidations count="5">
    <dataValidation sqref="B5:B304" showDropDown="0" showInputMessage="0" showErrorMessage="1" allowBlank="1" errorTitle="قيمة غير صحيحة" error="اختر من القائمة المنسدلة فقط" type="list">
      <formula1>=L_Proj</formula1>
    </dataValidation>
    <dataValidation sqref="D5:D304" showDropDown="0" showInputMessage="0" showErrorMessage="1" allowBlank="1" errorTitle="قيمة غير صحيحة" error="اختر من القائمة المنسدلة فقط" type="list">
      <formula1>=L_Disc</formula1>
    </dataValidation>
    <dataValidation sqref="H5:H304" showDropDown="0" showInputMessage="0" showErrorMessage="1" allowBlank="1" errorTitle="تاريخ" error="أدخل تاريخاً صحيحاً" type="date" operator="between">
      <formula1>DATE(2000,1,1)</formula1>
      <formula2>DATE(2100,12,31)</formula2>
    </dataValidation>
    <dataValidation sqref="I5:I304" showDropDown="0" showInputMessage="0" showErrorMessage="1" allowBlank="1" errorTitle="تاريخ" error="أدخل تاريخاً صحيحاً" type="date" operator="between">
      <formula1>DATE(2000,1,1)</formula1>
      <formula2>DATE(2100,12,31)</formula2>
    </dataValidation>
    <dataValidation sqref="J5:J304" showDropDown="0" showInputMessage="0" showErrorMessage="1" allowBlank="1" errorTitle="قيمة غير صحيحة" error="اختر من القائمة المنسدلة فقط" type="list">
      <formula1>=L_WIRRes</formula1>
    </dataValidation>
  </dataValidations>
  <hyperlinks>
    <hyperlink xmlns:r="http://schemas.openxmlformats.org/officeDocument/2006/relationships" ref="A3" r:id="rId1"/>
  </hyperlinks>
  <printOptions horizontalCentered="1"/>
  <pageMargins left="0.75" right="0.75" top="1" bottom="1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tabColor rgb="007B5EA7"/>
    <outlinePr summaryBelow="1" summaryRight="1"/>
    <pageSetUpPr fitToPage="1"/>
  </sheetPr>
  <dimension ref="A1:M304"/>
  <sheetViews>
    <sheetView showGridLines="0" rightToLeft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20" customWidth="1" min="4" max="4"/>
    <col width="10" customWidth="1" min="5" max="5"/>
    <col width="10" customWidth="1" min="6" max="6"/>
    <col width="30" customWidth="1" min="7" max="7"/>
    <col width="26" customWidth="1" min="8" max="8"/>
    <col width="14" customWidth="1" min="9" max="9"/>
    <col width="12" customWidth="1" min="10" max="10"/>
    <col width="12" customWidth="1" min="11" max="11"/>
    <col width="15" customWidth="1" min="12" max="12"/>
    <col width="9" customWidth="1" min="13" max="13"/>
  </cols>
  <sheetData>
    <row r="1" ht="32" customHeight="1">
      <c r="A1" s="34">
        <f>S_Company&amp;"  |  عدم المطابقة"</f>
        <v/>
      </c>
    </row>
    <row r="2">
      <c r="A2" s="35" t="inlineStr">
        <is>
          <t>تقارير عدم المطابقة NCR (QF-NCR-09)</t>
        </is>
      </c>
    </row>
    <row r="3">
      <c r="A3" s="33" t="inlineStr">
        <is>
          <t>↩ الرئيسية</t>
        </is>
      </c>
      <c r="B3" s="36" t="inlineStr">
        <is>
          <t xml:space="preserve">   ■ أصفر = إدخال يدوي    ■ رمادي = معادلة تلقائية (لا تكتب فيها)    — الصفوف الأولى أمثلة توضيحية؛ احذف قيم الإدخال واستبدلها ببياناتك</t>
        </is>
      </c>
    </row>
    <row r="4" ht="42" customHeight="1">
      <c r="A4" s="37" t="inlineStr">
        <is>
          <t>رقم التقرير</t>
        </is>
      </c>
      <c r="B4" s="38" t="inlineStr">
        <is>
          <t>تاريخ الإصدار</t>
        </is>
      </c>
      <c r="C4" s="38" t="inlineStr">
        <is>
          <t>كود المشروع</t>
        </is>
      </c>
      <c r="D4" s="37" t="inlineStr">
        <is>
          <t>اسم المشروع</t>
        </is>
      </c>
      <c r="E4" s="38" t="inlineStr">
        <is>
          <t>التصنيف</t>
        </is>
      </c>
      <c r="F4" s="38" t="inlineStr">
        <is>
          <t>الخطورة</t>
        </is>
      </c>
      <c r="G4" s="38" t="inlineStr">
        <is>
          <t>وصف عدم المطابقة</t>
        </is>
      </c>
      <c r="H4" s="38" t="inlineStr">
        <is>
          <t>الإجراء التصحيحي</t>
        </is>
      </c>
      <c r="I4" s="38" t="inlineStr">
        <is>
          <t>المسؤول</t>
        </is>
      </c>
      <c r="J4" s="38" t="inlineStr">
        <is>
          <t>تاريخ الإغلاق المستهدف</t>
        </is>
      </c>
      <c r="K4" s="38" t="inlineStr">
        <is>
          <t>تاريخ الإغلاق الفعلي</t>
        </is>
      </c>
      <c r="L4" s="37" t="inlineStr">
        <is>
          <t>الحالة</t>
        </is>
      </c>
      <c r="M4" s="37" t="inlineStr">
        <is>
          <t>العمر (يوم)</t>
        </is>
      </c>
    </row>
    <row r="5">
      <c r="A5" s="39">
        <f>IF(C5="","","NCR-"&amp;TEXT(ROW()-4,"0000"))</f>
        <v/>
      </c>
      <c r="B5" s="47" t="n">
        <v>46063</v>
      </c>
      <c r="C5" s="50" t="inlineStr">
        <is>
          <t>PRJ-001</t>
        </is>
      </c>
      <c r="D5" s="49">
        <f>IF(C5="","",IFERROR(INDEX('المشروعات'!$B$5:$B$304,MATCH(C5,'المشروعات'!$A$5:$A$304,0)),""))</f>
        <v/>
      </c>
      <c r="E5" s="40" t="inlineStr">
        <is>
          <t>تنفيذ</t>
        </is>
      </c>
      <c r="F5" s="40" t="inlineStr">
        <is>
          <t>متوسطة</t>
        </is>
      </c>
      <c r="G5" s="40" t="inlineStr">
        <is>
          <t>تعشيش بعمود C4 الدور الأرضي</t>
        </is>
      </c>
      <c r="H5" s="40" t="inlineStr">
        <is>
          <t>معالجة بمونة إيبوكسي حسب تعليمات الاستشاري</t>
        </is>
      </c>
      <c r="I5" s="40" t="inlineStr">
        <is>
          <t>مهندس الموقع</t>
        </is>
      </c>
      <c r="J5" s="47" t="n">
        <v>46073</v>
      </c>
      <c r="K5" s="47" t="n">
        <v>46071</v>
      </c>
      <c r="L5" s="49">
        <f>IF(C5="","",IF(K5&lt;&gt;"","مغلق",IF(AND(J5&lt;&gt;"",TODAY()&gt;J5),"مفتوح – متأخر","مفتوح")))</f>
        <v/>
      </c>
      <c r="M5" s="48">
        <f>IF(B5="","",IF(K5&lt;&gt;"",K5,TODAY())-B5)</f>
        <v/>
      </c>
    </row>
    <row r="6">
      <c r="A6" s="39">
        <f>IF(C6="","","NCR-"&amp;TEXT(ROW()-4,"0000"))</f>
        <v/>
      </c>
      <c r="B6" s="47" t="n">
        <v>46270</v>
      </c>
      <c r="C6" s="50" t="inlineStr">
        <is>
          <t>PRJ-002</t>
        </is>
      </c>
      <c r="D6" s="49">
        <f>IF(C6="","",IFERROR(INDEX('المشروعات'!$B$5:$B$304,MATCH(C6,'المشروعات'!$A$5:$A$304,0)),""))</f>
        <v/>
      </c>
      <c r="E6" s="40" t="inlineStr">
        <is>
          <t>مواد</t>
        </is>
      </c>
      <c r="F6" s="40" t="inlineStr">
        <is>
          <t>بسيطة</t>
        </is>
      </c>
      <c r="G6" s="40" t="inlineStr">
        <is>
          <t>توريد بلوك بأبعاد غير مطابقة</t>
        </is>
      </c>
      <c r="H6" s="40" t="inlineStr">
        <is>
          <t>إرجاع الشحنة وإخطار المورد</t>
        </is>
      </c>
      <c r="I6" s="40" t="inlineStr">
        <is>
          <t>مسؤول المشتريات</t>
        </is>
      </c>
      <c r="J6" s="47" t="n">
        <v>46280</v>
      </c>
      <c r="K6" s="47" t="n"/>
      <c r="L6" s="49">
        <f>IF(C6="","",IF(K6&lt;&gt;"","مغلق",IF(AND(J6&lt;&gt;"",TODAY()&gt;J6),"مفتوح – متأخر","مفتوح")))</f>
        <v/>
      </c>
      <c r="M6" s="48">
        <f>IF(B6="","",IF(K6&lt;&gt;"",K6,TODAY())-B6)</f>
        <v/>
      </c>
    </row>
    <row r="7">
      <c r="A7" s="39">
        <f>IF(C7="","","NCR-"&amp;TEXT(ROW()-4,"0000"))</f>
        <v/>
      </c>
      <c r="B7" s="47" t="n"/>
      <c r="C7" s="50" t="n"/>
      <c r="D7" s="49">
        <f>IF(C7="","",IFERROR(INDEX('المشروعات'!$B$5:$B$304,MATCH(C7,'المشروعات'!$A$5:$A$304,0)),""))</f>
        <v/>
      </c>
      <c r="E7" s="40" t="n"/>
      <c r="F7" s="40" t="n"/>
      <c r="G7" s="40" t="n"/>
      <c r="H7" s="40" t="n"/>
      <c r="I7" s="40" t="n"/>
      <c r="J7" s="47" t="n"/>
      <c r="K7" s="47" t="n"/>
      <c r="L7" s="49">
        <f>IF(C7="","",IF(K7&lt;&gt;"","مغلق",IF(AND(J7&lt;&gt;"",TODAY()&gt;J7),"مفتوح – متأخر","مفتوح")))</f>
        <v/>
      </c>
      <c r="M7" s="48">
        <f>IF(B7="","",IF(K7&lt;&gt;"",K7,TODAY())-B7)</f>
        <v/>
      </c>
    </row>
    <row r="8">
      <c r="A8" s="39">
        <f>IF(C8="","","NCR-"&amp;TEXT(ROW()-4,"0000"))</f>
        <v/>
      </c>
      <c r="B8" s="47" t="n"/>
      <c r="C8" s="50" t="n"/>
      <c r="D8" s="49">
        <f>IF(C8="","",IFERROR(INDEX('المشروعات'!$B$5:$B$304,MATCH(C8,'المشروعات'!$A$5:$A$304,0)),""))</f>
        <v/>
      </c>
      <c r="E8" s="40" t="n"/>
      <c r="F8" s="40" t="n"/>
      <c r="G8" s="40" t="n"/>
      <c r="H8" s="40" t="n"/>
      <c r="I8" s="40" t="n"/>
      <c r="J8" s="47" t="n"/>
      <c r="K8" s="47" t="n"/>
      <c r="L8" s="49">
        <f>IF(C8="","",IF(K8&lt;&gt;"","مغلق",IF(AND(J8&lt;&gt;"",TODAY()&gt;J8),"مفتوح – متأخر","مفتوح")))</f>
        <v/>
      </c>
      <c r="M8" s="48">
        <f>IF(B8="","",IF(K8&lt;&gt;"",K8,TODAY())-B8)</f>
        <v/>
      </c>
    </row>
    <row r="9">
      <c r="A9" s="39">
        <f>IF(C9="","","NCR-"&amp;TEXT(ROW()-4,"0000"))</f>
        <v/>
      </c>
      <c r="B9" s="47" t="n"/>
      <c r="C9" s="50" t="n"/>
      <c r="D9" s="49">
        <f>IF(C9="","",IFERROR(INDEX('المشروعات'!$B$5:$B$304,MATCH(C9,'المشروعات'!$A$5:$A$304,0)),""))</f>
        <v/>
      </c>
      <c r="E9" s="40" t="n"/>
      <c r="F9" s="40" t="n"/>
      <c r="G9" s="40" t="n"/>
      <c r="H9" s="40" t="n"/>
      <c r="I9" s="40" t="n"/>
      <c r="J9" s="47" t="n"/>
      <c r="K9" s="47" t="n"/>
      <c r="L9" s="49">
        <f>IF(C9="","",IF(K9&lt;&gt;"","مغلق",IF(AND(J9&lt;&gt;"",TODAY()&gt;J9),"مفتوح – متأخر","مفتوح")))</f>
        <v/>
      </c>
      <c r="M9" s="48">
        <f>IF(B9="","",IF(K9&lt;&gt;"",K9,TODAY())-B9)</f>
        <v/>
      </c>
    </row>
    <row r="10">
      <c r="A10" s="39">
        <f>IF(C10="","","NCR-"&amp;TEXT(ROW()-4,"0000"))</f>
        <v/>
      </c>
      <c r="B10" s="47" t="n"/>
      <c r="C10" s="50" t="n"/>
      <c r="D10" s="49">
        <f>IF(C10="","",IFERROR(INDEX('المشروعات'!$B$5:$B$304,MATCH(C10,'المشروعات'!$A$5:$A$304,0)),""))</f>
        <v/>
      </c>
      <c r="E10" s="40" t="n"/>
      <c r="F10" s="40" t="n"/>
      <c r="G10" s="40" t="n"/>
      <c r="H10" s="40" t="n"/>
      <c r="I10" s="40" t="n"/>
      <c r="J10" s="47" t="n"/>
      <c r="K10" s="47" t="n"/>
      <c r="L10" s="49">
        <f>IF(C10="","",IF(K10&lt;&gt;"","مغلق",IF(AND(J10&lt;&gt;"",TODAY()&gt;J10),"مفتوح – متأخر","مفتوح")))</f>
        <v/>
      </c>
      <c r="M10" s="48">
        <f>IF(B10="","",IF(K10&lt;&gt;"",K10,TODAY())-B10)</f>
        <v/>
      </c>
    </row>
    <row r="11">
      <c r="A11" s="39">
        <f>IF(C11="","","NCR-"&amp;TEXT(ROW()-4,"0000"))</f>
        <v/>
      </c>
      <c r="B11" s="47" t="n"/>
      <c r="C11" s="50" t="n"/>
      <c r="D11" s="49">
        <f>IF(C11="","",IFERROR(INDEX('المشروعات'!$B$5:$B$304,MATCH(C11,'المشروعات'!$A$5:$A$304,0)),""))</f>
        <v/>
      </c>
      <c r="E11" s="40" t="n"/>
      <c r="F11" s="40" t="n"/>
      <c r="G11" s="40" t="n"/>
      <c r="H11" s="40" t="n"/>
      <c r="I11" s="40" t="n"/>
      <c r="J11" s="47" t="n"/>
      <c r="K11" s="47" t="n"/>
      <c r="L11" s="49">
        <f>IF(C11="","",IF(K11&lt;&gt;"","مغلق",IF(AND(J11&lt;&gt;"",TODAY()&gt;J11),"مفتوح – متأخر","مفتوح")))</f>
        <v/>
      </c>
      <c r="M11" s="48">
        <f>IF(B11="","",IF(K11&lt;&gt;"",K11,TODAY())-B11)</f>
        <v/>
      </c>
    </row>
    <row r="12">
      <c r="A12" s="39">
        <f>IF(C12="","","NCR-"&amp;TEXT(ROW()-4,"0000"))</f>
        <v/>
      </c>
      <c r="B12" s="47" t="n"/>
      <c r="C12" s="50" t="n"/>
      <c r="D12" s="49">
        <f>IF(C12="","",IFERROR(INDEX('المشروعات'!$B$5:$B$304,MATCH(C12,'المشروعات'!$A$5:$A$304,0)),""))</f>
        <v/>
      </c>
      <c r="E12" s="40" t="n"/>
      <c r="F12" s="40" t="n"/>
      <c r="G12" s="40" t="n"/>
      <c r="H12" s="40" t="n"/>
      <c r="I12" s="40" t="n"/>
      <c r="J12" s="47" t="n"/>
      <c r="K12" s="47" t="n"/>
      <c r="L12" s="49">
        <f>IF(C12="","",IF(K12&lt;&gt;"","مغلق",IF(AND(J12&lt;&gt;"",TODAY()&gt;J12),"مفتوح – متأخر","مفتوح")))</f>
        <v/>
      </c>
      <c r="M12" s="48">
        <f>IF(B12="","",IF(K12&lt;&gt;"",K12,TODAY())-B12)</f>
        <v/>
      </c>
    </row>
    <row r="13">
      <c r="A13" s="39">
        <f>IF(C13="","","NCR-"&amp;TEXT(ROW()-4,"0000"))</f>
        <v/>
      </c>
      <c r="B13" s="47" t="n"/>
      <c r="C13" s="50" t="n"/>
      <c r="D13" s="49">
        <f>IF(C13="","",IFERROR(INDEX('المشروعات'!$B$5:$B$304,MATCH(C13,'المشروعات'!$A$5:$A$304,0)),""))</f>
        <v/>
      </c>
      <c r="E13" s="40" t="n"/>
      <c r="F13" s="40" t="n"/>
      <c r="G13" s="40" t="n"/>
      <c r="H13" s="40" t="n"/>
      <c r="I13" s="40" t="n"/>
      <c r="J13" s="47" t="n"/>
      <c r="K13" s="47" t="n"/>
      <c r="L13" s="49">
        <f>IF(C13="","",IF(K13&lt;&gt;"","مغلق",IF(AND(J13&lt;&gt;"",TODAY()&gt;J13),"مفتوح – متأخر","مفتوح")))</f>
        <v/>
      </c>
      <c r="M13" s="48">
        <f>IF(B13="","",IF(K13&lt;&gt;"",K13,TODAY())-B13)</f>
        <v/>
      </c>
    </row>
    <row r="14">
      <c r="A14" s="39">
        <f>IF(C14="","","NCR-"&amp;TEXT(ROW()-4,"0000"))</f>
        <v/>
      </c>
      <c r="B14" s="47" t="n"/>
      <c r="C14" s="50" t="n"/>
      <c r="D14" s="49">
        <f>IF(C14="","",IFERROR(INDEX('المشروعات'!$B$5:$B$304,MATCH(C14,'المشروعات'!$A$5:$A$304,0)),""))</f>
        <v/>
      </c>
      <c r="E14" s="40" t="n"/>
      <c r="F14" s="40" t="n"/>
      <c r="G14" s="40" t="n"/>
      <c r="H14" s="40" t="n"/>
      <c r="I14" s="40" t="n"/>
      <c r="J14" s="47" t="n"/>
      <c r="K14" s="47" t="n"/>
      <c r="L14" s="49">
        <f>IF(C14="","",IF(K14&lt;&gt;"","مغلق",IF(AND(J14&lt;&gt;"",TODAY()&gt;J14),"مفتوح – متأخر","مفتوح")))</f>
        <v/>
      </c>
      <c r="M14" s="48">
        <f>IF(B14="","",IF(K14&lt;&gt;"",K14,TODAY())-B14)</f>
        <v/>
      </c>
    </row>
    <row r="15">
      <c r="A15" s="39">
        <f>IF(C15="","","NCR-"&amp;TEXT(ROW()-4,"0000"))</f>
        <v/>
      </c>
      <c r="B15" s="47" t="n"/>
      <c r="C15" s="50" t="n"/>
      <c r="D15" s="49">
        <f>IF(C15="","",IFERROR(INDEX('المشروعات'!$B$5:$B$304,MATCH(C15,'المشروعات'!$A$5:$A$304,0)),""))</f>
        <v/>
      </c>
      <c r="E15" s="40" t="n"/>
      <c r="F15" s="40" t="n"/>
      <c r="G15" s="40" t="n"/>
      <c r="H15" s="40" t="n"/>
      <c r="I15" s="40" t="n"/>
      <c r="J15" s="47" t="n"/>
      <c r="K15" s="47" t="n"/>
      <c r="L15" s="49">
        <f>IF(C15="","",IF(K15&lt;&gt;"","مغلق",IF(AND(J15&lt;&gt;"",TODAY()&gt;J15),"مفتوح – متأخر","مفتوح")))</f>
        <v/>
      </c>
      <c r="M15" s="48">
        <f>IF(B15="","",IF(K15&lt;&gt;"",K15,TODAY())-B15)</f>
        <v/>
      </c>
    </row>
    <row r="16">
      <c r="A16" s="39">
        <f>IF(C16="","","NCR-"&amp;TEXT(ROW()-4,"0000"))</f>
        <v/>
      </c>
      <c r="B16" s="47" t="n"/>
      <c r="C16" s="50" t="n"/>
      <c r="D16" s="49">
        <f>IF(C16="","",IFERROR(INDEX('المشروعات'!$B$5:$B$304,MATCH(C16,'المشروعات'!$A$5:$A$304,0)),""))</f>
        <v/>
      </c>
      <c r="E16" s="40" t="n"/>
      <c r="F16" s="40" t="n"/>
      <c r="G16" s="40" t="n"/>
      <c r="H16" s="40" t="n"/>
      <c r="I16" s="40" t="n"/>
      <c r="J16" s="47" t="n"/>
      <c r="K16" s="47" t="n"/>
      <c r="L16" s="49">
        <f>IF(C16="","",IF(K16&lt;&gt;"","مغلق",IF(AND(J16&lt;&gt;"",TODAY()&gt;J16),"مفتوح – متأخر","مفتوح")))</f>
        <v/>
      </c>
      <c r="M16" s="48">
        <f>IF(B16="","",IF(K16&lt;&gt;"",K16,TODAY())-B16)</f>
        <v/>
      </c>
    </row>
    <row r="17">
      <c r="A17" s="39">
        <f>IF(C17="","","NCR-"&amp;TEXT(ROW()-4,"0000"))</f>
        <v/>
      </c>
      <c r="B17" s="47" t="n"/>
      <c r="C17" s="50" t="n"/>
      <c r="D17" s="49">
        <f>IF(C17="","",IFERROR(INDEX('المشروعات'!$B$5:$B$304,MATCH(C17,'المشروعات'!$A$5:$A$304,0)),""))</f>
        <v/>
      </c>
      <c r="E17" s="40" t="n"/>
      <c r="F17" s="40" t="n"/>
      <c r="G17" s="40" t="n"/>
      <c r="H17" s="40" t="n"/>
      <c r="I17" s="40" t="n"/>
      <c r="J17" s="47" t="n"/>
      <c r="K17" s="47" t="n"/>
      <c r="L17" s="49">
        <f>IF(C17="","",IF(K17&lt;&gt;"","مغلق",IF(AND(J17&lt;&gt;"",TODAY()&gt;J17),"مفتوح – متأخر","مفتوح")))</f>
        <v/>
      </c>
      <c r="M17" s="48">
        <f>IF(B17="","",IF(K17&lt;&gt;"",K17,TODAY())-B17)</f>
        <v/>
      </c>
    </row>
    <row r="18">
      <c r="A18" s="39">
        <f>IF(C18="","","NCR-"&amp;TEXT(ROW()-4,"0000"))</f>
        <v/>
      </c>
      <c r="B18" s="47" t="n"/>
      <c r="C18" s="50" t="n"/>
      <c r="D18" s="49">
        <f>IF(C18="","",IFERROR(INDEX('المشروعات'!$B$5:$B$304,MATCH(C18,'المشروعات'!$A$5:$A$304,0)),""))</f>
        <v/>
      </c>
      <c r="E18" s="40" t="n"/>
      <c r="F18" s="40" t="n"/>
      <c r="G18" s="40" t="n"/>
      <c r="H18" s="40" t="n"/>
      <c r="I18" s="40" t="n"/>
      <c r="J18" s="47" t="n"/>
      <c r="K18" s="47" t="n"/>
      <c r="L18" s="49">
        <f>IF(C18="","",IF(K18&lt;&gt;"","مغلق",IF(AND(J18&lt;&gt;"",TODAY()&gt;J18),"مفتوح – متأخر","مفتوح")))</f>
        <v/>
      </c>
      <c r="M18" s="48">
        <f>IF(B18="","",IF(K18&lt;&gt;"",K18,TODAY())-B18)</f>
        <v/>
      </c>
    </row>
    <row r="19">
      <c r="A19" s="39">
        <f>IF(C19="","","NCR-"&amp;TEXT(ROW()-4,"0000"))</f>
        <v/>
      </c>
      <c r="B19" s="47" t="n"/>
      <c r="C19" s="50" t="n"/>
      <c r="D19" s="49">
        <f>IF(C19="","",IFERROR(INDEX('المشروعات'!$B$5:$B$304,MATCH(C19,'المشروعات'!$A$5:$A$304,0)),""))</f>
        <v/>
      </c>
      <c r="E19" s="40" t="n"/>
      <c r="F19" s="40" t="n"/>
      <c r="G19" s="40" t="n"/>
      <c r="H19" s="40" t="n"/>
      <c r="I19" s="40" t="n"/>
      <c r="J19" s="47" t="n"/>
      <c r="K19" s="47" t="n"/>
      <c r="L19" s="49">
        <f>IF(C19="","",IF(K19&lt;&gt;"","مغلق",IF(AND(J19&lt;&gt;"",TODAY()&gt;J19),"مفتوح – متأخر","مفتوح")))</f>
        <v/>
      </c>
      <c r="M19" s="48">
        <f>IF(B19="","",IF(K19&lt;&gt;"",K19,TODAY())-B19)</f>
        <v/>
      </c>
    </row>
    <row r="20">
      <c r="A20" s="39">
        <f>IF(C20="","","NCR-"&amp;TEXT(ROW()-4,"0000"))</f>
        <v/>
      </c>
      <c r="B20" s="47" t="n"/>
      <c r="C20" s="50" t="n"/>
      <c r="D20" s="49">
        <f>IF(C20="","",IFERROR(INDEX('المشروعات'!$B$5:$B$304,MATCH(C20,'المشروعات'!$A$5:$A$304,0)),""))</f>
        <v/>
      </c>
      <c r="E20" s="40" t="n"/>
      <c r="F20" s="40" t="n"/>
      <c r="G20" s="40" t="n"/>
      <c r="H20" s="40" t="n"/>
      <c r="I20" s="40" t="n"/>
      <c r="J20" s="47" t="n"/>
      <c r="K20" s="47" t="n"/>
      <c r="L20" s="49">
        <f>IF(C20="","",IF(K20&lt;&gt;"","مغلق",IF(AND(J20&lt;&gt;"",TODAY()&gt;J20),"مفتوح – متأخر","مفتوح")))</f>
        <v/>
      </c>
      <c r="M20" s="48">
        <f>IF(B20="","",IF(K20&lt;&gt;"",K20,TODAY())-B20)</f>
        <v/>
      </c>
    </row>
    <row r="21">
      <c r="A21" s="39">
        <f>IF(C21="","","NCR-"&amp;TEXT(ROW()-4,"0000"))</f>
        <v/>
      </c>
      <c r="B21" s="47" t="n"/>
      <c r="C21" s="50" t="n"/>
      <c r="D21" s="49">
        <f>IF(C21="","",IFERROR(INDEX('المشروعات'!$B$5:$B$304,MATCH(C21,'المشروعات'!$A$5:$A$304,0)),""))</f>
        <v/>
      </c>
      <c r="E21" s="40" t="n"/>
      <c r="F21" s="40" t="n"/>
      <c r="G21" s="40" t="n"/>
      <c r="H21" s="40" t="n"/>
      <c r="I21" s="40" t="n"/>
      <c r="J21" s="47" t="n"/>
      <c r="K21" s="47" t="n"/>
      <c r="L21" s="49">
        <f>IF(C21="","",IF(K21&lt;&gt;"","مغلق",IF(AND(J21&lt;&gt;"",TODAY()&gt;J21),"مفتوح – متأخر","مفتوح")))</f>
        <v/>
      </c>
      <c r="M21" s="48">
        <f>IF(B21="","",IF(K21&lt;&gt;"",K21,TODAY())-B21)</f>
        <v/>
      </c>
    </row>
    <row r="22">
      <c r="A22" s="39">
        <f>IF(C22="","","NCR-"&amp;TEXT(ROW()-4,"0000"))</f>
        <v/>
      </c>
      <c r="B22" s="47" t="n"/>
      <c r="C22" s="50" t="n"/>
      <c r="D22" s="49">
        <f>IF(C22="","",IFERROR(INDEX('المشروعات'!$B$5:$B$304,MATCH(C22,'المشروعات'!$A$5:$A$304,0)),""))</f>
        <v/>
      </c>
      <c r="E22" s="40" t="n"/>
      <c r="F22" s="40" t="n"/>
      <c r="G22" s="40" t="n"/>
      <c r="H22" s="40" t="n"/>
      <c r="I22" s="40" t="n"/>
      <c r="J22" s="47" t="n"/>
      <c r="K22" s="47" t="n"/>
      <c r="L22" s="49">
        <f>IF(C22="","",IF(K22&lt;&gt;"","مغلق",IF(AND(J22&lt;&gt;"",TODAY()&gt;J22),"مفتوح – متأخر","مفتوح")))</f>
        <v/>
      </c>
      <c r="M22" s="48">
        <f>IF(B22="","",IF(K22&lt;&gt;"",K22,TODAY())-B22)</f>
        <v/>
      </c>
    </row>
    <row r="23">
      <c r="A23" s="39">
        <f>IF(C23="","","NCR-"&amp;TEXT(ROW()-4,"0000"))</f>
        <v/>
      </c>
      <c r="B23" s="47" t="n"/>
      <c r="C23" s="50" t="n"/>
      <c r="D23" s="49">
        <f>IF(C23="","",IFERROR(INDEX('المشروعات'!$B$5:$B$304,MATCH(C23,'المشروعات'!$A$5:$A$304,0)),""))</f>
        <v/>
      </c>
      <c r="E23" s="40" t="n"/>
      <c r="F23" s="40" t="n"/>
      <c r="G23" s="40" t="n"/>
      <c r="H23" s="40" t="n"/>
      <c r="I23" s="40" t="n"/>
      <c r="J23" s="47" t="n"/>
      <c r="K23" s="47" t="n"/>
      <c r="L23" s="49">
        <f>IF(C23="","",IF(K23&lt;&gt;"","مغلق",IF(AND(J23&lt;&gt;"",TODAY()&gt;J23),"مفتوح – متأخر","مفتوح")))</f>
        <v/>
      </c>
      <c r="M23" s="48">
        <f>IF(B23="","",IF(K23&lt;&gt;"",K23,TODAY())-B23)</f>
        <v/>
      </c>
    </row>
    <row r="24">
      <c r="A24" s="39">
        <f>IF(C24="","","NCR-"&amp;TEXT(ROW()-4,"0000"))</f>
        <v/>
      </c>
      <c r="B24" s="47" t="n"/>
      <c r="C24" s="50" t="n"/>
      <c r="D24" s="49">
        <f>IF(C24="","",IFERROR(INDEX('المشروعات'!$B$5:$B$304,MATCH(C24,'المشروعات'!$A$5:$A$304,0)),""))</f>
        <v/>
      </c>
      <c r="E24" s="40" t="n"/>
      <c r="F24" s="40" t="n"/>
      <c r="G24" s="40" t="n"/>
      <c r="H24" s="40" t="n"/>
      <c r="I24" s="40" t="n"/>
      <c r="J24" s="47" t="n"/>
      <c r="K24" s="47" t="n"/>
      <c r="L24" s="49">
        <f>IF(C24="","",IF(K24&lt;&gt;"","مغلق",IF(AND(J24&lt;&gt;"",TODAY()&gt;J24),"مفتوح – متأخر","مفتوح")))</f>
        <v/>
      </c>
      <c r="M24" s="48">
        <f>IF(B24="","",IF(K24&lt;&gt;"",K24,TODAY())-B24)</f>
        <v/>
      </c>
    </row>
    <row r="25">
      <c r="A25" s="39">
        <f>IF(C25="","","NCR-"&amp;TEXT(ROW()-4,"0000"))</f>
        <v/>
      </c>
      <c r="B25" s="47" t="n"/>
      <c r="C25" s="50" t="n"/>
      <c r="D25" s="49">
        <f>IF(C25="","",IFERROR(INDEX('المشروعات'!$B$5:$B$304,MATCH(C25,'المشروعات'!$A$5:$A$304,0)),""))</f>
        <v/>
      </c>
      <c r="E25" s="40" t="n"/>
      <c r="F25" s="40" t="n"/>
      <c r="G25" s="40" t="n"/>
      <c r="H25" s="40" t="n"/>
      <c r="I25" s="40" t="n"/>
      <c r="J25" s="47" t="n"/>
      <c r="K25" s="47" t="n"/>
      <c r="L25" s="49">
        <f>IF(C25="","",IF(K25&lt;&gt;"","مغلق",IF(AND(J25&lt;&gt;"",TODAY()&gt;J25),"مفتوح – متأخر","مفتوح")))</f>
        <v/>
      </c>
      <c r="M25" s="48">
        <f>IF(B25="","",IF(K25&lt;&gt;"",K25,TODAY())-B25)</f>
        <v/>
      </c>
    </row>
    <row r="26">
      <c r="A26" s="39">
        <f>IF(C26="","","NCR-"&amp;TEXT(ROW()-4,"0000"))</f>
        <v/>
      </c>
      <c r="B26" s="47" t="n"/>
      <c r="C26" s="50" t="n"/>
      <c r="D26" s="49">
        <f>IF(C26="","",IFERROR(INDEX('المشروعات'!$B$5:$B$304,MATCH(C26,'المشروعات'!$A$5:$A$304,0)),""))</f>
        <v/>
      </c>
      <c r="E26" s="40" t="n"/>
      <c r="F26" s="40" t="n"/>
      <c r="G26" s="40" t="n"/>
      <c r="H26" s="40" t="n"/>
      <c r="I26" s="40" t="n"/>
      <c r="J26" s="47" t="n"/>
      <c r="K26" s="47" t="n"/>
      <c r="L26" s="49">
        <f>IF(C26="","",IF(K26&lt;&gt;"","مغلق",IF(AND(J26&lt;&gt;"",TODAY()&gt;J26),"مفتوح – متأخر","مفتوح")))</f>
        <v/>
      </c>
      <c r="M26" s="48">
        <f>IF(B26="","",IF(K26&lt;&gt;"",K26,TODAY())-B26)</f>
        <v/>
      </c>
    </row>
    <row r="27">
      <c r="A27" s="39">
        <f>IF(C27="","","NCR-"&amp;TEXT(ROW()-4,"0000"))</f>
        <v/>
      </c>
      <c r="B27" s="47" t="n"/>
      <c r="C27" s="50" t="n"/>
      <c r="D27" s="49">
        <f>IF(C27="","",IFERROR(INDEX('المشروعات'!$B$5:$B$304,MATCH(C27,'المشروعات'!$A$5:$A$304,0)),""))</f>
        <v/>
      </c>
      <c r="E27" s="40" t="n"/>
      <c r="F27" s="40" t="n"/>
      <c r="G27" s="40" t="n"/>
      <c r="H27" s="40" t="n"/>
      <c r="I27" s="40" t="n"/>
      <c r="J27" s="47" t="n"/>
      <c r="K27" s="47" t="n"/>
      <c r="L27" s="49">
        <f>IF(C27="","",IF(K27&lt;&gt;"","مغلق",IF(AND(J27&lt;&gt;"",TODAY()&gt;J27),"مفتوح – متأخر","مفتوح")))</f>
        <v/>
      </c>
      <c r="M27" s="48">
        <f>IF(B27="","",IF(K27&lt;&gt;"",K27,TODAY())-B27)</f>
        <v/>
      </c>
    </row>
    <row r="28">
      <c r="A28" s="39">
        <f>IF(C28="","","NCR-"&amp;TEXT(ROW()-4,"0000"))</f>
        <v/>
      </c>
      <c r="B28" s="47" t="n"/>
      <c r="C28" s="50" t="n"/>
      <c r="D28" s="49">
        <f>IF(C28="","",IFERROR(INDEX('المشروعات'!$B$5:$B$304,MATCH(C28,'المشروعات'!$A$5:$A$304,0)),""))</f>
        <v/>
      </c>
      <c r="E28" s="40" t="n"/>
      <c r="F28" s="40" t="n"/>
      <c r="G28" s="40" t="n"/>
      <c r="H28" s="40" t="n"/>
      <c r="I28" s="40" t="n"/>
      <c r="J28" s="47" t="n"/>
      <c r="K28" s="47" t="n"/>
      <c r="L28" s="49">
        <f>IF(C28="","",IF(K28&lt;&gt;"","مغلق",IF(AND(J28&lt;&gt;"",TODAY()&gt;J28),"مفتوح – متأخر","مفتوح")))</f>
        <v/>
      </c>
      <c r="M28" s="48">
        <f>IF(B28="","",IF(K28&lt;&gt;"",K28,TODAY())-B28)</f>
        <v/>
      </c>
    </row>
    <row r="29">
      <c r="A29" s="39">
        <f>IF(C29="","","NCR-"&amp;TEXT(ROW()-4,"0000"))</f>
        <v/>
      </c>
      <c r="B29" s="47" t="n"/>
      <c r="C29" s="50" t="n"/>
      <c r="D29" s="49">
        <f>IF(C29="","",IFERROR(INDEX('المشروعات'!$B$5:$B$304,MATCH(C29,'المشروعات'!$A$5:$A$304,0)),""))</f>
        <v/>
      </c>
      <c r="E29" s="40" t="n"/>
      <c r="F29" s="40" t="n"/>
      <c r="G29" s="40" t="n"/>
      <c r="H29" s="40" t="n"/>
      <c r="I29" s="40" t="n"/>
      <c r="J29" s="47" t="n"/>
      <c r="K29" s="47" t="n"/>
      <c r="L29" s="49">
        <f>IF(C29="","",IF(K29&lt;&gt;"","مغلق",IF(AND(J29&lt;&gt;"",TODAY()&gt;J29),"مفتوح – متأخر","مفتوح")))</f>
        <v/>
      </c>
      <c r="M29" s="48">
        <f>IF(B29="","",IF(K29&lt;&gt;"",K29,TODAY())-B29)</f>
        <v/>
      </c>
    </row>
    <row r="30">
      <c r="A30" s="39">
        <f>IF(C30="","","NCR-"&amp;TEXT(ROW()-4,"0000"))</f>
        <v/>
      </c>
      <c r="B30" s="47" t="n"/>
      <c r="C30" s="50" t="n"/>
      <c r="D30" s="49">
        <f>IF(C30="","",IFERROR(INDEX('المشروعات'!$B$5:$B$304,MATCH(C30,'المشروعات'!$A$5:$A$304,0)),""))</f>
        <v/>
      </c>
      <c r="E30" s="40" t="n"/>
      <c r="F30" s="40" t="n"/>
      <c r="G30" s="40" t="n"/>
      <c r="H30" s="40" t="n"/>
      <c r="I30" s="40" t="n"/>
      <c r="J30" s="47" t="n"/>
      <c r="K30" s="47" t="n"/>
      <c r="L30" s="49">
        <f>IF(C30="","",IF(K30&lt;&gt;"","مغلق",IF(AND(J30&lt;&gt;"",TODAY()&gt;J30),"مفتوح – متأخر","مفتوح")))</f>
        <v/>
      </c>
      <c r="M30" s="48">
        <f>IF(B30="","",IF(K30&lt;&gt;"",K30,TODAY())-B30)</f>
        <v/>
      </c>
    </row>
    <row r="31">
      <c r="A31" s="39">
        <f>IF(C31="","","NCR-"&amp;TEXT(ROW()-4,"0000"))</f>
        <v/>
      </c>
      <c r="B31" s="47" t="n"/>
      <c r="C31" s="50" t="n"/>
      <c r="D31" s="49">
        <f>IF(C31="","",IFERROR(INDEX('المشروعات'!$B$5:$B$304,MATCH(C31,'المشروعات'!$A$5:$A$304,0)),""))</f>
        <v/>
      </c>
      <c r="E31" s="40" t="n"/>
      <c r="F31" s="40" t="n"/>
      <c r="G31" s="40" t="n"/>
      <c r="H31" s="40" t="n"/>
      <c r="I31" s="40" t="n"/>
      <c r="J31" s="47" t="n"/>
      <c r="K31" s="47" t="n"/>
      <c r="L31" s="49">
        <f>IF(C31="","",IF(K31&lt;&gt;"","مغلق",IF(AND(J31&lt;&gt;"",TODAY()&gt;J31),"مفتوح – متأخر","مفتوح")))</f>
        <v/>
      </c>
      <c r="M31" s="48">
        <f>IF(B31="","",IF(K31&lt;&gt;"",K31,TODAY())-B31)</f>
        <v/>
      </c>
    </row>
    <row r="32">
      <c r="A32" s="39">
        <f>IF(C32="","","NCR-"&amp;TEXT(ROW()-4,"0000"))</f>
        <v/>
      </c>
      <c r="B32" s="47" t="n"/>
      <c r="C32" s="50" t="n"/>
      <c r="D32" s="49">
        <f>IF(C32="","",IFERROR(INDEX('المشروعات'!$B$5:$B$304,MATCH(C32,'المشروعات'!$A$5:$A$304,0)),""))</f>
        <v/>
      </c>
      <c r="E32" s="40" t="n"/>
      <c r="F32" s="40" t="n"/>
      <c r="G32" s="40" t="n"/>
      <c r="H32" s="40" t="n"/>
      <c r="I32" s="40" t="n"/>
      <c r="J32" s="47" t="n"/>
      <c r="K32" s="47" t="n"/>
      <c r="L32" s="49">
        <f>IF(C32="","",IF(K32&lt;&gt;"","مغلق",IF(AND(J32&lt;&gt;"",TODAY()&gt;J32),"مفتوح – متأخر","مفتوح")))</f>
        <v/>
      </c>
      <c r="M32" s="48">
        <f>IF(B32="","",IF(K32&lt;&gt;"",K32,TODAY())-B32)</f>
        <v/>
      </c>
    </row>
    <row r="33">
      <c r="A33" s="39">
        <f>IF(C33="","","NCR-"&amp;TEXT(ROW()-4,"0000"))</f>
        <v/>
      </c>
      <c r="B33" s="47" t="n"/>
      <c r="C33" s="50" t="n"/>
      <c r="D33" s="49">
        <f>IF(C33="","",IFERROR(INDEX('المشروعات'!$B$5:$B$304,MATCH(C33,'المشروعات'!$A$5:$A$304,0)),""))</f>
        <v/>
      </c>
      <c r="E33" s="40" t="n"/>
      <c r="F33" s="40" t="n"/>
      <c r="G33" s="40" t="n"/>
      <c r="H33" s="40" t="n"/>
      <c r="I33" s="40" t="n"/>
      <c r="J33" s="47" t="n"/>
      <c r="K33" s="47" t="n"/>
      <c r="L33" s="49">
        <f>IF(C33="","",IF(K33&lt;&gt;"","مغلق",IF(AND(J33&lt;&gt;"",TODAY()&gt;J33),"مفتوح – متأخر","مفتوح")))</f>
        <v/>
      </c>
      <c r="M33" s="48">
        <f>IF(B33="","",IF(K33&lt;&gt;"",K33,TODAY())-B33)</f>
        <v/>
      </c>
    </row>
    <row r="34">
      <c r="A34" s="39">
        <f>IF(C34="","","NCR-"&amp;TEXT(ROW()-4,"0000"))</f>
        <v/>
      </c>
      <c r="B34" s="47" t="n"/>
      <c r="C34" s="50" t="n"/>
      <c r="D34" s="49">
        <f>IF(C34="","",IFERROR(INDEX('المشروعات'!$B$5:$B$304,MATCH(C34,'المشروعات'!$A$5:$A$304,0)),""))</f>
        <v/>
      </c>
      <c r="E34" s="40" t="n"/>
      <c r="F34" s="40" t="n"/>
      <c r="G34" s="40" t="n"/>
      <c r="H34" s="40" t="n"/>
      <c r="I34" s="40" t="n"/>
      <c r="J34" s="47" t="n"/>
      <c r="K34" s="47" t="n"/>
      <c r="L34" s="49">
        <f>IF(C34="","",IF(K34&lt;&gt;"","مغلق",IF(AND(J34&lt;&gt;"",TODAY()&gt;J34),"مفتوح – متأخر","مفتوح")))</f>
        <v/>
      </c>
      <c r="M34" s="48">
        <f>IF(B34="","",IF(K34&lt;&gt;"",K34,TODAY())-B34)</f>
        <v/>
      </c>
    </row>
    <row r="35">
      <c r="A35" s="39">
        <f>IF(C35="","","NCR-"&amp;TEXT(ROW()-4,"0000"))</f>
        <v/>
      </c>
      <c r="B35" s="47" t="n"/>
      <c r="C35" s="50" t="n"/>
      <c r="D35" s="49">
        <f>IF(C35="","",IFERROR(INDEX('المشروعات'!$B$5:$B$304,MATCH(C35,'المشروعات'!$A$5:$A$304,0)),""))</f>
        <v/>
      </c>
      <c r="E35" s="40" t="n"/>
      <c r="F35" s="40" t="n"/>
      <c r="G35" s="40" t="n"/>
      <c r="H35" s="40" t="n"/>
      <c r="I35" s="40" t="n"/>
      <c r="J35" s="47" t="n"/>
      <c r="K35" s="47" t="n"/>
      <c r="L35" s="49">
        <f>IF(C35="","",IF(K35&lt;&gt;"","مغلق",IF(AND(J35&lt;&gt;"",TODAY()&gt;J35),"مفتوح – متأخر","مفتوح")))</f>
        <v/>
      </c>
      <c r="M35" s="48">
        <f>IF(B35="","",IF(K35&lt;&gt;"",K35,TODAY())-B35)</f>
        <v/>
      </c>
    </row>
    <row r="36">
      <c r="A36" s="39">
        <f>IF(C36="","","NCR-"&amp;TEXT(ROW()-4,"0000"))</f>
        <v/>
      </c>
      <c r="B36" s="47" t="n"/>
      <c r="C36" s="50" t="n"/>
      <c r="D36" s="49">
        <f>IF(C36="","",IFERROR(INDEX('المشروعات'!$B$5:$B$304,MATCH(C36,'المشروعات'!$A$5:$A$304,0)),""))</f>
        <v/>
      </c>
      <c r="E36" s="40" t="n"/>
      <c r="F36" s="40" t="n"/>
      <c r="G36" s="40" t="n"/>
      <c r="H36" s="40" t="n"/>
      <c r="I36" s="40" t="n"/>
      <c r="J36" s="47" t="n"/>
      <c r="K36" s="47" t="n"/>
      <c r="L36" s="49">
        <f>IF(C36="","",IF(K36&lt;&gt;"","مغلق",IF(AND(J36&lt;&gt;"",TODAY()&gt;J36),"مفتوح – متأخر","مفتوح")))</f>
        <v/>
      </c>
      <c r="M36" s="48">
        <f>IF(B36="","",IF(K36&lt;&gt;"",K36,TODAY())-B36)</f>
        <v/>
      </c>
    </row>
    <row r="37">
      <c r="A37" s="39">
        <f>IF(C37="","","NCR-"&amp;TEXT(ROW()-4,"0000"))</f>
        <v/>
      </c>
      <c r="B37" s="47" t="n"/>
      <c r="C37" s="50" t="n"/>
      <c r="D37" s="49">
        <f>IF(C37="","",IFERROR(INDEX('المشروعات'!$B$5:$B$304,MATCH(C37,'المشروعات'!$A$5:$A$304,0)),""))</f>
        <v/>
      </c>
      <c r="E37" s="40" t="n"/>
      <c r="F37" s="40" t="n"/>
      <c r="G37" s="40" t="n"/>
      <c r="H37" s="40" t="n"/>
      <c r="I37" s="40" t="n"/>
      <c r="J37" s="47" t="n"/>
      <c r="K37" s="47" t="n"/>
      <c r="L37" s="49">
        <f>IF(C37="","",IF(K37&lt;&gt;"","مغلق",IF(AND(J37&lt;&gt;"",TODAY()&gt;J37),"مفتوح – متأخر","مفتوح")))</f>
        <v/>
      </c>
      <c r="M37" s="48">
        <f>IF(B37="","",IF(K37&lt;&gt;"",K37,TODAY())-B37)</f>
        <v/>
      </c>
    </row>
    <row r="38">
      <c r="A38" s="39">
        <f>IF(C38="","","NCR-"&amp;TEXT(ROW()-4,"0000"))</f>
        <v/>
      </c>
      <c r="B38" s="47" t="n"/>
      <c r="C38" s="50" t="n"/>
      <c r="D38" s="49">
        <f>IF(C38="","",IFERROR(INDEX('المشروعات'!$B$5:$B$304,MATCH(C38,'المشروعات'!$A$5:$A$304,0)),""))</f>
        <v/>
      </c>
      <c r="E38" s="40" t="n"/>
      <c r="F38" s="40" t="n"/>
      <c r="G38" s="40" t="n"/>
      <c r="H38" s="40" t="n"/>
      <c r="I38" s="40" t="n"/>
      <c r="J38" s="47" t="n"/>
      <c r="K38" s="47" t="n"/>
      <c r="L38" s="49">
        <f>IF(C38="","",IF(K38&lt;&gt;"","مغلق",IF(AND(J38&lt;&gt;"",TODAY()&gt;J38),"مفتوح – متأخر","مفتوح")))</f>
        <v/>
      </c>
      <c r="M38" s="48">
        <f>IF(B38="","",IF(K38&lt;&gt;"",K38,TODAY())-B38)</f>
        <v/>
      </c>
    </row>
    <row r="39">
      <c r="A39" s="39">
        <f>IF(C39="","","NCR-"&amp;TEXT(ROW()-4,"0000"))</f>
        <v/>
      </c>
      <c r="B39" s="47" t="n"/>
      <c r="C39" s="50" t="n"/>
      <c r="D39" s="49">
        <f>IF(C39="","",IFERROR(INDEX('المشروعات'!$B$5:$B$304,MATCH(C39,'المشروعات'!$A$5:$A$304,0)),""))</f>
        <v/>
      </c>
      <c r="E39" s="40" t="n"/>
      <c r="F39" s="40" t="n"/>
      <c r="G39" s="40" t="n"/>
      <c r="H39" s="40" t="n"/>
      <c r="I39" s="40" t="n"/>
      <c r="J39" s="47" t="n"/>
      <c r="K39" s="47" t="n"/>
      <c r="L39" s="49">
        <f>IF(C39="","",IF(K39&lt;&gt;"","مغلق",IF(AND(J39&lt;&gt;"",TODAY()&gt;J39),"مفتوح – متأخر","مفتوح")))</f>
        <v/>
      </c>
      <c r="M39" s="48">
        <f>IF(B39="","",IF(K39&lt;&gt;"",K39,TODAY())-B39)</f>
        <v/>
      </c>
    </row>
    <row r="40">
      <c r="A40" s="39">
        <f>IF(C40="","","NCR-"&amp;TEXT(ROW()-4,"0000"))</f>
        <v/>
      </c>
      <c r="B40" s="47" t="n"/>
      <c r="C40" s="50" t="n"/>
      <c r="D40" s="49">
        <f>IF(C40="","",IFERROR(INDEX('المشروعات'!$B$5:$B$304,MATCH(C40,'المشروعات'!$A$5:$A$304,0)),""))</f>
        <v/>
      </c>
      <c r="E40" s="40" t="n"/>
      <c r="F40" s="40" t="n"/>
      <c r="G40" s="40" t="n"/>
      <c r="H40" s="40" t="n"/>
      <c r="I40" s="40" t="n"/>
      <c r="J40" s="47" t="n"/>
      <c r="K40" s="47" t="n"/>
      <c r="L40" s="49">
        <f>IF(C40="","",IF(K40&lt;&gt;"","مغلق",IF(AND(J40&lt;&gt;"",TODAY()&gt;J40),"مفتوح – متأخر","مفتوح")))</f>
        <v/>
      </c>
      <c r="M40" s="48">
        <f>IF(B40="","",IF(K40&lt;&gt;"",K40,TODAY())-B40)</f>
        <v/>
      </c>
    </row>
    <row r="41">
      <c r="A41" s="39">
        <f>IF(C41="","","NCR-"&amp;TEXT(ROW()-4,"0000"))</f>
        <v/>
      </c>
      <c r="B41" s="47" t="n"/>
      <c r="C41" s="50" t="n"/>
      <c r="D41" s="49">
        <f>IF(C41="","",IFERROR(INDEX('المشروعات'!$B$5:$B$304,MATCH(C41,'المشروعات'!$A$5:$A$304,0)),""))</f>
        <v/>
      </c>
      <c r="E41" s="40" t="n"/>
      <c r="F41" s="40" t="n"/>
      <c r="G41" s="40" t="n"/>
      <c r="H41" s="40" t="n"/>
      <c r="I41" s="40" t="n"/>
      <c r="J41" s="47" t="n"/>
      <c r="K41" s="47" t="n"/>
      <c r="L41" s="49">
        <f>IF(C41="","",IF(K41&lt;&gt;"","مغلق",IF(AND(J41&lt;&gt;"",TODAY()&gt;J41),"مفتوح – متأخر","مفتوح")))</f>
        <v/>
      </c>
      <c r="M41" s="48">
        <f>IF(B41="","",IF(K41&lt;&gt;"",K41,TODAY())-B41)</f>
        <v/>
      </c>
    </row>
    <row r="42">
      <c r="A42" s="39">
        <f>IF(C42="","","NCR-"&amp;TEXT(ROW()-4,"0000"))</f>
        <v/>
      </c>
      <c r="B42" s="47" t="n"/>
      <c r="C42" s="50" t="n"/>
      <c r="D42" s="49">
        <f>IF(C42="","",IFERROR(INDEX('المشروعات'!$B$5:$B$304,MATCH(C42,'المشروعات'!$A$5:$A$304,0)),""))</f>
        <v/>
      </c>
      <c r="E42" s="40" t="n"/>
      <c r="F42" s="40" t="n"/>
      <c r="G42" s="40" t="n"/>
      <c r="H42" s="40" t="n"/>
      <c r="I42" s="40" t="n"/>
      <c r="J42" s="47" t="n"/>
      <c r="K42" s="47" t="n"/>
      <c r="L42" s="49">
        <f>IF(C42="","",IF(K42&lt;&gt;"","مغلق",IF(AND(J42&lt;&gt;"",TODAY()&gt;J42),"مفتوح – متأخر","مفتوح")))</f>
        <v/>
      </c>
      <c r="M42" s="48">
        <f>IF(B42="","",IF(K42&lt;&gt;"",K42,TODAY())-B42)</f>
        <v/>
      </c>
    </row>
    <row r="43">
      <c r="A43" s="39">
        <f>IF(C43="","","NCR-"&amp;TEXT(ROW()-4,"0000"))</f>
        <v/>
      </c>
      <c r="B43" s="47" t="n"/>
      <c r="C43" s="50" t="n"/>
      <c r="D43" s="49">
        <f>IF(C43="","",IFERROR(INDEX('المشروعات'!$B$5:$B$304,MATCH(C43,'المشروعات'!$A$5:$A$304,0)),""))</f>
        <v/>
      </c>
      <c r="E43" s="40" t="n"/>
      <c r="F43" s="40" t="n"/>
      <c r="G43" s="40" t="n"/>
      <c r="H43" s="40" t="n"/>
      <c r="I43" s="40" t="n"/>
      <c r="J43" s="47" t="n"/>
      <c r="K43" s="47" t="n"/>
      <c r="L43" s="49">
        <f>IF(C43="","",IF(K43&lt;&gt;"","مغلق",IF(AND(J43&lt;&gt;"",TODAY()&gt;J43),"مفتوح – متأخر","مفتوح")))</f>
        <v/>
      </c>
      <c r="M43" s="48">
        <f>IF(B43="","",IF(K43&lt;&gt;"",K43,TODAY())-B43)</f>
        <v/>
      </c>
    </row>
    <row r="44">
      <c r="A44" s="39">
        <f>IF(C44="","","NCR-"&amp;TEXT(ROW()-4,"0000"))</f>
        <v/>
      </c>
      <c r="B44" s="47" t="n"/>
      <c r="C44" s="50" t="n"/>
      <c r="D44" s="49">
        <f>IF(C44="","",IFERROR(INDEX('المشروعات'!$B$5:$B$304,MATCH(C44,'المشروعات'!$A$5:$A$304,0)),""))</f>
        <v/>
      </c>
      <c r="E44" s="40" t="n"/>
      <c r="F44" s="40" t="n"/>
      <c r="G44" s="40" t="n"/>
      <c r="H44" s="40" t="n"/>
      <c r="I44" s="40" t="n"/>
      <c r="J44" s="47" t="n"/>
      <c r="K44" s="47" t="n"/>
      <c r="L44" s="49">
        <f>IF(C44="","",IF(K44&lt;&gt;"","مغلق",IF(AND(J44&lt;&gt;"",TODAY()&gt;J44),"مفتوح – متأخر","مفتوح")))</f>
        <v/>
      </c>
      <c r="M44" s="48">
        <f>IF(B44="","",IF(K44&lt;&gt;"",K44,TODAY())-B44)</f>
        <v/>
      </c>
    </row>
    <row r="45">
      <c r="A45" s="39">
        <f>IF(C45="","","NCR-"&amp;TEXT(ROW()-4,"0000"))</f>
        <v/>
      </c>
      <c r="B45" s="47" t="n"/>
      <c r="C45" s="50" t="n"/>
      <c r="D45" s="49">
        <f>IF(C45="","",IFERROR(INDEX('المشروعات'!$B$5:$B$304,MATCH(C45,'المشروعات'!$A$5:$A$304,0)),""))</f>
        <v/>
      </c>
      <c r="E45" s="40" t="n"/>
      <c r="F45" s="40" t="n"/>
      <c r="G45" s="40" t="n"/>
      <c r="H45" s="40" t="n"/>
      <c r="I45" s="40" t="n"/>
      <c r="J45" s="47" t="n"/>
      <c r="K45" s="47" t="n"/>
      <c r="L45" s="49">
        <f>IF(C45="","",IF(K45&lt;&gt;"","مغلق",IF(AND(J45&lt;&gt;"",TODAY()&gt;J45),"مفتوح – متأخر","مفتوح")))</f>
        <v/>
      </c>
      <c r="M45" s="48">
        <f>IF(B45="","",IF(K45&lt;&gt;"",K45,TODAY())-B45)</f>
        <v/>
      </c>
    </row>
    <row r="46">
      <c r="A46" s="39">
        <f>IF(C46="","","NCR-"&amp;TEXT(ROW()-4,"0000"))</f>
        <v/>
      </c>
      <c r="B46" s="47" t="n"/>
      <c r="C46" s="50" t="n"/>
      <c r="D46" s="49">
        <f>IF(C46="","",IFERROR(INDEX('المشروعات'!$B$5:$B$304,MATCH(C46,'المشروعات'!$A$5:$A$304,0)),""))</f>
        <v/>
      </c>
      <c r="E46" s="40" t="n"/>
      <c r="F46" s="40" t="n"/>
      <c r="G46" s="40" t="n"/>
      <c r="H46" s="40" t="n"/>
      <c r="I46" s="40" t="n"/>
      <c r="J46" s="47" t="n"/>
      <c r="K46" s="47" t="n"/>
      <c r="L46" s="49">
        <f>IF(C46="","",IF(K46&lt;&gt;"","مغلق",IF(AND(J46&lt;&gt;"",TODAY()&gt;J46),"مفتوح – متأخر","مفتوح")))</f>
        <v/>
      </c>
      <c r="M46" s="48">
        <f>IF(B46="","",IF(K46&lt;&gt;"",K46,TODAY())-B46)</f>
        <v/>
      </c>
    </row>
    <row r="47">
      <c r="A47" s="39">
        <f>IF(C47="","","NCR-"&amp;TEXT(ROW()-4,"0000"))</f>
        <v/>
      </c>
      <c r="B47" s="47" t="n"/>
      <c r="C47" s="50" t="n"/>
      <c r="D47" s="49">
        <f>IF(C47="","",IFERROR(INDEX('المشروعات'!$B$5:$B$304,MATCH(C47,'المشروعات'!$A$5:$A$304,0)),""))</f>
        <v/>
      </c>
      <c r="E47" s="40" t="n"/>
      <c r="F47" s="40" t="n"/>
      <c r="G47" s="40" t="n"/>
      <c r="H47" s="40" t="n"/>
      <c r="I47" s="40" t="n"/>
      <c r="J47" s="47" t="n"/>
      <c r="K47" s="47" t="n"/>
      <c r="L47" s="49">
        <f>IF(C47="","",IF(K47&lt;&gt;"","مغلق",IF(AND(J47&lt;&gt;"",TODAY()&gt;J47),"مفتوح – متأخر","مفتوح")))</f>
        <v/>
      </c>
      <c r="M47" s="48">
        <f>IF(B47="","",IF(K47&lt;&gt;"",K47,TODAY())-B47)</f>
        <v/>
      </c>
    </row>
    <row r="48">
      <c r="A48" s="39">
        <f>IF(C48="","","NCR-"&amp;TEXT(ROW()-4,"0000"))</f>
        <v/>
      </c>
      <c r="B48" s="47" t="n"/>
      <c r="C48" s="50" t="n"/>
      <c r="D48" s="49">
        <f>IF(C48="","",IFERROR(INDEX('المشروعات'!$B$5:$B$304,MATCH(C48,'المشروعات'!$A$5:$A$304,0)),""))</f>
        <v/>
      </c>
      <c r="E48" s="40" t="n"/>
      <c r="F48" s="40" t="n"/>
      <c r="G48" s="40" t="n"/>
      <c r="H48" s="40" t="n"/>
      <c r="I48" s="40" t="n"/>
      <c r="J48" s="47" t="n"/>
      <c r="K48" s="47" t="n"/>
      <c r="L48" s="49">
        <f>IF(C48="","",IF(K48&lt;&gt;"","مغلق",IF(AND(J48&lt;&gt;"",TODAY()&gt;J48),"مفتوح – متأخر","مفتوح")))</f>
        <v/>
      </c>
      <c r="M48" s="48">
        <f>IF(B48="","",IF(K48&lt;&gt;"",K48,TODAY())-B48)</f>
        <v/>
      </c>
    </row>
    <row r="49">
      <c r="A49" s="39">
        <f>IF(C49="","","NCR-"&amp;TEXT(ROW()-4,"0000"))</f>
        <v/>
      </c>
      <c r="B49" s="47" t="n"/>
      <c r="C49" s="50" t="n"/>
      <c r="D49" s="49">
        <f>IF(C49="","",IFERROR(INDEX('المشروعات'!$B$5:$B$304,MATCH(C49,'المشروعات'!$A$5:$A$304,0)),""))</f>
        <v/>
      </c>
      <c r="E49" s="40" t="n"/>
      <c r="F49" s="40" t="n"/>
      <c r="G49" s="40" t="n"/>
      <c r="H49" s="40" t="n"/>
      <c r="I49" s="40" t="n"/>
      <c r="J49" s="47" t="n"/>
      <c r="K49" s="47" t="n"/>
      <c r="L49" s="49">
        <f>IF(C49="","",IF(K49&lt;&gt;"","مغلق",IF(AND(J49&lt;&gt;"",TODAY()&gt;J49),"مفتوح – متأخر","مفتوح")))</f>
        <v/>
      </c>
      <c r="M49" s="48">
        <f>IF(B49="","",IF(K49&lt;&gt;"",K49,TODAY())-B49)</f>
        <v/>
      </c>
    </row>
    <row r="50">
      <c r="A50" s="39">
        <f>IF(C50="","","NCR-"&amp;TEXT(ROW()-4,"0000"))</f>
        <v/>
      </c>
      <c r="B50" s="47" t="n"/>
      <c r="C50" s="50" t="n"/>
      <c r="D50" s="49">
        <f>IF(C50="","",IFERROR(INDEX('المشروعات'!$B$5:$B$304,MATCH(C50,'المشروعات'!$A$5:$A$304,0)),""))</f>
        <v/>
      </c>
      <c r="E50" s="40" t="n"/>
      <c r="F50" s="40" t="n"/>
      <c r="G50" s="40" t="n"/>
      <c r="H50" s="40" t="n"/>
      <c r="I50" s="40" t="n"/>
      <c r="J50" s="47" t="n"/>
      <c r="K50" s="47" t="n"/>
      <c r="L50" s="49">
        <f>IF(C50="","",IF(K50&lt;&gt;"","مغلق",IF(AND(J50&lt;&gt;"",TODAY()&gt;J50),"مفتوح – متأخر","مفتوح")))</f>
        <v/>
      </c>
      <c r="M50" s="48">
        <f>IF(B50="","",IF(K50&lt;&gt;"",K50,TODAY())-B50)</f>
        <v/>
      </c>
    </row>
    <row r="51">
      <c r="A51" s="39">
        <f>IF(C51="","","NCR-"&amp;TEXT(ROW()-4,"0000"))</f>
        <v/>
      </c>
      <c r="B51" s="47" t="n"/>
      <c r="C51" s="50" t="n"/>
      <c r="D51" s="49">
        <f>IF(C51="","",IFERROR(INDEX('المشروعات'!$B$5:$B$304,MATCH(C51,'المشروعات'!$A$5:$A$304,0)),""))</f>
        <v/>
      </c>
      <c r="E51" s="40" t="n"/>
      <c r="F51" s="40" t="n"/>
      <c r="G51" s="40" t="n"/>
      <c r="H51" s="40" t="n"/>
      <c r="I51" s="40" t="n"/>
      <c r="J51" s="47" t="n"/>
      <c r="K51" s="47" t="n"/>
      <c r="L51" s="49">
        <f>IF(C51="","",IF(K51&lt;&gt;"","مغلق",IF(AND(J51&lt;&gt;"",TODAY()&gt;J51),"مفتوح – متأخر","مفتوح")))</f>
        <v/>
      </c>
      <c r="M51" s="48">
        <f>IF(B51="","",IF(K51&lt;&gt;"",K51,TODAY())-B51)</f>
        <v/>
      </c>
    </row>
    <row r="52">
      <c r="A52" s="39">
        <f>IF(C52="","","NCR-"&amp;TEXT(ROW()-4,"0000"))</f>
        <v/>
      </c>
      <c r="B52" s="47" t="n"/>
      <c r="C52" s="50" t="n"/>
      <c r="D52" s="49">
        <f>IF(C52="","",IFERROR(INDEX('المشروعات'!$B$5:$B$304,MATCH(C52,'المشروعات'!$A$5:$A$304,0)),""))</f>
        <v/>
      </c>
      <c r="E52" s="40" t="n"/>
      <c r="F52" s="40" t="n"/>
      <c r="G52" s="40" t="n"/>
      <c r="H52" s="40" t="n"/>
      <c r="I52" s="40" t="n"/>
      <c r="J52" s="47" t="n"/>
      <c r="K52" s="47" t="n"/>
      <c r="L52" s="49">
        <f>IF(C52="","",IF(K52&lt;&gt;"","مغلق",IF(AND(J52&lt;&gt;"",TODAY()&gt;J52),"مفتوح – متأخر","مفتوح")))</f>
        <v/>
      </c>
      <c r="M52" s="48">
        <f>IF(B52="","",IF(K52&lt;&gt;"",K52,TODAY())-B52)</f>
        <v/>
      </c>
    </row>
    <row r="53">
      <c r="A53" s="39">
        <f>IF(C53="","","NCR-"&amp;TEXT(ROW()-4,"0000"))</f>
        <v/>
      </c>
      <c r="B53" s="47" t="n"/>
      <c r="C53" s="50" t="n"/>
      <c r="D53" s="49">
        <f>IF(C53="","",IFERROR(INDEX('المشروعات'!$B$5:$B$304,MATCH(C53,'المشروعات'!$A$5:$A$304,0)),""))</f>
        <v/>
      </c>
      <c r="E53" s="40" t="n"/>
      <c r="F53" s="40" t="n"/>
      <c r="G53" s="40" t="n"/>
      <c r="H53" s="40" t="n"/>
      <c r="I53" s="40" t="n"/>
      <c r="J53" s="47" t="n"/>
      <c r="K53" s="47" t="n"/>
      <c r="L53" s="49">
        <f>IF(C53="","",IF(K53&lt;&gt;"","مغلق",IF(AND(J53&lt;&gt;"",TODAY()&gt;J53),"مفتوح – متأخر","مفتوح")))</f>
        <v/>
      </c>
      <c r="M53" s="48">
        <f>IF(B53="","",IF(K53&lt;&gt;"",K53,TODAY())-B53)</f>
        <v/>
      </c>
    </row>
    <row r="54">
      <c r="A54" s="39">
        <f>IF(C54="","","NCR-"&amp;TEXT(ROW()-4,"0000"))</f>
        <v/>
      </c>
      <c r="B54" s="47" t="n"/>
      <c r="C54" s="50" t="n"/>
      <c r="D54" s="49">
        <f>IF(C54="","",IFERROR(INDEX('المشروعات'!$B$5:$B$304,MATCH(C54,'المشروعات'!$A$5:$A$304,0)),""))</f>
        <v/>
      </c>
      <c r="E54" s="40" t="n"/>
      <c r="F54" s="40" t="n"/>
      <c r="G54" s="40" t="n"/>
      <c r="H54" s="40" t="n"/>
      <c r="I54" s="40" t="n"/>
      <c r="J54" s="47" t="n"/>
      <c r="K54" s="47" t="n"/>
      <c r="L54" s="49">
        <f>IF(C54="","",IF(K54&lt;&gt;"","مغلق",IF(AND(J54&lt;&gt;"",TODAY()&gt;J54),"مفتوح – متأخر","مفتوح")))</f>
        <v/>
      </c>
      <c r="M54" s="48">
        <f>IF(B54="","",IF(K54&lt;&gt;"",K54,TODAY())-B54)</f>
        <v/>
      </c>
    </row>
    <row r="55">
      <c r="A55" s="39">
        <f>IF(C55="","","NCR-"&amp;TEXT(ROW()-4,"0000"))</f>
        <v/>
      </c>
      <c r="B55" s="47" t="n"/>
      <c r="C55" s="50" t="n"/>
      <c r="D55" s="49">
        <f>IF(C55="","",IFERROR(INDEX('المشروعات'!$B$5:$B$304,MATCH(C55,'المشروعات'!$A$5:$A$304,0)),""))</f>
        <v/>
      </c>
      <c r="E55" s="40" t="n"/>
      <c r="F55" s="40" t="n"/>
      <c r="G55" s="40" t="n"/>
      <c r="H55" s="40" t="n"/>
      <c r="I55" s="40" t="n"/>
      <c r="J55" s="47" t="n"/>
      <c r="K55" s="47" t="n"/>
      <c r="L55" s="49">
        <f>IF(C55="","",IF(K55&lt;&gt;"","مغلق",IF(AND(J55&lt;&gt;"",TODAY()&gt;J55),"مفتوح – متأخر","مفتوح")))</f>
        <v/>
      </c>
      <c r="M55" s="48">
        <f>IF(B55="","",IF(K55&lt;&gt;"",K55,TODAY())-B55)</f>
        <v/>
      </c>
    </row>
    <row r="56">
      <c r="A56" s="39">
        <f>IF(C56="","","NCR-"&amp;TEXT(ROW()-4,"0000"))</f>
        <v/>
      </c>
      <c r="B56" s="47" t="n"/>
      <c r="C56" s="50" t="n"/>
      <c r="D56" s="49">
        <f>IF(C56="","",IFERROR(INDEX('المشروعات'!$B$5:$B$304,MATCH(C56,'المشروعات'!$A$5:$A$304,0)),""))</f>
        <v/>
      </c>
      <c r="E56" s="40" t="n"/>
      <c r="F56" s="40" t="n"/>
      <c r="G56" s="40" t="n"/>
      <c r="H56" s="40" t="n"/>
      <c r="I56" s="40" t="n"/>
      <c r="J56" s="47" t="n"/>
      <c r="K56" s="47" t="n"/>
      <c r="L56" s="49">
        <f>IF(C56="","",IF(K56&lt;&gt;"","مغلق",IF(AND(J56&lt;&gt;"",TODAY()&gt;J56),"مفتوح – متأخر","مفتوح")))</f>
        <v/>
      </c>
      <c r="M56" s="48">
        <f>IF(B56="","",IF(K56&lt;&gt;"",K56,TODAY())-B56)</f>
        <v/>
      </c>
    </row>
    <row r="57">
      <c r="A57" s="39">
        <f>IF(C57="","","NCR-"&amp;TEXT(ROW()-4,"0000"))</f>
        <v/>
      </c>
      <c r="B57" s="47" t="n"/>
      <c r="C57" s="50" t="n"/>
      <c r="D57" s="49">
        <f>IF(C57="","",IFERROR(INDEX('المشروعات'!$B$5:$B$304,MATCH(C57,'المشروعات'!$A$5:$A$304,0)),""))</f>
        <v/>
      </c>
      <c r="E57" s="40" t="n"/>
      <c r="F57" s="40" t="n"/>
      <c r="G57" s="40" t="n"/>
      <c r="H57" s="40" t="n"/>
      <c r="I57" s="40" t="n"/>
      <c r="J57" s="47" t="n"/>
      <c r="K57" s="47" t="n"/>
      <c r="L57" s="49">
        <f>IF(C57="","",IF(K57&lt;&gt;"","مغلق",IF(AND(J57&lt;&gt;"",TODAY()&gt;J57),"مفتوح – متأخر","مفتوح")))</f>
        <v/>
      </c>
      <c r="M57" s="48">
        <f>IF(B57="","",IF(K57&lt;&gt;"",K57,TODAY())-B57)</f>
        <v/>
      </c>
    </row>
    <row r="58">
      <c r="A58" s="39">
        <f>IF(C58="","","NCR-"&amp;TEXT(ROW()-4,"0000"))</f>
        <v/>
      </c>
      <c r="B58" s="47" t="n"/>
      <c r="C58" s="50" t="n"/>
      <c r="D58" s="49">
        <f>IF(C58="","",IFERROR(INDEX('المشروعات'!$B$5:$B$304,MATCH(C58,'المشروعات'!$A$5:$A$304,0)),""))</f>
        <v/>
      </c>
      <c r="E58" s="40" t="n"/>
      <c r="F58" s="40" t="n"/>
      <c r="G58" s="40" t="n"/>
      <c r="H58" s="40" t="n"/>
      <c r="I58" s="40" t="n"/>
      <c r="J58" s="47" t="n"/>
      <c r="K58" s="47" t="n"/>
      <c r="L58" s="49">
        <f>IF(C58="","",IF(K58&lt;&gt;"","مغلق",IF(AND(J58&lt;&gt;"",TODAY()&gt;J58),"مفتوح – متأخر","مفتوح")))</f>
        <v/>
      </c>
      <c r="M58" s="48">
        <f>IF(B58="","",IF(K58&lt;&gt;"",K58,TODAY())-B58)</f>
        <v/>
      </c>
    </row>
    <row r="59">
      <c r="A59" s="39">
        <f>IF(C59="","","NCR-"&amp;TEXT(ROW()-4,"0000"))</f>
        <v/>
      </c>
      <c r="B59" s="47" t="n"/>
      <c r="C59" s="50" t="n"/>
      <c r="D59" s="49">
        <f>IF(C59="","",IFERROR(INDEX('المشروعات'!$B$5:$B$304,MATCH(C59,'المشروعات'!$A$5:$A$304,0)),""))</f>
        <v/>
      </c>
      <c r="E59" s="40" t="n"/>
      <c r="F59" s="40" t="n"/>
      <c r="G59" s="40" t="n"/>
      <c r="H59" s="40" t="n"/>
      <c r="I59" s="40" t="n"/>
      <c r="J59" s="47" t="n"/>
      <c r="K59" s="47" t="n"/>
      <c r="L59" s="49">
        <f>IF(C59="","",IF(K59&lt;&gt;"","مغلق",IF(AND(J59&lt;&gt;"",TODAY()&gt;J59),"مفتوح – متأخر","مفتوح")))</f>
        <v/>
      </c>
      <c r="M59" s="48">
        <f>IF(B59="","",IF(K59&lt;&gt;"",K59,TODAY())-B59)</f>
        <v/>
      </c>
    </row>
    <row r="60">
      <c r="A60" s="39">
        <f>IF(C60="","","NCR-"&amp;TEXT(ROW()-4,"0000"))</f>
        <v/>
      </c>
      <c r="B60" s="47" t="n"/>
      <c r="C60" s="50" t="n"/>
      <c r="D60" s="49">
        <f>IF(C60="","",IFERROR(INDEX('المشروعات'!$B$5:$B$304,MATCH(C60,'المشروعات'!$A$5:$A$304,0)),""))</f>
        <v/>
      </c>
      <c r="E60" s="40" t="n"/>
      <c r="F60" s="40" t="n"/>
      <c r="G60" s="40" t="n"/>
      <c r="H60" s="40" t="n"/>
      <c r="I60" s="40" t="n"/>
      <c r="J60" s="47" t="n"/>
      <c r="K60" s="47" t="n"/>
      <c r="L60" s="49">
        <f>IF(C60="","",IF(K60&lt;&gt;"","مغلق",IF(AND(J60&lt;&gt;"",TODAY()&gt;J60),"مفتوح – متأخر","مفتوح")))</f>
        <v/>
      </c>
      <c r="M60" s="48">
        <f>IF(B60="","",IF(K60&lt;&gt;"",K60,TODAY())-B60)</f>
        <v/>
      </c>
    </row>
    <row r="61">
      <c r="A61" s="39">
        <f>IF(C61="","","NCR-"&amp;TEXT(ROW()-4,"0000"))</f>
        <v/>
      </c>
      <c r="B61" s="47" t="n"/>
      <c r="C61" s="50" t="n"/>
      <c r="D61" s="49">
        <f>IF(C61="","",IFERROR(INDEX('المشروعات'!$B$5:$B$304,MATCH(C61,'المشروعات'!$A$5:$A$304,0)),""))</f>
        <v/>
      </c>
      <c r="E61" s="40" t="n"/>
      <c r="F61" s="40" t="n"/>
      <c r="G61" s="40" t="n"/>
      <c r="H61" s="40" t="n"/>
      <c r="I61" s="40" t="n"/>
      <c r="J61" s="47" t="n"/>
      <c r="K61" s="47" t="n"/>
      <c r="L61" s="49">
        <f>IF(C61="","",IF(K61&lt;&gt;"","مغلق",IF(AND(J61&lt;&gt;"",TODAY()&gt;J61),"مفتوح – متأخر","مفتوح")))</f>
        <v/>
      </c>
      <c r="M61" s="48">
        <f>IF(B61="","",IF(K61&lt;&gt;"",K61,TODAY())-B61)</f>
        <v/>
      </c>
    </row>
    <row r="62">
      <c r="A62" s="39">
        <f>IF(C62="","","NCR-"&amp;TEXT(ROW()-4,"0000"))</f>
        <v/>
      </c>
      <c r="B62" s="47" t="n"/>
      <c r="C62" s="50" t="n"/>
      <c r="D62" s="49">
        <f>IF(C62="","",IFERROR(INDEX('المشروعات'!$B$5:$B$304,MATCH(C62,'المشروعات'!$A$5:$A$304,0)),""))</f>
        <v/>
      </c>
      <c r="E62" s="40" t="n"/>
      <c r="F62" s="40" t="n"/>
      <c r="G62" s="40" t="n"/>
      <c r="H62" s="40" t="n"/>
      <c r="I62" s="40" t="n"/>
      <c r="J62" s="47" t="n"/>
      <c r="K62" s="47" t="n"/>
      <c r="L62" s="49">
        <f>IF(C62="","",IF(K62&lt;&gt;"","مغلق",IF(AND(J62&lt;&gt;"",TODAY()&gt;J62),"مفتوح – متأخر","مفتوح")))</f>
        <v/>
      </c>
      <c r="M62" s="48">
        <f>IF(B62="","",IF(K62&lt;&gt;"",K62,TODAY())-B62)</f>
        <v/>
      </c>
    </row>
    <row r="63">
      <c r="A63" s="39">
        <f>IF(C63="","","NCR-"&amp;TEXT(ROW()-4,"0000"))</f>
        <v/>
      </c>
      <c r="B63" s="47" t="n"/>
      <c r="C63" s="50" t="n"/>
      <c r="D63" s="49">
        <f>IF(C63="","",IFERROR(INDEX('المشروعات'!$B$5:$B$304,MATCH(C63,'المشروعات'!$A$5:$A$304,0)),""))</f>
        <v/>
      </c>
      <c r="E63" s="40" t="n"/>
      <c r="F63" s="40" t="n"/>
      <c r="G63" s="40" t="n"/>
      <c r="H63" s="40" t="n"/>
      <c r="I63" s="40" t="n"/>
      <c r="J63" s="47" t="n"/>
      <c r="K63" s="47" t="n"/>
      <c r="L63" s="49">
        <f>IF(C63="","",IF(K63&lt;&gt;"","مغلق",IF(AND(J63&lt;&gt;"",TODAY()&gt;J63),"مفتوح – متأخر","مفتوح")))</f>
        <v/>
      </c>
      <c r="M63" s="48">
        <f>IF(B63="","",IF(K63&lt;&gt;"",K63,TODAY())-B63)</f>
        <v/>
      </c>
    </row>
    <row r="64">
      <c r="A64" s="39">
        <f>IF(C64="","","NCR-"&amp;TEXT(ROW()-4,"0000"))</f>
        <v/>
      </c>
      <c r="B64" s="47" t="n"/>
      <c r="C64" s="50" t="n"/>
      <c r="D64" s="49">
        <f>IF(C64="","",IFERROR(INDEX('المشروعات'!$B$5:$B$304,MATCH(C64,'المشروعات'!$A$5:$A$304,0)),""))</f>
        <v/>
      </c>
      <c r="E64" s="40" t="n"/>
      <c r="F64" s="40" t="n"/>
      <c r="G64" s="40" t="n"/>
      <c r="H64" s="40" t="n"/>
      <c r="I64" s="40" t="n"/>
      <c r="J64" s="47" t="n"/>
      <c r="K64" s="47" t="n"/>
      <c r="L64" s="49">
        <f>IF(C64="","",IF(K64&lt;&gt;"","مغلق",IF(AND(J64&lt;&gt;"",TODAY()&gt;J64),"مفتوح – متأخر","مفتوح")))</f>
        <v/>
      </c>
      <c r="M64" s="48">
        <f>IF(B64="","",IF(K64&lt;&gt;"",K64,TODAY())-B64)</f>
        <v/>
      </c>
    </row>
    <row r="65">
      <c r="A65" s="39">
        <f>IF(C65="","","NCR-"&amp;TEXT(ROW()-4,"0000"))</f>
        <v/>
      </c>
      <c r="B65" s="47" t="n"/>
      <c r="C65" s="50" t="n"/>
      <c r="D65" s="49">
        <f>IF(C65="","",IFERROR(INDEX('المشروعات'!$B$5:$B$304,MATCH(C65,'المشروعات'!$A$5:$A$304,0)),""))</f>
        <v/>
      </c>
      <c r="E65" s="40" t="n"/>
      <c r="F65" s="40" t="n"/>
      <c r="G65" s="40" t="n"/>
      <c r="H65" s="40" t="n"/>
      <c r="I65" s="40" t="n"/>
      <c r="J65" s="47" t="n"/>
      <c r="K65" s="47" t="n"/>
      <c r="L65" s="49">
        <f>IF(C65="","",IF(K65&lt;&gt;"","مغلق",IF(AND(J65&lt;&gt;"",TODAY()&gt;J65),"مفتوح – متأخر","مفتوح")))</f>
        <v/>
      </c>
      <c r="M65" s="48">
        <f>IF(B65="","",IF(K65&lt;&gt;"",K65,TODAY())-B65)</f>
        <v/>
      </c>
    </row>
    <row r="66">
      <c r="A66" s="39">
        <f>IF(C66="","","NCR-"&amp;TEXT(ROW()-4,"0000"))</f>
        <v/>
      </c>
      <c r="B66" s="47" t="n"/>
      <c r="C66" s="50" t="n"/>
      <c r="D66" s="49">
        <f>IF(C66="","",IFERROR(INDEX('المشروعات'!$B$5:$B$304,MATCH(C66,'المشروعات'!$A$5:$A$304,0)),""))</f>
        <v/>
      </c>
      <c r="E66" s="40" t="n"/>
      <c r="F66" s="40" t="n"/>
      <c r="G66" s="40" t="n"/>
      <c r="H66" s="40" t="n"/>
      <c r="I66" s="40" t="n"/>
      <c r="J66" s="47" t="n"/>
      <c r="K66" s="47" t="n"/>
      <c r="L66" s="49">
        <f>IF(C66="","",IF(K66&lt;&gt;"","مغلق",IF(AND(J66&lt;&gt;"",TODAY()&gt;J66),"مفتوح – متأخر","مفتوح")))</f>
        <v/>
      </c>
      <c r="M66" s="48">
        <f>IF(B66="","",IF(K66&lt;&gt;"",K66,TODAY())-B66)</f>
        <v/>
      </c>
    </row>
    <row r="67">
      <c r="A67" s="39">
        <f>IF(C67="","","NCR-"&amp;TEXT(ROW()-4,"0000"))</f>
        <v/>
      </c>
      <c r="B67" s="47" t="n"/>
      <c r="C67" s="50" t="n"/>
      <c r="D67" s="49">
        <f>IF(C67="","",IFERROR(INDEX('المشروعات'!$B$5:$B$304,MATCH(C67,'المشروعات'!$A$5:$A$304,0)),""))</f>
        <v/>
      </c>
      <c r="E67" s="40" t="n"/>
      <c r="F67" s="40" t="n"/>
      <c r="G67" s="40" t="n"/>
      <c r="H67" s="40" t="n"/>
      <c r="I67" s="40" t="n"/>
      <c r="J67" s="47" t="n"/>
      <c r="K67" s="47" t="n"/>
      <c r="L67" s="49">
        <f>IF(C67="","",IF(K67&lt;&gt;"","مغلق",IF(AND(J67&lt;&gt;"",TODAY()&gt;J67),"مفتوح – متأخر","مفتوح")))</f>
        <v/>
      </c>
      <c r="M67" s="48">
        <f>IF(B67="","",IF(K67&lt;&gt;"",K67,TODAY())-B67)</f>
        <v/>
      </c>
    </row>
    <row r="68">
      <c r="A68" s="39">
        <f>IF(C68="","","NCR-"&amp;TEXT(ROW()-4,"0000"))</f>
        <v/>
      </c>
      <c r="B68" s="47" t="n"/>
      <c r="C68" s="50" t="n"/>
      <c r="D68" s="49">
        <f>IF(C68="","",IFERROR(INDEX('المشروعات'!$B$5:$B$304,MATCH(C68,'المشروعات'!$A$5:$A$304,0)),""))</f>
        <v/>
      </c>
      <c r="E68" s="40" t="n"/>
      <c r="F68" s="40" t="n"/>
      <c r="G68" s="40" t="n"/>
      <c r="H68" s="40" t="n"/>
      <c r="I68" s="40" t="n"/>
      <c r="J68" s="47" t="n"/>
      <c r="K68" s="47" t="n"/>
      <c r="L68" s="49">
        <f>IF(C68="","",IF(K68&lt;&gt;"","مغلق",IF(AND(J68&lt;&gt;"",TODAY()&gt;J68),"مفتوح – متأخر","مفتوح")))</f>
        <v/>
      </c>
      <c r="M68" s="48">
        <f>IF(B68="","",IF(K68&lt;&gt;"",K68,TODAY())-B68)</f>
        <v/>
      </c>
    </row>
    <row r="69">
      <c r="A69" s="39">
        <f>IF(C69="","","NCR-"&amp;TEXT(ROW()-4,"0000"))</f>
        <v/>
      </c>
      <c r="B69" s="47" t="n"/>
      <c r="C69" s="50" t="n"/>
      <c r="D69" s="49">
        <f>IF(C69="","",IFERROR(INDEX('المشروعات'!$B$5:$B$304,MATCH(C69,'المشروعات'!$A$5:$A$304,0)),""))</f>
        <v/>
      </c>
      <c r="E69" s="40" t="n"/>
      <c r="F69" s="40" t="n"/>
      <c r="G69" s="40" t="n"/>
      <c r="H69" s="40" t="n"/>
      <c r="I69" s="40" t="n"/>
      <c r="J69" s="47" t="n"/>
      <c r="K69" s="47" t="n"/>
      <c r="L69" s="49">
        <f>IF(C69="","",IF(K69&lt;&gt;"","مغلق",IF(AND(J69&lt;&gt;"",TODAY()&gt;J69),"مفتوح – متأخر","مفتوح")))</f>
        <v/>
      </c>
      <c r="M69" s="48">
        <f>IF(B69="","",IF(K69&lt;&gt;"",K69,TODAY())-B69)</f>
        <v/>
      </c>
    </row>
    <row r="70">
      <c r="A70" s="39">
        <f>IF(C70="","","NCR-"&amp;TEXT(ROW()-4,"0000"))</f>
        <v/>
      </c>
      <c r="B70" s="47" t="n"/>
      <c r="C70" s="50" t="n"/>
      <c r="D70" s="49">
        <f>IF(C70="","",IFERROR(INDEX('المشروعات'!$B$5:$B$304,MATCH(C70,'المشروعات'!$A$5:$A$304,0)),""))</f>
        <v/>
      </c>
      <c r="E70" s="40" t="n"/>
      <c r="F70" s="40" t="n"/>
      <c r="G70" s="40" t="n"/>
      <c r="H70" s="40" t="n"/>
      <c r="I70" s="40" t="n"/>
      <c r="J70" s="47" t="n"/>
      <c r="K70" s="47" t="n"/>
      <c r="L70" s="49">
        <f>IF(C70="","",IF(K70&lt;&gt;"","مغلق",IF(AND(J70&lt;&gt;"",TODAY()&gt;J70),"مفتوح – متأخر","مفتوح")))</f>
        <v/>
      </c>
      <c r="M70" s="48">
        <f>IF(B70="","",IF(K70&lt;&gt;"",K70,TODAY())-B70)</f>
        <v/>
      </c>
    </row>
    <row r="71">
      <c r="A71" s="39">
        <f>IF(C71="","","NCR-"&amp;TEXT(ROW()-4,"0000"))</f>
        <v/>
      </c>
      <c r="B71" s="47" t="n"/>
      <c r="C71" s="50" t="n"/>
      <c r="D71" s="49">
        <f>IF(C71="","",IFERROR(INDEX('المشروعات'!$B$5:$B$304,MATCH(C71,'المشروعات'!$A$5:$A$304,0)),""))</f>
        <v/>
      </c>
      <c r="E71" s="40" t="n"/>
      <c r="F71" s="40" t="n"/>
      <c r="G71" s="40" t="n"/>
      <c r="H71" s="40" t="n"/>
      <c r="I71" s="40" t="n"/>
      <c r="J71" s="47" t="n"/>
      <c r="K71" s="47" t="n"/>
      <c r="L71" s="49">
        <f>IF(C71="","",IF(K71&lt;&gt;"","مغلق",IF(AND(J71&lt;&gt;"",TODAY()&gt;J71),"مفتوح – متأخر","مفتوح")))</f>
        <v/>
      </c>
      <c r="M71" s="48">
        <f>IF(B71="","",IF(K71&lt;&gt;"",K71,TODAY())-B71)</f>
        <v/>
      </c>
    </row>
    <row r="72">
      <c r="A72" s="39">
        <f>IF(C72="","","NCR-"&amp;TEXT(ROW()-4,"0000"))</f>
        <v/>
      </c>
      <c r="B72" s="47" t="n"/>
      <c r="C72" s="50" t="n"/>
      <c r="D72" s="49">
        <f>IF(C72="","",IFERROR(INDEX('المشروعات'!$B$5:$B$304,MATCH(C72,'المشروعات'!$A$5:$A$304,0)),""))</f>
        <v/>
      </c>
      <c r="E72" s="40" t="n"/>
      <c r="F72" s="40" t="n"/>
      <c r="G72" s="40" t="n"/>
      <c r="H72" s="40" t="n"/>
      <c r="I72" s="40" t="n"/>
      <c r="J72" s="47" t="n"/>
      <c r="K72" s="47" t="n"/>
      <c r="L72" s="49">
        <f>IF(C72="","",IF(K72&lt;&gt;"","مغلق",IF(AND(J72&lt;&gt;"",TODAY()&gt;J72),"مفتوح – متأخر","مفتوح")))</f>
        <v/>
      </c>
      <c r="M72" s="48">
        <f>IF(B72="","",IF(K72&lt;&gt;"",K72,TODAY())-B72)</f>
        <v/>
      </c>
    </row>
    <row r="73">
      <c r="A73" s="39">
        <f>IF(C73="","","NCR-"&amp;TEXT(ROW()-4,"0000"))</f>
        <v/>
      </c>
      <c r="B73" s="47" t="n"/>
      <c r="C73" s="50" t="n"/>
      <c r="D73" s="49">
        <f>IF(C73="","",IFERROR(INDEX('المشروعات'!$B$5:$B$304,MATCH(C73,'المشروعات'!$A$5:$A$304,0)),""))</f>
        <v/>
      </c>
      <c r="E73" s="40" t="n"/>
      <c r="F73" s="40" t="n"/>
      <c r="G73" s="40" t="n"/>
      <c r="H73" s="40" t="n"/>
      <c r="I73" s="40" t="n"/>
      <c r="J73" s="47" t="n"/>
      <c r="K73" s="47" t="n"/>
      <c r="L73" s="49">
        <f>IF(C73="","",IF(K73&lt;&gt;"","مغلق",IF(AND(J73&lt;&gt;"",TODAY()&gt;J73),"مفتوح – متأخر","مفتوح")))</f>
        <v/>
      </c>
      <c r="M73" s="48">
        <f>IF(B73="","",IF(K73&lt;&gt;"",K73,TODAY())-B73)</f>
        <v/>
      </c>
    </row>
    <row r="74">
      <c r="A74" s="39">
        <f>IF(C74="","","NCR-"&amp;TEXT(ROW()-4,"0000"))</f>
        <v/>
      </c>
      <c r="B74" s="47" t="n"/>
      <c r="C74" s="50" t="n"/>
      <c r="D74" s="49">
        <f>IF(C74="","",IFERROR(INDEX('المشروعات'!$B$5:$B$304,MATCH(C74,'المشروعات'!$A$5:$A$304,0)),""))</f>
        <v/>
      </c>
      <c r="E74" s="40" t="n"/>
      <c r="F74" s="40" t="n"/>
      <c r="G74" s="40" t="n"/>
      <c r="H74" s="40" t="n"/>
      <c r="I74" s="40" t="n"/>
      <c r="J74" s="47" t="n"/>
      <c r="K74" s="47" t="n"/>
      <c r="L74" s="49">
        <f>IF(C74="","",IF(K74&lt;&gt;"","مغلق",IF(AND(J74&lt;&gt;"",TODAY()&gt;J74),"مفتوح – متأخر","مفتوح")))</f>
        <v/>
      </c>
      <c r="M74" s="48">
        <f>IF(B74="","",IF(K74&lt;&gt;"",K74,TODAY())-B74)</f>
        <v/>
      </c>
    </row>
    <row r="75">
      <c r="A75" s="39">
        <f>IF(C75="","","NCR-"&amp;TEXT(ROW()-4,"0000"))</f>
        <v/>
      </c>
      <c r="B75" s="47" t="n"/>
      <c r="C75" s="50" t="n"/>
      <c r="D75" s="49">
        <f>IF(C75="","",IFERROR(INDEX('المشروعات'!$B$5:$B$304,MATCH(C75,'المشروعات'!$A$5:$A$304,0)),""))</f>
        <v/>
      </c>
      <c r="E75" s="40" t="n"/>
      <c r="F75" s="40" t="n"/>
      <c r="G75" s="40" t="n"/>
      <c r="H75" s="40" t="n"/>
      <c r="I75" s="40" t="n"/>
      <c r="J75" s="47" t="n"/>
      <c r="K75" s="47" t="n"/>
      <c r="L75" s="49">
        <f>IF(C75="","",IF(K75&lt;&gt;"","مغلق",IF(AND(J75&lt;&gt;"",TODAY()&gt;J75),"مفتوح – متأخر","مفتوح")))</f>
        <v/>
      </c>
      <c r="M75" s="48">
        <f>IF(B75="","",IF(K75&lt;&gt;"",K75,TODAY())-B75)</f>
        <v/>
      </c>
    </row>
    <row r="76">
      <c r="A76" s="39">
        <f>IF(C76="","","NCR-"&amp;TEXT(ROW()-4,"0000"))</f>
        <v/>
      </c>
      <c r="B76" s="47" t="n"/>
      <c r="C76" s="50" t="n"/>
      <c r="D76" s="49">
        <f>IF(C76="","",IFERROR(INDEX('المشروعات'!$B$5:$B$304,MATCH(C76,'المشروعات'!$A$5:$A$304,0)),""))</f>
        <v/>
      </c>
      <c r="E76" s="40" t="n"/>
      <c r="F76" s="40" t="n"/>
      <c r="G76" s="40" t="n"/>
      <c r="H76" s="40" t="n"/>
      <c r="I76" s="40" t="n"/>
      <c r="J76" s="47" t="n"/>
      <c r="K76" s="47" t="n"/>
      <c r="L76" s="49">
        <f>IF(C76="","",IF(K76&lt;&gt;"","مغلق",IF(AND(J76&lt;&gt;"",TODAY()&gt;J76),"مفتوح – متأخر","مفتوح")))</f>
        <v/>
      </c>
      <c r="M76" s="48">
        <f>IF(B76="","",IF(K76&lt;&gt;"",K76,TODAY())-B76)</f>
        <v/>
      </c>
    </row>
    <row r="77">
      <c r="A77" s="39">
        <f>IF(C77="","","NCR-"&amp;TEXT(ROW()-4,"0000"))</f>
        <v/>
      </c>
      <c r="B77" s="47" t="n"/>
      <c r="C77" s="50" t="n"/>
      <c r="D77" s="49">
        <f>IF(C77="","",IFERROR(INDEX('المشروعات'!$B$5:$B$304,MATCH(C77,'المشروعات'!$A$5:$A$304,0)),""))</f>
        <v/>
      </c>
      <c r="E77" s="40" t="n"/>
      <c r="F77" s="40" t="n"/>
      <c r="G77" s="40" t="n"/>
      <c r="H77" s="40" t="n"/>
      <c r="I77" s="40" t="n"/>
      <c r="J77" s="47" t="n"/>
      <c r="K77" s="47" t="n"/>
      <c r="L77" s="49">
        <f>IF(C77="","",IF(K77&lt;&gt;"","مغلق",IF(AND(J77&lt;&gt;"",TODAY()&gt;J77),"مفتوح – متأخر","مفتوح")))</f>
        <v/>
      </c>
      <c r="M77" s="48">
        <f>IF(B77="","",IF(K77&lt;&gt;"",K77,TODAY())-B77)</f>
        <v/>
      </c>
    </row>
    <row r="78">
      <c r="A78" s="39">
        <f>IF(C78="","","NCR-"&amp;TEXT(ROW()-4,"0000"))</f>
        <v/>
      </c>
      <c r="B78" s="47" t="n"/>
      <c r="C78" s="50" t="n"/>
      <c r="D78" s="49">
        <f>IF(C78="","",IFERROR(INDEX('المشروعات'!$B$5:$B$304,MATCH(C78,'المشروعات'!$A$5:$A$304,0)),""))</f>
        <v/>
      </c>
      <c r="E78" s="40" t="n"/>
      <c r="F78" s="40" t="n"/>
      <c r="G78" s="40" t="n"/>
      <c r="H78" s="40" t="n"/>
      <c r="I78" s="40" t="n"/>
      <c r="J78" s="47" t="n"/>
      <c r="K78" s="47" t="n"/>
      <c r="L78" s="49">
        <f>IF(C78="","",IF(K78&lt;&gt;"","مغلق",IF(AND(J78&lt;&gt;"",TODAY()&gt;J78),"مفتوح – متأخر","مفتوح")))</f>
        <v/>
      </c>
      <c r="M78" s="48">
        <f>IF(B78="","",IF(K78&lt;&gt;"",K78,TODAY())-B78)</f>
        <v/>
      </c>
    </row>
    <row r="79">
      <c r="A79" s="39">
        <f>IF(C79="","","NCR-"&amp;TEXT(ROW()-4,"0000"))</f>
        <v/>
      </c>
      <c r="B79" s="47" t="n"/>
      <c r="C79" s="50" t="n"/>
      <c r="D79" s="49">
        <f>IF(C79="","",IFERROR(INDEX('المشروعات'!$B$5:$B$304,MATCH(C79,'المشروعات'!$A$5:$A$304,0)),""))</f>
        <v/>
      </c>
      <c r="E79" s="40" t="n"/>
      <c r="F79" s="40" t="n"/>
      <c r="G79" s="40" t="n"/>
      <c r="H79" s="40" t="n"/>
      <c r="I79" s="40" t="n"/>
      <c r="J79" s="47" t="n"/>
      <c r="K79" s="47" t="n"/>
      <c r="L79" s="49">
        <f>IF(C79="","",IF(K79&lt;&gt;"","مغلق",IF(AND(J79&lt;&gt;"",TODAY()&gt;J79),"مفتوح – متأخر","مفتوح")))</f>
        <v/>
      </c>
      <c r="M79" s="48">
        <f>IF(B79="","",IF(K79&lt;&gt;"",K79,TODAY())-B79)</f>
        <v/>
      </c>
    </row>
    <row r="80">
      <c r="A80" s="39">
        <f>IF(C80="","","NCR-"&amp;TEXT(ROW()-4,"0000"))</f>
        <v/>
      </c>
      <c r="B80" s="47" t="n"/>
      <c r="C80" s="50" t="n"/>
      <c r="D80" s="49">
        <f>IF(C80="","",IFERROR(INDEX('المشروعات'!$B$5:$B$304,MATCH(C80,'المشروعات'!$A$5:$A$304,0)),""))</f>
        <v/>
      </c>
      <c r="E80" s="40" t="n"/>
      <c r="F80" s="40" t="n"/>
      <c r="G80" s="40" t="n"/>
      <c r="H80" s="40" t="n"/>
      <c r="I80" s="40" t="n"/>
      <c r="J80" s="47" t="n"/>
      <c r="K80" s="47" t="n"/>
      <c r="L80" s="49">
        <f>IF(C80="","",IF(K80&lt;&gt;"","مغلق",IF(AND(J80&lt;&gt;"",TODAY()&gt;J80),"مفتوح – متأخر","مفتوح")))</f>
        <v/>
      </c>
      <c r="M80" s="48">
        <f>IF(B80="","",IF(K80&lt;&gt;"",K80,TODAY())-B80)</f>
        <v/>
      </c>
    </row>
    <row r="81">
      <c r="A81" s="39">
        <f>IF(C81="","","NCR-"&amp;TEXT(ROW()-4,"0000"))</f>
        <v/>
      </c>
      <c r="B81" s="47" t="n"/>
      <c r="C81" s="50" t="n"/>
      <c r="D81" s="49">
        <f>IF(C81="","",IFERROR(INDEX('المشروعات'!$B$5:$B$304,MATCH(C81,'المشروعات'!$A$5:$A$304,0)),""))</f>
        <v/>
      </c>
      <c r="E81" s="40" t="n"/>
      <c r="F81" s="40" t="n"/>
      <c r="G81" s="40" t="n"/>
      <c r="H81" s="40" t="n"/>
      <c r="I81" s="40" t="n"/>
      <c r="J81" s="47" t="n"/>
      <c r="K81" s="47" t="n"/>
      <c r="L81" s="49">
        <f>IF(C81="","",IF(K81&lt;&gt;"","مغلق",IF(AND(J81&lt;&gt;"",TODAY()&gt;J81),"مفتوح – متأخر","مفتوح")))</f>
        <v/>
      </c>
      <c r="M81" s="48">
        <f>IF(B81="","",IF(K81&lt;&gt;"",K81,TODAY())-B81)</f>
        <v/>
      </c>
    </row>
    <row r="82">
      <c r="A82" s="39">
        <f>IF(C82="","","NCR-"&amp;TEXT(ROW()-4,"0000"))</f>
        <v/>
      </c>
      <c r="B82" s="47" t="n"/>
      <c r="C82" s="50" t="n"/>
      <c r="D82" s="49">
        <f>IF(C82="","",IFERROR(INDEX('المشروعات'!$B$5:$B$304,MATCH(C82,'المشروعات'!$A$5:$A$304,0)),""))</f>
        <v/>
      </c>
      <c r="E82" s="40" t="n"/>
      <c r="F82" s="40" t="n"/>
      <c r="G82" s="40" t="n"/>
      <c r="H82" s="40" t="n"/>
      <c r="I82" s="40" t="n"/>
      <c r="J82" s="47" t="n"/>
      <c r="K82" s="47" t="n"/>
      <c r="L82" s="49">
        <f>IF(C82="","",IF(K82&lt;&gt;"","مغلق",IF(AND(J82&lt;&gt;"",TODAY()&gt;J82),"مفتوح – متأخر","مفتوح")))</f>
        <v/>
      </c>
      <c r="M82" s="48">
        <f>IF(B82="","",IF(K82&lt;&gt;"",K82,TODAY())-B82)</f>
        <v/>
      </c>
    </row>
    <row r="83">
      <c r="A83" s="39">
        <f>IF(C83="","","NCR-"&amp;TEXT(ROW()-4,"0000"))</f>
        <v/>
      </c>
      <c r="B83" s="47" t="n"/>
      <c r="C83" s="50" t="n"/>
      <c r="D83" s="49">
        <f>IF(C83="","",IFERROR(INDEX('المشروعات'!$B$5:$B$304,MATCH(C83,'المشروعات'!$A$5:$A$304,0)),""))</f>
        <v/>
      </c>
      <c r="E83" s="40" t="n"/>
      <c r="F83" s="40" t="n"/>
      <c r="G83" s="40" t="n"/>
      <c r="H83" s="40" t="n"/>
      <c r="I83" s="40" t="n"/>
      <c r="J83" s="47" t="n"/>
      <c r="K83" s="47" t="n"/>
      <c r="L83" s="49">
        <f>IF(C83="","",IF(K83&lt;&gt;"","مغلق",IF(AND(J83&lt;&gt;"",TODAY()&gt;J83),"مفتوح – متأخر","مفتوح")))</f>
        <v/>
      </c>
      <c r="M83" s="48">
        <f>IF(B83="","",IF(K83&lt;&gt;"",K83,TODAY())-B83)</f>
        <v/>
      </c>
    </row>
    <row r="84">
      <c r="A84" s="39">
        <f>IF(C84="","","NCR-"&amp;TEXT(ROW()-4,"0000"))</f>
        <v/>
      </c>
      <c r="B84" s="47" t="n"/>
      <c r="C84" s="50" t="n"/>
      <c r="D84" s="49">
        <f>IF(C84="","",IFERROR(INDEX('المشروعات'!$B$5:$B$304,MATCH(C84,'المشروعات'!$A$5:$A$304,0)),""))</f>
        <v/>
      </c>
      <c r="E84" s="40" t="n"/>
      <c r="F84" s="40" t="n"/>
      <c r="G84" s="40" t="n"/>
      <c r="H84" s="40" t="n"/>
      <c r="I84" s="40" t="n"/>
      <c r="J84" s="47" t="n"/>
      <c r="K84" s="47" t="n"/>
      <c r="L84" s="49">
        <f>IF(C84="","",IF(K84&lt;&gt;"","مغلق",IF(AND(J84&lt;&gt;"",TODAY()&gt;J84),"مفتوح – متأخر","مفتوح")))</f>
        <v/>
      </c>
      <c r="M84" s="48">
        <f>IF(B84="","",IF(K84&lt;&gt;"",K84,TODAY())-B84)</f>
        <v/>
      </c>
    </row>
    <row r="85">
      <c r="A85" s="39">
        <f>IF(C85="","","NCR-"&amp;TEXT(ROW()-4,"0000"))</f>
        <v/>
      </c>
      <c r="B85" s="47" t="n"/>
      <c r="C85" s="50" t="n"/>
      <c r="D85" s="49">
        <f>IF(C85="","",IFERROR(INDEX('المشروعات'!$B$5:$B$304,MATCH(C85,'المشروعات'!$A$5:$A$304,0)),""))</f>
        <v/>
      </c>
      <c r="E85" s="40" t="n"/>
      <c r="F85" s="40" t="n"/>
      <c r="G85" s="40" t="n"/>
      <c r="H85" s="40" t="n"/>
      <c r="I85" s="40" t="n"/>
      <c r="J85" s="47" t="n"/>
      <c r="K85" s="47" t="n"/>
      <c r="L85" s="49">
        <f>IF(C85="","",IF(K85&lt;&gt;"","مغلق",IF(AND(J85&lt;&gt;"",TODAY()&gt;J85),"مفتوح – متأخر","مفتوح")))</f>
        <v/>
      </c>
      <c r="M85" s="48">
        <f>IF(B85="","",IF(K85&lt;&gt;"",K85,TODAY())-B85)</f>
        <v/>
      </c>
    </row>
    <row r="86">
      <c r="A86" s="39">
        <f>IF(C86="","","NCR-"&amp;TEXT(ROW()-4,"0000"))</f>
        <v/>
      </c>
      <c r="B86" s="47" t="n"/>
      <c r="C86" s="50" t="n"/>
      <c r="D86" s="49">
        <f>IF(C86="","",IFERROR(INDEX('المشروعات'!$B$5:$B$304,MATCH(C86,'المشروعات'!$A$5:$A$304,0)),""))</f>
        <v/>
      </c>
      <c r="E86" s="40" t="n"/>
      <c r="F86" s="40" t="n"/>
      <c r="G86" s="40" t="n"/>
      <c r="H86" s="40" t="n"/>
      <c r="I86" s="40" t="n"/>
      <c r="J86" s="47" t="n"/>
      <c r="K86" s="47" t="n"/>
      <c r="L86" s="49">
        <f>IF(C86="","",IF(K86&lt;&gt;"","مغلق",IF(AND(J86&lt;&gt;"",TODAY()&gt;J86),"مفتوح – متأخر","مفتوح")))</f>
        <v/>
      </c>
      <c r="M86" s="48">
        <f>IF(B86="","",IF(K86&lt;&gt;"",K86,TODAY())-B86)</f>
        <v/>
      </c>
    </row>
    <row r="87">
      <c r="A87" s="39">
        <f>IF(C87="","","NCR-"&amp;TEXT(ROW()-4,"0000"))</f>
        <v/>
      </c>
      <c r="B87" s="47" t="n"/>
      <c r="C87" s="50" t="n"/>
      <c r="D87" s="49">
        <f>IF(C87="","",IFERROR(INDEX('المشروعات'!$B$5:$B$304,MATCH(C87,'المشروعات'!$A$5:$A$304,0)),""))</f>
        <v/>
      </c>
      <c r="E87" s="40" t="n"/>
      <c r="F87" s="40" t="n"/>
      <c r="G87" s="40" t="n"/>
      <c r="H87" s="40" t="n"/>
      <c r="I87" s="40" t="n"/>
      <c r="J87" s="47" t="n"/>
      <c r="K87" s="47" t="n"/>
      <c r="L87" s="49">
        <f>IF(C87="","",IF(K87&lt;&gt;"","مغلق",IF(AND(J87&lt;&gt;"",TODAY()&gt;J87),"مفتوح – متأخر","مفتوح")))</f>
        <v/>
      </c>
      <c r="M87" s="48">
        <f>IF(B87="","",IF(K87&lt;&gt;"",K87,TODAY())-B87)</f>
        <v/>
      </c>
    </row>
    <row r="88">
      <c r="A88" s="39">
        <f>IF(C88="","","NCR-"&amp;TEXT(ROW()-4,"0000"))</f>
        <v/>
      </c>
      <c r="B88" s="47" t="n"/>
      <c r="C88" s="50" t="n"/>
      <c r="D88" s="49">
        <f>IF(C88="","",IFERROR(INDEX('المشروعات'!$B$5:$B$304,MATCH(C88,'المشروعات'!$A$5:$A$304,0)),""))</f>
        <v/>
      </c>
      <c r="E88" s="40" t="n"/>
      <c r="F88" s="40" t="n"/>
      <c r="G88" s="40" t="n"/>
      <c r="H88" s="40" t="n"/>
      <c r="I88" s="40" t="n"/>
      <c r="J88" s="47" t="n"/>
      <c r="K88" s="47" t="n"/>
      <c r="L88" s="49">
        <f>IF(C88="","",IF(K88&lt;&gt;"","مغلق",IF(AND(J88&lt;&gt;"",TODAY()&gt;J88),"مفتوح – متأخر","مفتوح")))</f>
        <v/>
      </c>
      <c r="M88" s="48">
        <f>IF(B88="","",IF(K88&lt;&gt;"",K88,TODAY())-B88)</f>
        <v/>
      </c>
    </row>
    <row r="89">
      <c r="A89" s="39">
        <f>IF(C89="","","NCR-"&amp;TEXT(ROW()-4,"0000"))</f>
        <v/>
      </c>
      <c r="B89" s="47" t="n"/>
      <c r="C89" s="50" t="n"/>
      <c r="D89" s="49">
        <f>IF(C89="","",IFERROR(INDEX('المشروعات'!$B$5:$B$304,MATCH(C89,'المشروعات'!$A$5:$A$304,0)),""))</f>
        <v/>
      </c>
      <c r="E89" s="40" t="n"/>
      <c r="F89" s="40" t="n"/>
      <c r="G89" s="40" t="n"/>
      <c r="H89" s="40" t="n"/>
      <c r="I89" s="40" t="n"/>
      <c r="J89" s="47" t="n"/>
      <c r="K89" s="47" t="n"/>
      <c r="L89" s="49">
        <f>IF(C89="","",IF(K89&lt;&gt;"","مغلق",IF(AND(J89&lt;&gt;"",TODAY()&gt;J89),"مفتوح – متأخر","مفتوح")))</f>
        <v/>
      </c>
      <c r="M89" s="48">
        <f>IF(B89="","",IF(K89&lt;&gt;"",K89,TODAY())-B89)</f>
        <v/>
      </c>
    </row>
    <row r="90">
      <c r="A90" s="39">
        <f>IF(C90="","","NCR-"&amp;TEXT(ROW()-4,"0000"))</f>
        <v/>
      </c>
      <c r="B90" s="47" t="n"/>
      <c r="C90" s="50" t="n"/>
      <c r="D90" s="49">
        <f>IF(C90="","",IFERROR(INDEX('المشروعات'!$B$5:$B$304,MATCH(C90,'المشروعات'!$A$5:$A$304,0)),""))</f>
        <v/>
      </c>
      <c r="E90" s="40" t="n"/>
      <c r="F90" s="40" t="n"/>
      <c r="G90" s="40" t="n"/>
      <c r="H90" s="40" t="n"/>
      <c r="I90" s="40" t="n"/>
      <c r="J90" s="47" t="n"/>
      <c r="K90" s="47" t="n"/>
      <c r="L90" s="49">
        <f>IF(C90="","",IF(K90&lt;&gt;"","مغلق",IF(AND(J90&lt;&gt;"",TODAY()&gt;J90),"مفتوح – متأخر","مفتوح")))</f>
        <v/>
      </c>
      <c r="M90" s="48">
        <f>IF(B90="","",IF(K90&lt;&gt;"",K90,TODAY())-B90)</f>
        <v/>
      </c>
    </row>
    <row r="91">
      <c r="A91" s="39">
        <f>IF(C91="","","NCR-"&amp;TEXT(ROW()-4,"0000"))</f>
        <v/>
      </c>
      <c r="B91" s="47" t="n"/>
      <c r="C91" s="50" t="n"/>
      <c r="D91" s="49">
        <f>IF(C91="","",IFERROR(INDEX('المشروعات'!$B$5:$B$304,MATCH(C91,'المشروعات'!$A$5:$A$304,0)),""))</f>
        <v/>
      </c>
      <c r="E91" s="40" t="n"/>
      <c r="F91" s="40" t="n"/>
      <c r="G91" s="40" t="n"/>
      <c r="H91" s="40" t="n"/>
      <c r="I91" s="40" t="n"/>
      <c r="J91" s="47" t="n"/>
      <c r="K91" s="47" t="n"/>
      <c r="L91" s="49">
        <f>IF(C91="","",IF(K91&lt;&gt;"","مغلق",IF(AND(J91&lt;&gt;"",TODAY()&gt;J91),"مفتوح – متأخر","مفتوح")))</f>
        <v/>
      </c>
      <c r="M91" s="48">
        <f>IF(B91="","",IF(K91&lt;&gt;"",K91,TODAY())-B91)</f>
        <v/>
      </c>
    </row>
    <row r="92">
      <c r="A92" s="39">
        <f>IF(C92="","","NCR-"&amp;TEXT(ROW()-4,"0000"))</f>
        <v/>
      </c>
      <c r="B92" s="47" t="n"/>
      <c r="C92" s="50" t="n"/>
      <c r="D92" s="49">
        <f>IF(C92="","",IFERROR(INDEX('المشروعات'!$B$5:$B$304,MATCH(C92,'المشروعات'!$A$5:$A$304,0)),""))</f>
        <v/>
      </c>
      <c r="E92" s="40" t="n"/>
      <c r="F92" s="40" t="n"/>
      <c r="G92" s="40" t="n"/>
      <c r="H92" s="40" t="n"/>
      <c r="I92" s="40" t="n"/>
      <c r="J92" s="47" t="n"/>
      <c r="K92" s="47" t="n"/>
      <c r="L92" s="49">
        <f>IF(C92="","",IF(K92&lt;&gt;"","مغلق",IF(AND(J92&lt;&gt;"",TODAY()&gt;J92),"مفتوح – متأخر","مفتوح")))</f>
        <v/>
      </c>
      <c r="M92" s="48">
        <f>IF(B92="","",IF(K92&lt;&gt;"",K92,TODAY())-B92)</f>
        <v/>
      </c>
    </row>
    <row r="93">
      <c r="A93" s="39">
        <f>IF(C93="","","NCR-"&amp;TEXT(ROW()-4,"0000"))</f>
        <v/>
      </c>
      <c r="B93" s="47" t="n"/>
      <c r="C93" s="50" t="n"/>
      <c r="D93" s="49">
        <f>IF(C93="","",IFERROR(INDEX('المشروعات'!$B$5:$B$304,MATCH(C93,'المشروعات'!$A$5:$A$304,0)),""))</f>
        <v/>
      </c>
      <c r="E93" s="40" t="n"/>
      <c r="F93" s="40" t="n"/>
      <c r="G93" s="40" t="n"/>
      <c r="H93" s="40" t="n"/>
      <c r="I93" s="40" t="n"/>
      <c r="J93" s="47" t="n"/>
      <c r="K93" s="47" t="n"/>
      <c r="L93" s="49">
        <f>IF(C93="","",IF(K93&lt;&gt;"","مغلق",IF(AND(J93&lt;&gt;"",TODAY()&gt;J93),"مفتوح – متأخر","مفتوح")))</f>
        <v/>
      </c>
      <c r="M93" s="48">
        <f>IF(B93="","",IF(K93&lt;&gt;"",K93,TODAY())-B93)</f>
        <v/>
      </c>
    </row>
    <row r="94">
      <c r="A94" s="39">
        <f>IF(C94="","","NCR-"&amp;TEXT(ROW()-4,"0000"))</f>
        <v/>
      </c>
      <c r="B94" s="47" t="n"/>
      <c r="C94" s="50" t="n"/>
      <c r="D94" s="49">
        <f>IF(C94="","",IFERROR(INDEX('المشروعات'!$B$5:$B$304,MATCH(C94,'المشروعات'!$A$5:$A$304,0)),""))</f>
        <v/>
      </c>
      <c r="E94" s="40" t="n"/>
      <c r="F94" s="40" t="n"/>
      <c r="G94" s="40" t="n"/>
      <c r="H94" s="40" t="n"/>
      <c r="I94" s="40" t="n"/>
      <c r="J94" s="47" t="n"/>
      <c r="K94" s="47" t="n"/>
      <c r="L94" s="49">
        <f>IF(C94="","",IF(K94&lt;&gt;"","مغلق",IF(AND(J94&lt;&gt;"",TODAY()&gt;J94),"مفتوح – متأخر","مفتوح")))</f>
        <v/>
      </c>
      <c r="M94" s="48">
        <f>IF(B94="","",IF(K94&lt;&gt;"",K94,TODAY())-B94)</f>
        <v/>
      </c>
    </row>
    <row r="95">
      <c r="A95" s="39">
        <f>IF(C95="","","NCR-"&amp;TEXT(ROW()-4,"0000"))</f>
        <v/>
      </c>
      <c r="B95" s="47" t="n"/>
      <c r="C95" s="50" t="n"/>
      <c r="D95" s="49">
        <f>IF(C95="","",IFERROR(INDEX('المشروعات'!$B$5:$B$304,MATCH(C95,'المشروعات'!$A$5:$A$304,0)),""))</f>
        <v/>
      </c>
      <c r="E95" s="40" t="n"/>
      <c r="F95" s="40" t="n"/>
      <c r="G95" s="40" t="n"/>
      <c r="H95" s="40" t="n"/>
      <c r="I95" s="40" t="n"/>
      <c r="J95" s="47" t="n"/>
      <c r="K95" s="47" t="n"/>
      <c r="L95" s="49">
        <f>IF(C95="","",IF(K95&lt;&gt;"","مغلق",IF(AND(J95&lt;&gt;"",TODAY()&gt;J95),"مفتوح – متأخر","مفتوح")))</f>
        <v/>
      </c>
      <c r="M95" s="48">
        <f>IF(B95="","",IF(K95&lt;&gt;"",K95,TODAY())-B95)</f>
        <v/>
      </c>
    </row>
    <row r="96">
      <c r="A96" s="39">
        <f>IF(C96="","","NCR-"&amp;TEXT(ROW()-4,"0000"))</f>
        <v/>
      </c>
      <c r="B96" s="47" t="n"/>
      <c r="C96" s="50" t="n"/>
      <c r="D96" s="49">
        <f>IF(C96="","",IFERROR(INDEX('المشروعات'!$B$5:$B$304,MATCH(C96,'المشروعات'!$A$5:$A$304,0)),""))</f>
        <v/>
      </c>
      <c r="E96" s="40" t="n"/>
      <c r="F96" s="40" t="n"/>
      <c r="G96" s="40" t="n"/>
      <c r="H96" s="40" t="n"/>
      <c r="I96" s="40" t="n"/>
      <c r="J96" s="47" t="n"/>
      <c r="K96" s="47" t="n"/>
      <c r="L96" s="49">
        <f>IF(C96="","",IF(K96&lt;&gt;"","مغلق",IF(AND(J96&lt;&gt;"",TODAY()&gt;J96),"مفتوح – متأخر","مفتوح")))</f>
        <v/>
      </c>
      <c r="M96" s="48">
        <f>IF(B96="","",IF(K96&lt;&gt;"",K96,TODAY())-B96)</f>
        <v/>
      </c>
    </row>
    <row r="97">
      <c r="A97" s="39">
        <f>IF(C97="","","NCR-"&amp;TEXT(ROW()-4,"0000"))</f>
        <v/>
      </c>
      <c r="B97" s="47" t="n"/>
      <c r="C97" s="50" t="n"/>
      <c r="D97" s="49">
        <f>IF(C97="","",IFERROR(INDEX('المشروعات'!$B$5:$B$304,MATCH(C97,'المشروعات'!$A$5:$A$304,0)),""))</f>
        <v/>
      </c>
      <c r="E97" s="40" t="n"/>
      <c r="F97" s="40" t="n"/>
      <c r="G97" s="40" t="n"/>
      <c r="H97" s="40" t="n"/>
      <c r="I97" s="40" t="n"/>
      <c r="J97" s="47" t="n"/>
      <c r="K97" s="47" t="n"/>
      <c r="L97" s="49">
        <f>IF(C97="","",IF(K97&lt;&gt;"","مغلق",IF(AND(J97&lt;&gt;"",TODAY()&gt;J97),"مفتوح – متأخر","مفتوح")))</f>
        <v/>
      </c>
      <c r="M97" s="48">
        <f>IF(B97="","",IF(K97&lt;&gt;"",K97,TODAY())-B97)</f>
        <v/>
      </c>
    </row>
    <row r="98">
      <c r="A98" s="39">
        <f>IF(C98="","","NCR-"&amp;TEXT(ROW()-4,"0000"))</f>
        <v/>
      </c>
      <c r="B98" s="47" t="n"/>
      <c r="C98" s="50" t="n"/>
      <c r="D98" s="49">
        <f>IF(C98="","",IFERROR(INDEX('المشروعات'!$B$5:$B$304,MATCH(C98,'المشروعات'!$A$5:$A$304,0)),""))</f>
        <v/>
      </c>
      <c r="E98" s="40" t="n"/>
      <c r="F98" s="40" t="n"/>
      <c r="G98" s="40" t="n"/>
      <c r="H98" s="40" t="n"/>
      <c r="I98" s="40" t="n"/>
      <c r="J98" s="47" t="n"/>
      <c r="K98" s="47" t="n"/>
      <c r="L98" s="49">
        <f>IF(C98="","",IF(K98&lt;&gt;"","مغلق",IF(AND(J98&lt;&gt;"",TODAY()&gt;J98),"مفتوح – متأخر","مفتوح")))</f>
        <v/>
      </c>
      <c r="M98" s="48">
        <f>IF(B98="","",IF(K98&lt;&gt;"",K98,TODAY())-B98)</f>
        <v/>
      </c>
    </row>
    <row r="99">
      <c r="A99" s="39">
        <f>IF(C99="","","NCR-"&amp;TEXT(ROW()-4,"0000"))</f>
        <v/>
      </c>
      <c r="B99" s="47" t="n"/>
      <c r="C99" s="50" t="n"/>
      <c r="D99" s="49">
        <f>IF(C99="","",IFERROR(INDEX('المشروعات'!$B$5:$B$304,MATCH(C99,'المشروعات'!$A$5:$A$304,0)),""))</f>
        <v/>
      </c>
      <c r="E99" s="40" t="n"/>
      <c r="F99" s="40" t="n"/>
      <c r="G99" s="40" t="n"/>
      <c r="H99" s="40" t="n"/>
      <c r="I99" s="40" t="n"/>
      <c r="J99" s="47" t="n"/>
      <c r="K99" s="47" t="n"/>
      <c r="L99" s="49">
        <f>IF(C99="","",IF(K99&lt;&gt;"","مغلق",IF(AND(J99&lt;&gt;"",TODAY()&gt;J99),"مفتوح – متأخر","مفتوح")))</f>
        <v/>
      </c>
      <c r="M99" s="48">
        <f>IF(B99="","",IF(K99&lt;&gt;"",K99,TODAY())-B99)</f>
        <v/>
      </c>
    </row>
    <row r="100">
      <c r="A100" s="39">
        <f>IF(C100="","","NCR-"&amp;TEXT(ROW()-4,"0000"))</f>
        <v/>
      </c>
      <c r="B100" s="47" t="n"/>
      <c r="C100" s="50" t="n"/>
      <c r="D100" s="49">
        <f>IF(C100="","",IFERROR(INDEX('المشروعات'!$B$5:$B$304,MATCH(C100,'المشروعات'!$A$5:$A$304,0)),""))</f>
        <v/>
      </c>
      <c r="E100" s="40" t="n"/>
      <c r="F100" s="40" t="n"/>
      <c r="G100" s="40" t="n"/>
      <c r="H100" s="40" t="n"/>
      <c r="I100" s="40" t="n"/>
      <c r="J100" s="47" t="n"/>
      <c r="K100" s="47" t="n"/>
      <c r="L100" s="49">
        <f>IF(C100="","",IF(K100&lt;&gt;"","مغلق",IF(AND(J100&lt;&gt;"",TODAY()&gt;J100),"مفتوح – متأخر","مفتوح")))</f>
        <v/>
      </c>
      <c r="M100" s="48">
        <f>IF(B100="","",IF(K100&lt;&gt;"",K100,TODAY())-B100)</f>
        <v/>
      </c>
    </row>
    <row r="101">
      <c r="A101" s="39">
        <f>IF(C101="","","NCR-"&amp;TEXT(ROW()-4,"0000"))</f>
        <v/>
      </c>
      <c r="B101" s="47" t="n"/>
      <c r="C101" s="50" t="n"/>
      <c r="D101" s="49">
        <f>IF(C101="","",IFERROR(INDEX('المشروعات'!$B$5:$B$304,MATCH(C101,'المشروعات'!$A$5:$A$304,0)),""))</f>
        <v/>
      </c>
      <c r="E101" s="40" t="n"/>
      <c r="F101" s="40" t="n"/>
      <c r="G101" s="40" t="n"/>
      <c r="H101" s="40" t="n"/>
      <c r="I101" s="40" t="n"/>
      <c r="J101" s="47" t="n"/>
      <c r="K101" s="47" t="n"/>
      <c r="L101" s="49">
        <f>IF(C101="","",IF(K101&lt;&gt;"","مغلق",IF(AND(J101&lt;&gt;"",TODAY()&gt;J101),"مفتوح – متأخر","مفتوح")))</f>
        <v/>
      </c>
      <c r="M101" s="48">
        <f>IF(B101="","",IF(K101&lt;&gt;"",K101,TODAY())-B101)</f>
        <v/>
      </c>
    </row>
    <row r="102">
      <c r="A102" s="39">
        <f>IF(C102="","","NCR-"&amp;TEXT(ROW()-4,"0000"))</f>
        <v/>
      </c>
      <c r="B102" s="47" t="n"/>
      <c r="C102" s="50" t="n"/>
      <c r="D102" s="49">
        <f>IF(C102="","",IFERROR(INDEX('المشروعات'!$B$5:$B$304,MATCH(C102,'المشروعات'!$A$5:$A$304,0)),""))</f>
        <v/>
      </c>
      <c r="E102" s="40" t="n"/>
      <c r="F102" s="40" t="n"/>
      <c r="G102" s="40" t="n"/>
      <c r="H102" s="40" t="n"/>
      <c r="I102" s="40" t="n"/>
      <c r="J102" s="47" t="n"/>
      <c r="K102" s="47" t="n"/>
      <c r="L102" s="49">
        <f>IF(C102="","",IF(K102&lt;&gt;"","مغلق",IF(AND(J102&lt;&gt;"",TODAY()&gt;J102),"مفتوح – متأخر","مفتوح")))</f>
        <v/>
      </c>
      <c r="M102" s="48">
        <f>IF(B102="","",IF(K102&lt;&gt;"",K102,TODAY())-B102)</f>
        <v/>
      </c>
    </row>
    <row r="103">
      <c r="A103" s="39">
        <f>IF(C103="","","NCR-"&amp;TEXT(ROW()-4,"0000"))</f>
        <v/>
      </c>
      <c r="B103" s="47" t="n"/>
      <c r="C103" s="50" t="n"/>
      <c r="D103" s="49">
        <f>IF(C103="","",IFERROR(INDEX('المشروعات'!$B$5:$B$304,MATCH(C103,'المشروعات'!$A$5:$A$304,0)),""))</f>
        <v/>
      </c>
      <c r="E103" s="40" t="n"/>
      <c r="F103" s="40" t="n"/>
      <c r="G103" s="40" t="n"/>
      <c r="H103" s="40" t="n"/>
      <c r="I103" s="40" t="n"/>
      <c r="J103" s="47" t="n"/>
      <c r="K103" s="47" t="n"/>
      <c r="L103" s="49">
        <f>IF(C103="","",IF(K103&lt;&gt;"","مغلق",IF(AND(J103&lt;&gt;"",TODAY()&gt;J103),"مفتوح – متأخر","مفتوح")))</f>
        <v/>
      </c>
      <c r="M103" s="48">
        <f>IF(B103="","",IF(K103&lt;&gt;"",K103,TODAY())-B103)</f>
        <v/>
      </c>
    </row>
    <row r="104">
      <c r="A104" s="39">
        <f>IF(C104="","","NCR-"&amp;TEXT(ROW()-4,"0000"))</f>
        <v/>
      </c>
      <c r="B104" s="47" t="n"/>
      <c r="C104" s="50" t="n"/>
      <c r="D104" s="49">
        <f>IF(C104="","",IFERROR(INDEX('المشروعات'!$B$5:$B$304,MATCH(C104,'المشروعات'!$A$5:$A$304,0)),""))</f>
        <v/>
      </c>
      <c r="E104" s="40" t="n"/>
      <c r="F104" s="40" t="n"/>
      <c r="G104" s="40" t="n"/>
      <c r="H104" s="40" t="n"/>
      <c r="I104" s="40" t="n"/>
      <c r="J104" s="47" t="n"/>
      <c r="K104" s="47" t="n"/>
      <c r="L104" s="49">
        <f>IF(C104="","",IF(K104&lt;&gt;"","مغلق",IF(AND(J104&lt;&gt;"",TODAY()&gt;J104),"مفتوح – متأخر","مفتوح")))</f>
        <v/>
      </c>
      <c r="M104" s="48">
        <f>IF(B104="","",IF(K104&lt;&gt;"",K104,TODAY())-B104)</f>
        <v/>
      </c>
    </row>
    <row r="105">
      <c r="A105" s="39">
        <f>IF(C105="","","NCR-"&amp;TEXT(ROW()-4,"0000"))</f>
        <v/>
      </c>
      <c r="B105" s="47" t="n"/>
      <c r="C105" s="50" t="n"/>
      <c r="D105" s="49">
        <f>IF(C105="","",IFERROR(INDEX('المشروعات'!$B$5:$B$304,MATCH(C105,'المشروعات'!$A$5:$A$304,0)),""))</f>
        <v/>
      </c>
      <c r="E105" s="40" t="n"/>
      <c r="F105" s="40" t="n"/>
      <c r="G105" s="40" t="n"/>
      <c r="H105" s="40" t="n"/>
      <c r="I105" s="40" t="n"/>
      <c r="J105" s="47" t="n"/>
      <c r="K105" s="47" t="n"/>
      <c r="L105" s="49">
        <f>IF(C105="","",IF(K105&lt;&gt;"","مغلق",IF(AND(J105&lt;&gt;"",TODAY()&gt;J105),"مفتوح – متأخر","مفتوح")))</f>
        <v/>
      </c>
      <c r="M105" s="48">
        <f>IF(B105="","",IF(K105&lt;&gt;"",K105,TODAY())-B105)</f>
        <v/>
      </c>
    </row>
    <row r="106">
      <c r="A106" s="39">
        <f>IF(C106="","","NCR-"&amp;TEXT(ROW()-4,"0000"))</f>
        <v/>
      </c>
      <c r="B106" s="47" t="n"/>
      <c r="C106" s="50" t="n"/>
      <c r="D106" s="49">
        <f>IF(C106="","",IFERROR(INDEX('المشروعات'!$B$5:$B$304,MATCH(C106,'المشروعات'!$A$5:$A$304,0)),""))</f>
        <v/>
      </c>
      <c r="E106" s="40" t="n"/>
      <c r="F106" s="40" t="n"/>
      <c r="G106" s="40" t="n"/>
      <c r="H106" s="40" t="n"/>
      <c r="I106" s="40" t="n"/>
      <c r="J106" s="47" t="n"/>
      <c r="K106" s="47" t="n"/>
      <c r="L106" s="49">
        <f>IF(C106="","",IF(K106&lt;&gt;"","مغلق",IF(AND(J106&lt;&gt;"",TODAY()&gt;J106),"مفتوح – متأخر","مفتوح")))</f>
        <v/>
      </c>
      <c r="M106" s="48">
        <f>IF(B106="","",IF(K106&lt;&gt;"",K106,TODAY())-B106)</f>
        <v/>
      </c>
    </row>
    <row r="107">
      <c r="A107" s="39">
        <f>IF(C107="","","NCR-"&amp;TEXT(ROW()-4,"0000"))</f>
        <v/>
      </c>
      <c r="B107" s="47" t="n"/>
      <c r="C107" s="50" t="n"/>
      <c r="D107" s="49">
        <f>IF(C107="","",IFERROR(INDEX('المشروعات'!$B$5:$B$304,MATCH(C107,'المشروعات'!$A$5:$A$304,0)),""))</f>
        <v/>
      </c>
      <c r="E107" s="40" t="n"/>
      <c r="F107" s="40" t="n"/>
      <c r="G107" s="40" t="n"/>
      <c r="H107" s="40" t="n"/>
      <c r="I107" s="40" t="n"/>
      <c r="J107" s="47" t="n"/>
      <c r="K107" s="47" t="n"/>
      <c r="L107" s="49">
        <f>IF(C107="","",IF(K107&lt;&gt;"","مغلق",IF(AND(J107&lt;&gt;"",TODAY()&gt;J107),"مفتوح – متأخر","مفتوح")))</f>
        <v/>
      </c>
      <c r="M107" s="48">
        <f>IF(B107="","",IF(K107&lt;&gt;"",K107,TODAY())-B107)</f>
        <v/>
      </c>
    </row>
    <row r="108">
      <c r="A108" s="39">
        <f>IF(C108="","","NCR-"&amp;TEXT(ROW()-4,"0000"))</f>
        <v/>
      </c>
      <c r="B108" s="47" t="n"/>
      <c r="C108" s="50" t="n"/>
      <c r="D108" s="49">
        <f>IF(C108="","",IFERROR(INDEX('المشروعات'!$B$5:$B$304,MATCH(C108,'المشروعات'!$A$5:$A$304,0)),""))</f>
        <v/>
      </c>
      <c r="E108" s="40" t="n"/>
      <c r="F108" s="40" t="n"/>
      <c r="G108" s="40" t="n"/>
      <c r="H108" s="40" t="n"/>
      <c r="I108" s="40" t="n"/>
      <c r="J108" s="47" t="n"/>
      <c r="K108" s="47" t="n"/>
      <c r="L108" s="49">
        <f>IF(C108="","",IF(K108&lt;&gt;"","مغلق",IF(AND(J108&lt;&gt;"",TODAY()&gt;J108),"مفتوح – متأخر","مفتوح")))</f>
        <v/>
      </c>
      <c r="M108" s="48">
        <f>IF(B108="","",IF(K108&lt;&gt;"",K108,TODAY())-B108)</f>
        <v/>
      </c>
    </row>
    <row r="109">
      <c r="A109" s="39">
        <f>IF(C109="","","NCR-"&amp;TEXT(ROW()-4,"0000"))</f>
        <v/>
      </c>
      <c r="B109" s="47" t="n"/>
      <c r="C109" s="50" t="n"/>
      <c r="D109" s="49">
        <f>IF(C109="","",IFERROR(INDEX('المشروعات'!$B$5:$B$304,MATCH(C109,'المشروعات'!$A$5:$A$304,0)),""))</f>
        <v/>
      </c>
      <c r="E109" s="40" t="n"/>
      <c r="F109" s="40" t="n"/>
      <c r="G109" s="40" t="n"/>
      <c r="H109" s="40" t="n"/>
      <c r="I109" s="40" t="n"/>
      <c r="J109" s="47" t="n"/>
      <c r="K109" s="47" t="n"/>
      <c r="L109" s="49">
        <f>IF(C109="","",IF(K109&lt;&gt;"","مغلق",IF(AND(J109&lt;&gt;"",TODAY()&gt;J109),"مفتوح – متأخر","مفتوح")))</f>
        <v/>
      </c>
      <c r="M109" s="48">
        <f>IF(B109="","",IF(K109&lt;&gt;"",K109,TODAY())-B109)</f>
        <v/>
      </c>
    </row>
    <row r="110">
      <c r="A110" s="39">
        <f>IF(C110="","","NCR-"&amp;TEXT(ROW()-4,"0000"))</f>
        <v/>
      </c>
      <c r="B110" s="47" t="n"/>
      <c r="C110" s="50" t="n"/>
      <c r="D110" s="49">
        <f>IF(C110="","",IFERROR(INDEX('المشروعات'!$B$5:$B$304,MATCH(C110,'المشروعات'!$A$5:$A$304,0)),""))</f>
        <v/>
      </c>
      <c r="E110" s="40" t="n"/>
      <c r="F110" s="40" t="n"/>
      <c r="G110" s="40" t="n"/>
      <c r="H110" s="40" t="n"/>
      <c r="I110" s="40" t="n"/>
      <c r="J110" s="47" t="n"/>
      <c r="K110" s="47" t="n"/>
      <c r="L110" s="49">
        <f>IF(C110="","",IF(K110&lt;&gt;"","مغلق",IF(AND(J110&lt;&gt;"",TODAY()&gt;J110),"مفتوح – متأخر","مفتوح")))</f>
        <v/>
      </c>
      <c r="M110" s="48">
        <f>IF(B110="","",IF(K110&lt;&gt;"",K110,TODAY())-B110)</f>
        <v/>
      </c>
    </row>
    <row r="111">
      <c r="A111" s="39">
        <f>IF(C111="","","NCR-"&amp;TEXT(ROW()-4,"0000"))</f>
        <v/>
      </c>
      <c r="B111" s="47" t="n"/>
      <c r="C111" s="50" t="n"/>
      <c r="D111" s="49">
        <f>IF(C111="","",IFERROR(INDEX('المشروعات'!$B$5:$B$304,MATCH(C111,'المشروعات'!$A$5:$A$304,0)),""))</f>
        <v/>
      </c>
      <c r="E111" s="40" t="n"/>
      <c r="F111" s="40" t="n"/>
      <c r="G111" s="40" t="n"/>
      <c r="H111" s="40" t="n"/>
      <c r="I111" s="40" t="n"/>
      <c r="J111" s="47" t="n"/>
      <c r="K111" s="47" t="n"/>
      <c r="L111" s="49">
        <f>IF(C111="","",IF(K111&lt;&gt;"","مغلق",IF(AND(J111&lt;&gt;"",TODAY()&gt;J111),"مفتوح – متأخر","مفتوح")))</f>
        <v/>
      </c>
      <c r="M111" s="48">
        <f>IF(B111="","",IF(K111&lt;&gt;"",K111,TODAY())-B111)</f>
        <v/>
      </c>
    </row>
    <row r="112">
      <c r="A112" s="39">
        <f>IF(C112="","","NCR-"&amp;TEXT(ROW()-4,"0000"))</f>
        <v/>
      </c>
      <c r="B112" s="47" t="n"/>
      <c r="C112" s="50" t="n"/>
      <c r="D112" s="49">
        <f>IF(C112="","",IFERROR(INDEX('المشروعات'!$B$5:$B$304,MATCH(C112,'المشروعات'!$A$5:$A$304,0)),""))</f>
        <v/>
      </c>
      <c r="E112" s="40" t="n"/>
      <c r="F112" s="40" t="n"/>
      <c r="G112" s="40" t="n"/>
      <c r="H112" s="40" t="n"/>
      <c r="I112" s="40" t="n"/>
      <c r="J112" s="47" t="n"/>
      <c r="K112" s="47" t="n"/>
      <c r="L112" s="49">
        <f>IF(C112="","",IF(K112&lt;&gt;"","مغلق",IF(AND(J112&lt;&gt;"",TODAY()&gt;J112),"مفتوح – متأخر","مفتوح")))</f>
        <v/>
      </c>
      <c r="M112" s="48">
        <f>IF(B112="","",IF(K112&lt;&gt;"",K112,TODAY())-B112)</f>
        <v/>
      </c>
    </row>
    <row r="113">
      <c r="A113" s="39">
        <f>IF(C113="","","NCR-"&amp;TEXT(ROW()-4,"0000"))</f>
        <v/>
      </c>
      <c r="B113" s="47" t="n"/>
      <c r="C113" s="50" t="n"/>
      <c r="D113" s="49">
        <f>IF(C113="","",IFERROR(INDEX('المشروعات'!$B$5:$B$304,MATCH(C113,'المشروعات'!$A$5:$A$304,0)),""))</f>
        <v/>
      </c>
      <c r="E113" s="40" t="n"/>
      <c r="F113" s="40" t="n"/>
      <c r="G113" s="40" t="n"/>
      <c r="H113" s="40" t="n"/>
      <c r="I113" s="40" t="n"/>
      <c r="J113" s="47" t="n"/>
      <c r="K113" s="47" t="n"/>
      <c r="L113" s="49">
        <f>IF(C113="","",IF(K113&lt;&gt;"","مغلق",IF(AND(J113&lt;&gt;"",TODAY()&gt;J113),"مفتوح – متأخر","مفتوح")))</f>
        <v/>
      </c>
      <c r="M113" s="48">
        <f>IF(B113="","",IF(K113&lt;&gt;"",K113,TODAY())-B113)</f>
        <v/>
      </c>
    </row>
    <row r="114">
      <c r="A114" s="39">
        <f>IF(C114="","","NCR-"&amp;TEXT(ROW()-4,"0000"))</f>
        <v/>
      </c>
      <c r="B114" s="47" t="n"/>
      <c r="C114" s="50" t="n"/>
      <c r="D114" s="49">
        <f>IF(C114="","",IFERROR(INDEX('المشروعات'!$B$5:$B$304,MATCH(C114,'المشروعات'!$A$5:$A$304,0)),""))</f>
        <v/>
      </c>
      <c r="E114" s="40" t="n"/>
      <c r="F114" s="40" t="n"/>
      <c r="G114" s="40" t="n"/>
      <c r="H114" s="40" t="n"/>
      <c r="I114" s="40" t="n"/>
      <c r="J114" s="47" t="n"/>
      <c r="K114" s="47" t="n"/>
      <c r="L114" s="49">
        <f>IF(C114="","",IF(K114&lt;&gt;"","مغلق",IF(AND(J114&lt;&gt;"",TODAY()&gt;J114),"مفتوح – متأخر","مفتوح")))</f>
        <v/>
      </c>
      <c r="M114" s="48">
        <f>IF(B114="","",IF(K114&lt;&gt;"",K114,TODAY())-B114)</f>
        <v/>
      </c>
    </row>
    <row r="115">
      <c r="A115" s="39">
        <f>IF(C115="","","NCR-"&amp;TEXT(ROW()-4,"0000"))</f>
        <v/>
      </c>
      <c r="B115" s="47" t="n"/>
      <c r="C115" s="50" t="n"/>
      <c r="D115" s="49">
        <f>IF(C115="","",IFERROR(INDEX('المشروعات'!$B$5:$B$304,MATCH(C115,'المشروعات'!$A$5:$A$304,0)),""))</f>
        <v/>
      </c>
      <c r="E115" s="40" t="n"/>
      <c r="F115" s="40" t="n"/>
      <c r="G115" s="40" t="n"/>
      <c r="H115" s="40" t="n"/>
      <c r="I115" s="40" t="n"/>
      <c r="J115" s="47" t="n"/>
      <c r="K115" s="47" t="n"/>
      <c r="L115" s="49">
        <f>IF(C115="","",IF(K115&lt;&gt;"","مغلق",IF(AND(J115&lt;&gt;"",TODAY()&gt;J115),"مفتوح – متأخر","مفتوح")))</f>
        <v/>
      </c>
      <c r="M115" s="48">
        <f>IF(B115="","",IF(K115&lt;&gt;"",K115,TODAY())-B115)</f>
        <v/>
      </c>
    </row>
    <row r="116">
      <c r="A116" s="39">
        <f>IF(C116="","","NCR-"&amp;TEXT(ROW()-4,"0000"))</f>
        <v/>
      </c>
      <c r="B116" s="47" t="n"/>
      <c r="C116" s="50" t="n"/>
      <c r="D116" s="49">
        <f>IF(C116="","",IFERROR(INDEX('المشروعات'!$B$5:$B$304,MATCH(C116,'المشروعات'!$A$5:$A$304,0)),""))</f>
        <v/>
      </c>
      <c r="E116" s="40" t="n"/>
      <c r="F116" s="40" t="n"/>
      <c r="G116" s="40" t="n"/>
      <c r="H116" s="40" t="n"/>
      <c r="I116" s="40" t="n"/>
      <c r="J116" s="47" t="n"/>
      <c r="K116" s="47" t="n"/>
      <c r="L116" s="49">
        <f>IF(C116="","",IF(K116&lt;&gt;"","مغلق",IF(AND(J116&lt;&gt;"",TODAY()&gt;J116),"مفتوح – متأخر","مفتوح")))</f>
        <v/>
      </c>
      <c r="M116" s="48">
        <f>IF(B116="","",IF(K116&lt;&gt;"",K116,TODAY())-B116)</f>
        <v/>
      </c>
    </row>
    <row r="117">
      <c r="A117" s="39">
        <f>IF(C117="","","NCR-"&amp;TEXT(ROW()-4,"0000"))</f>
        <v/>
      </c>
      <c r="B117" s="47" t="n"/>
      <c r="C117" s="50" t="n"/>
      <c r="D117" s="49">
        <f>IF(C117="","",IFERROR(INDEX('المشروعات'!$B$5:$B$304,MATCH(C117,'المشروعات'!$A$5:$A$304,0)),""))</f>
        <v/>
      </c>
      <c r="E117" s="40" t="n"/>
      <c r="F117" s="40" t="n"/>
      <c r="G117" s="40" t="n"/>
      <c r="H117" s="40" t="n"/>
      <c r="I117" s="40" t="n"/>
      <c r="J117" s="47" t="n"/>
      <c r="K117" s="47" t="n"/>
      <c r="L117" s="49">
        <f>IF(C117="","",IF(K117&lt;&gt;"","مغلق",IF(AND(J117&lt;&gt;"",TODAY()&gt;J117),"مفتوح – متأخر","مفتوح")))</f>
        <v/>
      </c>
      <c r="M117" s="48">
        <f>IF(B117="","",IF(K117&lt;&gt;"",K117,TODAY())-B117)</f>
        <v/>
      </c>
    </row>
    <row r="118">
      <c r="A118" s="39">
        <f>IF(C118="","","NCR-"&amp;TEXT(ROW()-4,"0000"))</f>
        <v/>
      </c>
      <c r="B118" s="47" t="n"/>
      <c r="C118" s="50" t="n"/>
      <c r="D118" s="49">
        <f>IF(C118="","",IFERROR(INDEX('المشروعات'!$B$5:$B$304,MATCH(C118,'المشروعات'!$A$5:$A$304,0)),""))</f>
        <v/>
      </c>
      <c r="E118" s="40" t="n"/>
      <c r="F118" s="40" t="n"/>
      <c r="G118" s="40" t="n"/>
      <c r="H118" s="40" t="n"/>
      <c r="I118" s="40" t="n"/>
      <c r="J118" s="47" t="n"/>
      <c r="K118" s="47" t="n"/>
      <c r="L118" s="49">
        <f>IF(C118="","",IF(K118&lt;&gt;"","مغلق",IF(AND(J118&lt;&gt;"",TODAY()&gt;J118),"مفتوح – متأخر","مفتوح")))</f>
        <v/>
      </c>
      <c r="M118" s="48">
        <f>IF(B118="","",IF(K118&lt;&gt;"",K118,TODAY())-B118)</f>
        <v/>
      </c>
    </row>
    <row r="119">
      <c r="A119" s="39">
        <f>IF(C119="","","NCR-"&amp;TEXT(ROW()-4,"0000"))</f>
        <v/>
      </c>
      <c r="B119" s="47" t="n"/>
      <c r="C119" s="50" t="n"/>
      <c r="D119" s="49">
        <f>IF(C119="","",IFERROR(INDEX('المشروعات'!$B$5:$B$304,MATCH(C119,'المشروعات'!$A$5:$A$304,0)),""))</f>
        <v/>
      </c>
      <c r="E119" s="40" t="n"/>
      <c r="F119" s="40" t="n"/>
      <c r="G119" s="40" t="n"/>
      <c r="H119" s="40" t="n"/>
      <c r="I119" s="40" t="n"/>
      <c r="J119" s="47" t="n"/>
      <c r="K119" s="47" t="n"/>
      <c r="L119" s="49">
        <f>IF(C119="","",IF(K119&lt;&gt;"","مغلق",IF(AND(J119&lt;&gt;"",TODAY()&gt;J119),"مفتوح – متأخر","مفتوح")))</f>
        <v/>
      </c>
      <c r="M119" s="48">
        <f>IF(B119="","",IF(K119&lt;&gt;"",K119,TODAY())-B119)</f>
        <v/>
      </c>
    </row>
    <row r="120">
      <c r="A120" s="39">
        <f>IF(C120="","","NCR-"&amp;TEXT(ROW()-4,"0000"))</f>
        <v/>
      </c>
      <c r="B120" s="47" t="n"/>
      <c r="C120" s="50" t="n"/>
      <c r="D120" s="49">
        <f>IF(C120="","",IFERROR(INDEX('المشروعات'!$B$5:$B$304,MATCH(C120,'المشروعات'!$A$5:$A$304,0)),""))</f>
        <v/>
      </c>
      <c r="E120" s="40" t="n"/>
      <c r="F120" s="40" t="n"/>
      <c r="G120" s="40" t="n"/>
      <c r="H120" s="40" t="n"/>
      <c r="I120" s="40" t="n"/>
      <c r="J120" s="47" t="n"/>
      <c r="K120" s="47" t="n"/>
      <c r="L120" s="49">
        <f>IF(C120="","",IF(K120&lt;&gt;"","مغلق",IF(AND(J120&lt;&gt;"",TODAY()&gt;J120),"مفتوح – متأخر","مفتوح")))</f>
        <v/>
      </c>
      <c r="M120" s="48">
        <f>IF(B120="","",IF(K120&lt;&gt;"",K120,TODAY())-B120)</f>
        <v/>
      </c>
    </row>
    <row r="121">
      <c r="A121" s="39">
        <f>IF(C121="","","NCR-"&amp;TEXT(ROW()-4,"0000"))</f>
        <v/>
      </c>
      <c r="B121" s="47" t="n"/>
      <c r="C121" s="50" t="n"/>
      <c r="D121" s="49">
        <f>IF(C121="","",IFERROR(INDEX('المشروعات'!$B$5:$B$304,MATCH(C121,'المشروعات'!$A$5:$A$304,0)),""))</f>
        <v/>
      </c>
      <c r="E121" s="40" t="n"/>
      <c r="F121" s="40" t="n"/>
      <c r="G121" s="40" t="n"/>
      <c r="H121" s="40" t="n"/>
      <c r="I121" s="40" t="n"/>
      <c r="J121" s="47" t="n"/>
      <c r="K121" s="47" t="n"/>
      <c r="L121" s="49">
        <f>IF(C121="","",IF(K121&lt;&gt;"","مغلق",IF(AND(J121&lt;&gt;"",TODAY()&gt;J121),"مفتوح – متأخر","مفتوح")))</f>
        <v/>
      </c>
      <c r="M121" s="48">
        <f>IF(B121="","",IF(K121&lt;&gt;"",K121,TODAY())-B121)</f>
        <v/>
      </c>
    </row>
    <row r="122">
      <c r="A122" s="39">
        <f>IF(C122="","","NCR-"&amp;TEXT(ROW()-4,"0000"))</f>
        <v/>
      </c>
      <c r="B122" s="47" t="n"/>
      <c r="C122" s="50" t="n"/>
      <c r="D122" s="49">
        <f>IF(C122="","",IFERROR(INDEX('المشروعات'!$B$5:$B$304,MATCH(C122,'المشروعات'!$A$5:$A$304,0)),""))</f>
        <v/>
      </c>
      <c r="E122" s="40" t="n"/>
      <c r="F122" s="40" t="n"/>
      <c r="G122" s="40" t="n"/>
      <c r="H122" s="40" t="n"/>
      <c r="I122" s="40" t="n"/>
      <c r="J122" s="47" t="n"/>
      <c r="K122" s="47" t="n"/>
      <c r="L122" s="49">
        <f>IF(C122="","",IF(K122&lt;&gt;"","مغلق",IF(AND(J122&lt;&gt;"",TODAY()&gt;J122),"مفتوح – متأخر","مفتوح")))</f>
        <v/>
      </c>
      <c r="M122" s="48">
        <f>IF(B122="","",IF(K122&lt;&gt;"",K122,TODAY())-B122)</f>
        <v/>
      </c>
    </row>
    <row r="123">
      <c r="A123" s="39">
        <f>IF(C123="","","NCR-"&amp;TEXT(ROW()-4,"0000"))</f>
        <v/>
      </c>
      <c r="B123" s="47" t="n"/>
      <c r="C123" s="50" t="n"/>
      <c r="D123" s="49">
        <f>IF(C123="","",IFERROR(INDEX('المشروعات'!$B$5:$B$304,MATCH(C123,'المشروعات'!$A$5:$A$304,0)),""))</f>
        <v/>
      </c>
      <c r="E123" s="40" t="n"/>
      <c r="F123" s="40" t="n"/>
      <c r="G123" s="40" t="n"/>
      <c r="H123" s="40" t="n"/>
      <c r="I123" s="40" t="n"/>
      <c r="J123" s="47" t="n"/>
      <c r="K123" s="47" t="n"/>
      <c r="L123" s="49">
        <f>IF(C123="","",IF(K123&lt;&gt;"","مغلق",IF(AND(J123&lt;&gt;"",TODAY()&gt;J123),"مفتوح – متأخر","مفتوح")))</f>
        <v/>
      </c>
      <c r="M123" s="48">
        <f>IF(B123="","",IF(K123&lt;&gt;"",K123,TODAY())-B123)</f>
        <v/>
      </c>
    </row>
    <row r="124">
      <c r="A124" s="39">
        <f>IF(C124="","","NCR-"&amp;TEXT(ROW()-4,"0000"))</f>
        <v/>
      </c>
      <c r="B124" s="47" t="n"/>
      <c r="C124" s="50" t="n"/>
      <c r="D124" s="49">
        <f>IF(C124="","",IFERROR(INDEX('المشروعات'!$B$5:$B$304,MATCH(C124,'المشروعات'!$A$5:$A$304,0)),""))</f>
        <v/>
      </c>
      <c r="E124" s="40" t="n"/>
      <c r="F124" s="40" t="n"/>
      <c r="G124" s="40" t="n"/>
      <c r="H124" s="40" t="n"/>
      <c r="I124" s="40" t="n"/>
      <c r="J124" s="47" t="n"/>
      <c r="K124" s="47" t="n"/>
      <c r="L124" s="49">
        <f>IF(C124="","",IF(K124&lt;&gt;"","مغلق",IF(AND(J124&lt;&gt;"",TODAY()&gt;J124),"مفتوح – متأخر","مفتوح")))</f>
        <v/>
      </c>
      <c r="M124" s="48">
        <f>IF(B124="","",IF(K124&lt;&gt;"",K124,TODAY())-B124)</f>
        <v/>
      </c>
    </row>
    <row r="125">
      <c r="A125" s="39">
        <f>IF(C125="","","NCR-"&amp;TEXT(ROW()-4,"0000"))</f>
        <v/>
      </c>
      <c r="B125" s="47" t="n"/>
      <c r="C125" s="50" t="n"/>
      <c r="D125" s="49">
        <f>IF(C125="","",IFERROR(INDEX('المشروعات'!$B$5:$B$304,MATCH(C125,'المشروعات'!$A$5:$A$304,0)),""))</f>
        <v/>
      </c>
      <c r="E125" s="40" t="n"/>
      <c r="F125" s="40" t="n"/>
      <c r="G125" s="40" t="n"/>
      <c r="H125" s="40" t="n"/>
      <c r="I125" s="40" t="n"/>
      <c r="J125" s="47" t="n"/>
      <c r="K125" s="47" t="n"/>
      <c r="L125" s="49">
        <f>IF(C125="","",IF(K125&lt;&gt;"","مغلق",IF(AND(J125&lt;&gt;"",TODAY()&gt;J125),"مفتوح – متأخر","مفتوح")))</f>
        <v/>
      </c>
      <c r="M125" s="48">
        <f>IF(B125="","",IF(K125&lt;&gt;"",K125,TODAY())-B125)</f>
        <v/>
      </c>
    </row>
    <row r="126">
      <c r="A126" s="39">
        <f>IF(C126="","","NCR-"&amp;TEXT(ROW()-4,"0000"))</f>
        <v/>
      </c>
      <c r="B126" s="47" t="n"/>
      <c r="C126" s="50" t="n"/>
      <c r="D126" s="49">
        <f>IF(C126="","",IFERROR(INDEX('المشروعات'!$B$5:$B$304,MATCH(C126,'المشروعات'!$A$5:$A$304,0)),""))</f>
        <v/>
      </c>
      <c r="E126" s="40" t="n"/>
      <c r="F126" s="40" t="n"/>
      <c r="G126" s="40" t="n"/>
      <c r="H126" s="40" t="n"/>
      <c r="I126" s="40" t="n"/>
      <c r="J126" s="47" t="n"/>
      <c r="K126" s="47" t="n"/>
      <c r="L126" s="49">
        <f>IF(C126="","",IF(K126&lt;&gt;"","مغلق",IF(AND(J126&lt;&gt;"",TODAY()&gt;J126),"مفتوح – متأخر","مفتوح")))</f>
        <v/>
      </c>
      <c r="M126" s="48">
        <f>IF(B126="","",IF(K126&lt;&gt;"",K126,TODAY())-B126)</f>
        <v/>
      </c>
    </row>
    <row r="127">
      <c r="A127" s="39">
        <f>IF(C127="","","NCR-"&amp;TEXT(ROW()-4,"0000"))</f>
        <v/>
      </c>
      <c r="B127" s="47" t="n"/>
      <c r="C127" s="50" t="n"/>
      <c r="D127" s="49">
        <f>IF(C127="","",IFERROR(INDEX('المشروعات'!$B$5:$B$304,MATCH(C127,'المشروعات'!$A$5:$A$304,0)),""))</f>
        <v/>
      </c>
      <c r="E127" s="40" t="n"/>
      <c r="F127" s="40" t="n"/>
      <c r="G127" s="40" t="n"/>
      <c r="H127" s="40" t="n"/>
      <c r="I127" s="40" t="n"/>
      <c r="J127" s="47" t="n"/>
      <c r="K127" s="47" t="n"/>
      <c r="L127" s="49">
        <f>IF(C127="","",IF(K127&lt;&gt;"","مغلق",IF(AND(J127&lt;&gt;"",TODAY()&gt;J127),"مفتوح – متأخر","مفتوح")))</f>
        <v/>
      </c>
      <c r="M127" s="48">
        <f>IF(B127="","",IF(K127&lt;&gt;"",K127,TODAY())-B127)</f>
        <v/>
      </c>
    </row>
    <row r="128">
      <c r="A128" s="39">
        <f>IF(C128="","","NCR-"&amp;TEXT(ROW()-4,"0000"))</f>
        <v/>
      </c>
      <c r="B128" s="47" t="n"/>
      <c r="C128" s="50" t="n"/>
      <c r="D128" s="49">
        <f>IF(C128="","",IFERROR(INDEX('المشروعات'!$B$5:$B$304,MATCH(C128,'المشروعات'!$A$5:$A$304,0)),""))</f>
        <v/>
      </c>
      <c r="E128" s="40" t="n"/>
      <c r="F128" s="40" t="n"/>
      <c r="G128" s="40" t="n"/>
      <c r="H128" s="40" t="n"/>
      <c r="I128" s="40" t="n"/>
      <c r="J128" s="47" t="n"/>
      <c r="K128" s="47" t="n"/>
      <c r="L128" s="49">
        <f>IF(C128="","",IF(K128&lt;&gt;"","مغلق",IF(AND(J128&lt;&gt;"",TODAY()&gt;J128),"مفتوح – متأخر","مفتوح")))</f>
        <v/>
      </c>
      <c r="M128" s="48">
        <f>IF(B128="","",IF(K128&lt;&gt;"",K128,TODAY())-B128)</f>
        <v/>
      </c>
    </row>
    <row r="129">
      <c r="A129" s="39">
        <f>IF(C129="","","NCR-"&amp;TEXT(ROW()-4,"0000"))</f>
        <v/>
      </c>
      <c r="B129" s="47" t="n"/>
      <c r="C129" s="50" t="n"/>
      <c r="D129" s="49">
        <f>IF(C129="","",IFERROR(INDEX('المشروعات'!$B$5:$B$304,MATCH(C129,'المشروعات'!$A$5:$A$304,0)),""))</f>
        <v/>
      </c>
      <c r="E129" s="40" t="n"/>
      <c r="F129" s="40" t="n"/>
      <c r="G129" s="40" t="n"/>
      <c r="H129" s="40" t="n"/>
      <c r="I129" s="40" t="n"/>
      <c r="J129" s="47" t="n"/>
      <c r="K129" s="47" t="n"/>
      <c r="L129" s="49">
        <f>IF(C129="","",IF(K129&lt;&gt;"","مغلق",IF(AND(J129&lt;&gt;"",TODAY()&gt;J129),"مفتوح – متأخر","مفتوح")))</f>
        <v/>
      </c>
      <c r="M129" s="48">
        <f>IF(B129="","",IF(K129&lt;&gt;"",K129,TODAY())-B129)</f>
        <v/>
      </c>
    </row>
    <row r="130">
      <c r="A130" s="39">
        <f>IF(C130="","","NCR-"&amp;TEXT(ROW()-4,"0000"))</f>
        <v/>
      </c>
      <c r="B130" s="47" t="n"/>
      <c r="C130" s="50" t="n"/>
      <c r="D130" s="49">
        <f>IF(C130="","",IFERROR(INDEX('المشروعات'!$B$5:$B$304,MATCH(C130,'المشروعات'!$A$5:$A$304,0)),""))</f>
        <v/>
      </c>
      <c r="E130" s="40" t="n"/>
      <c r="F130" s="40" t="n"/>
      <c r="G130" s="40" t="n"/>
      <c r="H130" s="40" t="n"/>
      <c r="I130" s="40" t="n"/>
      <c r="J130" s="47" t="n"/>
      <c r="K130" s="47" t="n"/>
      <c r="L130" s="49">
        <f>IF(C130="","",IF(K130&lt;&gt;"","مغلق",IF(AND(J130&lt;&gt;"",TODAY()&gt;J130),"مفتوح – متأخر","مفتوح")))</f>
        <v/>
      </c>
      <c r="M130" s="48">
        <f>IF(B130="","",IF(K130&lt;&gt;"",K130,TODAY())-B130)</f>
        <v/>
      </c>
    </row>
    <row r="131">
      <c r="A131" s="39">
        <f>IF(C131="","","NCR-"&amp;TEXT(ROW()-4,"0000"))</f>
        <v/>
      </c>
      <c r="B131" s="47" t="n"/>
      <c r="C131" s="50" t="n"/>
      <c r="D131" s="49">
        <f>IF(C131="","",IFERROR(INDEX('المشروعات'!$B$5:$B$304,MATCH(C131,'المشروعات'!$A$5:$A$304,0)),""))</f>
        <v/>
      </c>
      <c r="E131" s="40" t="n"/>
      <c r="F131" s="40" t="n"/>
      <c r="G131" s="40" t="n"/>
      <c r="H131" s="40" t="n"/>
      <c r="I131" s="40" t="n"/>
      <c r="J131" s="47" t="n"/>
      <c r="K131" s="47" t="n"/>
      <c r="L131" s="49">
        <f>IF(C131="","",IF(K131&lt;&gt;"","مغلق",IF(AND(J131&lt;&gt;"",TODAY()&gt;J131),"مفتوح – متأخر","مفتوح")))</f>
        <v/>
      </c>
      <c r="M131" s="48">
        <f>IF(B131="","",IF(K131&lt;&gt;"",K131,TODAY())-B131)</f>
        <v/>
      </c>
    </row>
    <row r="132">
      <c r="A132" s="39">
        <f>IF(C132="","","NCR-"&amp;TEXT(ROW()-4,"0000"))</f>
        <v/>
      </c>
      <c r="B132" s="47" t="n"/>
      <c r="C132" s="50" t="n"/>
      <c r="D132" s="49">
        <f>IF(C132="","",IFERROR(INDEX('المشروعات'!$B$5:$B$304,MATCH(C132,'المشروعات'!$A$5:$A$304,0)),""))</f>
        <v/>
      </c>
      <c r="E132" s="40" t="n"/>
      <c r="F132" s="40" t="n"/>
      <c r="G132" s="40" t="n"/>
      <c r="H132" s="40" t="n"/>
      <c r="I132" s="40" t="n"/>
      <c r="J132" s="47" t="n"/>
      <c r="K132" s="47" t="n"/>
      <c r="L132" s="49">
        <f>IF(C132="","",IF(K132&lt;&gt;"","مغلق",IF(AND(J132&lt;&gt;"",TODAY()&gt;J132),"مفتوح – متأخر","مفتوح")))</f>
        <v/>
      </c>
      <c r="M132" s="48">
        <f>IF(B132="","",IF(K132&lt;&gt;"",K132,TODAY())-B132)</f>
        <v/>
      </c>
    </row>
    <row r="133">
      <c r="A133" s="39">
        <f>IF(C133="","","NCR-"&amp;TEXT(ROW()-4,"0000"))</f>
        <v/>
      </c>
      <c r="B133" s="47" t="n"/>
      <c r="C133" s="50" t="n"/>
      <c r="D133" s="49">
        <f>IF(C133="","",IFERROR(INDEX('المشروعات'!$B$5:$B$304,MATCH(C133,'المشروعات'!$A$5:$A$304,0)),""))</f>
        <v/>
      </c>
      <c r="E133" s="40" t="n"/>
      <c r="F133" s="40" t="n"/>
      <c r="G133" s="40" t="n"/>
      <c r="H133" s="40" t="n"/>
      <c r="I133" s="40" t="n"/>
      <c r="J133" s="47" t="n"/>
      <c r="K133" s="47" t="n"/>
      <c r="L133" s="49">
        <f>IF(C133="","",IF(K133&lt;&gt;"","مغلق",IF(AND(J133&lt;&gt;"",TODAY()&gt;J133),"مفتوح – متأخر","مفتوح")))</f>
        <v/>
      </c>
      <c r="M133" s="48">
        <f>IF(B133="","",IF(K133&lt;&gt;"",K133,TODAY())-B133)</f>
        <v/>
      </c>
    </row>
    <row r="134">
      <c r="A134" s="39">
        <f>IF(C134="","","NCR-"&amp;TEXT(ROW()-4,"0000"))</f>
        <v/>
      </c>
      <c r="B134" s="47" t="n"/>
      <c r="C134" s="50" t="n"/>
      <c r="D134" s="49">
        <f>IF(C134="","",IFERROR(INDEX('المشروعات'!$B$5:$B$304,MATCH(C134,'المشروعات'!$A$5:$A$304,0)),""))</f>
        <v/>
      </c>
      <c r="E134" s="40" t="n"/>
      <c r="F134" s="40" t="n"/>
      <c r="G134" s="40" t="n"/>
      <c r="H134" s="40" t="n"/>
      <c r="I134" s="40" t="n"/>
      <c r="J134" s="47" t="n"/>
      <c r="K134" s="47" t="n"/>
      <c r="L134" s="49">
        <f>IF(C134="","",IF(K134&lt;&gt;"","مغلق",IF(AND(J134&lt;&gt;"",TODAY()&gt;J134),"مفتوح – متأخر","مفتوح")))</f>
        <v/>
      </c>
      <c r="M134" s="48">
        <f>IF(B134="","",IF(K134&lt;&gt;"",K134,TODAY())-B134)</f>
        <v/>
      </c>
    </row>
    <row r="135">
      <c r="A135" s="39">
        <f>IF(C135="","","NCR-"&amp;TEXT(ROW()-4,"0000"))</f>
        <v/>
      </c>
      <c r="B135" s="47" t="n"/>
      <c r="C135" s="50" t="n"/>
      <c r="D135" s="49">
        <f>IF(C135="","",IFERROR(INDEX('المشروعات'!$B$5:$B$304,MATCH(C135,'المشروعات'!$A$5:$A$304,0)),""))</f>
        <v/>
      </c>
      <c r="E135" s="40" t="n"/>
      <c r="F135" s="40" t="n"/>
      <c r="G135" s="40" t="n"/>
      <c r="H135" s="40" t="n"/>
      <c r="I135" s="40" t="n"/>
      <c r="J135" s="47" t="n"/>
      <c r="K135" s="47" t="n"/>
      <c r="L135" s="49">
        <f>IF(C135="","",IF(K135&lt;&gt;"","مغلق",IF(AND(J135&lt;&gt;"",TODAY()&gt;J135),"مفتوح – متأخر","مفتوح")))</f>
        <v/>
      </c>
      <c r="M135" s="48">
        <f>IF(B135="","",IF(K135&lt;&gt;"",K135,TODAY())-B135)</f>
        <v/>
      </c>
    </row>
    <row r="136">
      <c r="A136" s="39">
        <f>IF(C136="","","NCR-"&amp;TEXT(ROW()-4,"0000"))</f>
        <v/>
      </c>
      <c r="B136" s="47" t="n"/>
      <c r="C136" s="50" t="n"/>
      <c r="D136" s="49">
        <f>IF(C136="","",IFERROR(INDEX('المشروعات'!$B$5:$B$304,MATCH(C136,'المشروعات'!$A$5:$A$304,0)),""))</f>
        <v/>
      </c>
      <c r="E136" s="40" t="n"/>
      <c r="F136" s="40" t="n"/>
      <c r="G136" s="40" t="n"/>
      <c r="H136" s="40" t="n"/>
      <c r="I136" s="40" t="n"/>
      <c r="J136" s="47" t="n"/>
      <c r="K136" s="47" t="n"/>
      <c r="L136" s="49">
        <f>IF(C136="","",IF(K136&lt;&gt;"","مغلق",IF(AND(J136&lt;&gt;"",TODAY()&gt;J136),"مفتوح – متأخر","مفتوح")))</f>
        <v/>
      </c>
      <c r="M136" s="48">
        <f>IF(B136="","",IF(K136&lt;&gt;"",K136,TODAY())-B136)</f>
        <v/>
      </c>
    </row>
    <row r="137">
      <c r="A137" s="39">
        <f>IF(C137="","","NCR-"&amp;TEXT(ROW()-4,"0000"))</f>
        <v/>
      </c>
      <c r="B137" s="47" t="n"/>
      <c r="C137" s="50" t="n"/>
      <c r="D137" s="49">
        <f>IF(C137="","",IFERROR(INDEX('المشروعات'!$B$5:$B$304,MATCH(C137,'المشروعات'!$A$5:$A$304,0)),""))</f>
        <v/>
      </c>
      <c r="E137" s="40" t="n"/>
      <c r="F137" s="40" t="n"/>
      <c r="G137" s="40" t="n"/>
      <c r="H137" s="40" t="n"/>
      <c r="I137" s="40" t="n"/>
      <c r="J137" s="47" t="n"/>
      <c r="K137" s="47" t="n"/>
      <c r="L137" s="49">
        <f>IF(C137="","",IF(K137&lt;&gt;"","مغلق",IF(AND(J137&lt;&gt;"",TODAY()&gt;J137),"مفتوح – متأخر","مفتوح")))</f>
        <v/>
      </c>
      <c r="M137" s="48">
        <f>IF(B137="","",IF(K137&lt;&gt;"",K137,TODAY())-B137)</f>
        <v/>
      </c>
    </row>
    <row r="138">
      <c r="A138" s="39">
        <f>IF(C138="","","NCR-"&amp;TEXT(ROW()-4,"0000"))</f>
        <v/>
      </c>
      <c r="B138" s="47" t="n"/>
      <c r="C138" s="50" t="n"/>
      <c r="D138" s="49">
        <f>IF(C138="","",IFERROR(INDEX('المشروعات'!$B$5:$B$304,MATCH(C138,'المشروعات'!$A$5:$A$304,0)),""))</f>
        <v/>
      </c>
      <c r="E138" s="40" t="n"/>
      <c r="F138" s="40" t="n"/>
      <c r="G138" s="40" t="n"/>
      <c r="H138" s="40" t="n"/>
      <c r="I138" s="40" t="n"/>
      <c r="J138" s="47" t="n"/>
      <c r="K138" s="47" t="n"/>
      <c r="L138" s="49">
        <f>IF(C138="","",IF(K138&lt;&gt;"","مغلق",IF(AND(J138&lt;&gt;"",TODAY()&gt;J138),"مفتوح – متأخر","مفتوح")))</f>
        <v/>
      </c>
      <c r="M138" s="48">
        <f>IF(B138="","",IF(K138&lt;&gt;"",K138,TODAY())-B138)</f>
        <v/>
      </c>
    </row>
    <row r="139">
      <c r="A139" s="39">
        <f>IF(C139="","","NCR-"&amp;TEXT(ROW()-4,"0000"))</f>
        <v/>
      </c>
      <c r="B139" s="47" t="n"/>
      <c r="C139" s="50" t="n"/>
      <c r="D139" s="49">
        <f>IF(C139="","",IFERROR(INDEX('المشروعات'!$B$5:$B$304,MATCH(C139,'المشروعات'!$A$5:$A$304,0)),""))</f>
        <v/>
      </c>
      <c r="E139" s="40" t="n"/>
      <c r="F139" s="40" t="n"/>
      <c r="G139" s="40" t="n"/>
      <c r="H139" s="40" t="n"/>
      <c r="I139" s="40" t="n"/>
      <c r="J139" s="47" t="n"/>
      <c r="K139" s="47" t="n"/>
      <c r="L139" s="49">
        <f>IF(C139="","",IF(K139&lt;&gt;"","مغلق",IF(AND(J139&lt;&gt;"",TODAY()&gt;J139),"مفتوح – متأخر","مفتوح")))</f>
        <v/>
      </c>
      <c r="M139" s="48">
        <f>IF(B139="","",IF(K139&lt;&gt;"",K139,TODAY())-B139)</f>
        <v/>
      </c>
    </row>
    <row r="140">
      <c r="A140" s="39">
        <f>IF(C140="","","NCR-"&amp;TEXT(ROW()-4,"0000"))</f>
        <v/>
      </c>
      <c r="B140" s="47" t="n"/>
      <c r="C140" s="50" t="n"/>
      <c r="D140" s="49">
        <f>IF(C140="","",IFERROR(INDEX('المشروعات'!$B$5:$B$304,MATCH(C140,'المشروعات'!$A$5:$A$304,0)),""))</f>
        <v/>
      </c>
      <c r="E140" s="40" t="n"/>
      <c r="F140" s="40" t="n"/>
      <c r="G140" s="40" t="n"/>
      <c r="H140" s="40" t="n"/>
      <c r="I140" s="40" t="n"/>
      <c r="J140" s="47" t="n"/>
      <c r="K140" s="47" t="n"/>
      <c r="L140" s="49">
        <f>IF(C140="","",IF(K140&lt;&gt;"","مغلق",IF(AND(J140&lt;&gt;"",TODAY()&gt;J140),"مفتوح – متأخر","مفتوح")))</f>
        <v/>
      </c>
      <c r="M140" s="48">
        <f>IF(B140="","",IF(K140&lt;&gt;"",K140,TODAY())-B140)</f>
        <v/>
      </c>
    </row>
    <row r="141">
      <c r="A141" s="39">
        <f>IF(C141="","","NCR-"&amp;TEXT(ROW()-4,"0000"))</f>
        <v/>
      </c>
      <c r="B141" s="47" t="n"/>
      <c r="C141" s="50" t="n"/>
      <c r="D141" s="49">
        <f>IF(C141="","",IFERROR(INDEX('المشروعات'!$B$5:$B$304,MATCH(C141,'المشروعات'!$A$5:$A$304,0)),""))</f>
        <v/>
      </c>
      <c r="E141" s="40" t="n"/>
      <c r="F141" s="40" t="n"/>
      <c r="G141" s="40" t="n"/>
      <c r="H141" s="40" t="n"/>
      <c r="I141" s="40" t="n"/>
      <c r="J141" s="47" t="n"/>
      <c r="K141" s="47" t="n"/>
      <c r="L141" s="49">
        <f>IF(C141="","",IF(K141&lt;&gt;"","مغلق",IF(AND(J141&lt;&gt;"",TODAY()&gt;J141),"مفتوح – متأخر","مفتوح")))</f>
        <v/>
      </c>
      <c r="M141" s="48">
        <f>IF(B141="","",IF(K141&lt;&gt;"",K141,TODAY())-B141)</f>
        <v/>
      </c>
    </row>
    <row r="142">
      <c r="A142" s="39">
        <f>IF(C142="","","NCR-"&amp;TEXT(ROW()-4,"0000"))</f>
        <v/>
      </c>
      <c r="B142" s="47" t="n"/>
      <c r="C142" s="50" t="n"/>
      <c r="D142" s="49">
        <f>IF(C142="","",IFERROR(INDEX('المشروعات'!$B$5:$B$304,MATCH(C142,'المشروعات'!$A$5:$A$304,0)),""))</f>
        <v/>
      </c>
      <c r="E142" s="40" t="n"/>
      <c r="F142" s="40" t="n"/>
      <c r="G142" s="40" t="n"/>
      <c r="H142" s="40" t="n"/>
      <c r="I142" s="40" t="n"/>
      <c r="J142" s="47" t="n"/>
      <c r="K142" s="47" t="n"/>
      <c r="L142" s="49">
        <f>IF(C142="","",IF(K142&lt;&gt;"","مغلق",IF(AND(J142&lt;&gt;"",TODAY()&gt;J142),"مفتوح – متأخر","مفتوح")))</f>
        <v/>
      </c>
      <c r="M142" s="48">
        <f>IF(B142="","",IF(K142&lt;&gt;"",K142,TODAY())-B142)</f>
        <v/>
      </c>
    </row>
    <row r="143">
      <c r="A143" s="39">
        <f>IF(C143="","","NCR-"&amp;TEXT(ROW()-4,"0000"))</f>
        <v/>
      </c>
      <c r="B143" s="47" t="n"/>
      <c r="C143" s="50" t="n"/>
      <c r="D143" s="49">
        <f>IF(C143="","",IFERROR(INDEX('المشروعات'!$B$5:$B$304,MATCH(C143,'المشروعات'!$A$5:$A$304,0)),""))</f>
        <v/>
      </c>
      <c r="E143" s="40" t="n"/>
      <c r="F143" s="40" t="n"/>
      <c r="G143" s="40" t="n"/>
      <c r="H143" s="40" t="n"/>
      <c r="I143" s="40" t="n"/>
      <c r="J143" s="47" t="n"/>
      <c r="K143" s="47" t="n"/>
      <c r="L143" s="49">
        <f>IF(C143="","",IF(K143&lt;&gt;"","مغلق",IF(AND(J143&lt;&gt;"",TODAY()&gt;J143),"مفتوح – متأخر","مفتوح")))</f>
        <v/>
      </c>
      <c r="M143" s="48">
        <f>IF(B143="","",IF(K143&lt;&gt;"",K143,TODAY())-B143)</f>
        <v/>
      </c>
    </row>
    <row r="144">
      <c r="A144" s="39">
        <f>IF(C144="","","NCR-"&amp;TEXT(ROW()-4,"0000"))</f>
        <v/>
      </c>
      <c r="B144" s="47" t="n"/>
      <c r="C144" s="50" t="n"/>
      <c r="D144" s="49">
        <f>IF(C144="","",IFERROR(INDEX('المشروعات'!$B$5:$B$304,MATCH(C144,'المشروعات'!$A$5:$A$304,0)),""))</f>
        <v/>
      </c>
      <c r="E144" s="40" t="n"/>
      <c r="F144" s="40" t="n"/>
      <c r="G144" s="40" t="n"/>
      <c r="H144" s="40" t="n"/>
      <c r="I144" s="40" t="n"/>
      <c r="J144" s="47" t="n"/>
      <c r="K144" s="47" t="n"/>
      <c r="L144" s="49">
        <f>IF(C144="","",IF(K144&lt;&gt;"","مغلق",IF(AND(J144&lt;&gt;"",TODAY()&gt;J144),"مفتوح – متأخر","مفتوح")))</f>
        <v/>
      </c>
      <c r="M144" s="48">
        <f>IF(B144="","",IF(K144&lt;&gt;"",K144,TODAY())-B144)</f>
        <v/>
      </c>
    </row>
    <row r="145">
      <c r="A145" s="39">
        <f>IF(C145="","","NCR-"&amp;TEXT(ROW()-4,"0000"))</f>
        <v/>
      </c>
      <c r="B145" s="47" t="n"/>
      <c r="C145" s="50" t="n"/>
      <c r="D145" s="49">
        <f>IF(C145="","",IFERROR(INDEX('المشروعات'!$B$5:$B$304,MATCH(C145,'المشروعات'!$A$5:$A$304,0)),""))</f>
        <v/>
      </c>
      <c r="E145" s="40" t="n"/>
      <c r="F145" s="40" t="n"/>
      <c r="G145" s="40" t="n"/>
      <c r="H145" s="40" t="n"/>
      <c r="I145" s="40" t="n"/>
      <c r="J145" s="47" t="n"/>
      <c r="K145" s="47" t="n"/>
      <c r="L145" s="49">
        <f>IF(C145="","",IF(K145&lt;&gt;"","مغلق",IF(AND(J145&lt;&gt;"",TODAY()&gt;J145),"مفتوح – متأخر","مفتوح")))</f>
        <v/>
      </c>
      <c r="M145" s="48">
        <f>IF(B145="","",IF(K145&lt;&gt;"",K145,TODAY())-B145)</f>
        <v/>
      </c>
    </row>
    <row r="146">
      <c r="A146" s="39">
        <f>IF(C146="","","NCR-"&amp;TEXT(ROW()-4,"0000"))</f>
        <v/>
      </c>
      <c r="B146" s="47" t="n"/>
      <c r="C146" s="50" t="n"/>
      <c r="D146" s="49">
        <f>IF(C146="","",IFERROR(INDEX('المشروعات'!$B$5:$B$304,MATCH(C146,'المشروعات'!$A$5:$A$304,0)),""))</f>
        <v/>
      </c>
      <c r="E146" s="40" t="n"/>
      <c r="F146" s="40" t="n"/>
      <c r="G146" s="40" t="n"/>
      <c r="H146" s="40" t="n"/>
      <c r="I146" s="40" t="n"/>
      <c r="J146" s="47" t="n"/>
      <c r="K146" s="47" t="n"/>
      <c r="L146" s="49">
        <f>IF(C146="","",IF(K146&lt;&gt;"","مغلق",IF(AND(J146&lt;&gt;"",TODAY()&gt;J146),"مفتوح – متأخر","مفتوح")))</f>
        <v/>
      </c>
      <c r="M146" s="48">
        <f>IF(B146="","",IF(K146&lt;&gt;"",K146,TODAY())-B146)</f>
        <v/>
      </c>
    </row>
    <row r="147">
      <c r="A147" s="39">
        <f>IF(C147="","","NCR-"&amp;TEXT(ROW()-4,"0000"))</f>
        <v/>
      </c>
      <c r="B147" s="47" t="n"/>
      <c r="C147" s="50" t="n"/>
      <c r="D147" s="49">
        <f>IF(C147="","",IFERROR(INDEX('المشروعات'!$B$5:$B$304,MATCH(C147,'المشروعات'!$A$5:$A$304,0)),""))</f>
        <v/>
      </c>
      <c r="E147" s="40" t="n"/>
      <c r="F147" s="40" t="n"/>
      <c r="G147" s="40" t="n"/>
      <c r="H147" s="40" t="n"/>
      <c r="I147" s="40" t="n"/>
      <c r="J147" s="47" t="n"/>
      <c r="K147" s="47" t="n"/>
      <c r="L147" s="49">
        <f>IF(C147="","",IF(K147&lt;&gt;"","مغلق",IF(AND(J147&lt;&gt;"",TODAY()&gt;J147),"مفتوح – متأخر","مفتوح")))</f>
        <v/>
      </c>
      <c r="M147" s="48">
        <f>IF(B147="","",IF(K147&lt;&gt;"",K147,TODAY())-B147)</f>
        <v/>
      </c>
    </row>
    <row r="148">
      <c r="A148" s="39">
        <f>IF(C148="","","NCR-"&amp;TEXT(ROW()-4,"0000"))</f>
        <v/>
      </c>
      <c r="B148" s="47" t="n"/>
      <c r="C148" s="50" t="n"/>
      <c r="D148" s="49">
        <f>IF(C148="","",IFERROR(INDEX('المشروعات'!$B$5:$B$304,MATCH(C148,'المشروعات'!$A$5:$A$304,0)),""))</f>
        <v/>
      </c>
      <c r="E148" s="40" t="n"/>
      <c r="F148" s="40" t="n"/>
      <c r="G148" s="40" t="n"/>
      <c r="H148" s="40" t="n"/>
      <c r="I148" s="40" t="n"/>
      <c r="J148" s="47" t="n"/>
      <c r="K148" s="47" t="n"/>
      <c r="L148" s="49">
        <f>IF(C148="","",IF(K148&lt;&gt;"","مغلق",IF(AND(J148&lt;&gt;"",TODAY()&gt;J148),"مفتوح – متأخر","مفتوح")))</f>
        <v/>
      </c>
      <c r="M148" s="48">
        <f>IF(B148="","",IF(K148&lt;&gt;"",K148,TODAY())-B148)</f>
        <v/>
      </c>
    </row>
    <row r="149">
      <c r="A149" s="39">
        <f>IF(C149="","","NCR-"&amp;TEXT(ROW()-4,"0000"))</f>
        <v/>
      </c>
      <c r="B149" s="47" t="n"/>
      <c r="C149" s="50" t="n"/>
      <c r="D149" s="49">
        <f>IF(C149="","",IFERROR(INDEX('المشروعات'!$B$5:$B$304,MATCH(C149,'المشروعات'!$A$5:$A$304,0)),""))</f>
        <v/>
      </c>
      <c r="E149" s="40" t="n"/>
      <c r="F149" s="40" t="n"/>
      <c r="G149" s="40" t="n"/>
      <c r="H149" s="40" t="n"/>
      <c r="I149" s="40" t="n"/>
      <c r="J149" s="47" t="n"/>
      <c r="K149" s="47" t="n"/>
      <c r="L149" s="49">
        <f>IF(C149="","",IF(K149&lt;&gt;"","مغلق",IF(AND(J149&lt;&gt;"",TODAY()&gt;J149),"مفتوح – متأخر","مفتوح")))</f>
        <v/>
      </c>
      <c r="M149" s="48">
        <f>IF(B149="","",IF(K149&lt;&gt;"",K149,TODAY())-B149)</f>
        <v/>
      </c>
    </row>
    <row r="150">
      <c r="A150" s="39">
        <f>IF(C150="","","NCR-"&amp;TEXT(ROW()-4,"0000"))</f>
        <v/>
      </c>
      <c r="B150" s="47" t="n"/>
      <c r="C150" s="50" t="n"/>
      <c r="D150" s="49">
        <f>IF(C150="","",IFERROR(INDEX('المشروعات'!$B$5:$B$304,MATCH(C150,'المشروعات'!$A$5:$A$304,0)),""))</f>
        <v/>
      </c>
      <c r="E150" s="40" t="n"/>
      <c r="F150" s="40" t="n"/>
      <c r="G150" s="40" t="n"/>
      <c r="H150" s="40" t="n"/>
      <c r="I150" s="40" t="n"/>
      <c r="J150" s="47" t="n"/>
      <c r="K150" s="47" t="n"/>
      <c r="L150" s="49">
        <f>IF(C150="","",IF(K150&lt;&gt;"","مغلق",IF(AND(J150&lt;&gt;"",TODAY()&gt;J150),"مفتوح – متأخر","مفتوح")))</f>
        <v/>
      </c>
      <c r="M150" s="48">
        <f>IF(B150="","",IF(K150&lt;&gt;"",K150,TODAY())-B150)</f>
        <v/>
      </c>
    </row>
    <row r="151">
      <c r="A151" s="39">
        <f>IF(C151="","","NCR-"&amp;TEXT(ROW()-4,"0000"))</f>
        <v/>
      </c>
      <c r="B151" s="47" t="n"/>
      <c r="C151" s="50" t="n"/>
      <c r="D151" s="49">
        <f>IF(C151="","",IFERROR(INDEX('المشروعات'!$B$5:$B$304,MATCH(C151,'المشروعات'!$A$5:$A$304,0)),""))</f>
        <v/>
      </c>
      <c r="E151" s="40" t="n"/>
      <c r="F151" s="40" t="n"/>
      <c r="G151" s="40" t="n"/>
      <c r="H151" s="40" t="n"/>
      <c r="I151" s="40" t="n"/>
      <c r="J151" s="47" t="n"/>
      <c r="K151" s="47" t="n"/>
      <c r="L151" s="49">
        <f>IF(C151="","",IF(K151&lt;&gt;"","مغلق",IF(AND(J151&lt;&gt;"",TODAY()&gt;J151),"مفتوح – متأخر","مفتوح")))</f>
        <v/>
      </c>
      <c r="M151" s="48">
        <f>IF(B151="","",IF(K151&lt;&gt;"",K151,TODAY())-B151)</f>
        <v/>
      </c>
    </row>
    <row r="152">
      <c r="A152" s="39">
        <f>IF(C152="","","NCR-"&amp;TEXT(ROW()-4,"0000"))</f>
        <v/>
      </c>
      <c r="B152" s="47" t="n"/>
      <c r="C152" s="50" t="n"/>
      <c r="D152" s="49">
        <f>IF(C152="","",IFERROR(INDEX('المشروعات'!$B$5:$B$304,MATCH(C152,'المشروعات'!$A$5:$A$304,0)),""))</f>
        <v/>
      </c>
      <c r="E152" s="40" t="n"/>
      <c r="F152" s="40" t="n"/>
      <c r="G152" s="40" t="n"/>
      <c r="H152" s="40" t="n"/>
      <c r="I152" s="40" t="n"/>
      <c r="J152" s="47" t="n"/>
      <c r="K152" s="47" t="n"/>
      <c r="L152" s="49">
        <f>IF(C152="","",IF(K152&lt;&gt;"","مغلق",IF(AND(J152&lt;&gt;"",TODAY()&gt;J152),"مفتوح – متأخر","مفتوح")))</f>
        <v/>
      </c>
      <c r="M152" s="48">
        <f>IF(B152="","",IF(K152&lt;&gt;"",K152,TODAY())-B152)</f>
        <v/>
      </c>
    </row>
    <row r="153">
      <c r="A153" s="39">
        <f>IF(C153="","","NCR-"&amp;TEXT(ROW()-4,"0000"))</f>
        <v/>
      </c>
      <c r="B153" s="47" t="n"/>
      <c r="C153" s="50" t="n"/>
      <c r="D153" s="49">
        <f>IF(C153="","",IFERROR(INDEX('المشروعات'!$B$5:$B$304,MATCH(C153,'المشروعات'!$A$5:$A$304,0)),""))</f>
        <v/>
      </c>
      <c r="E153" s="40" t="n"/>
      <c r="F153" s="40" t="n"/>
      <c r="G153" s="40" t="n"/>
      <c r="H153" s="40" t="n"/>
      <c r="I153" s="40" t="n"/>
      <c r="J153" s="47" t="n"/>
      <c r="K153" s="47" t="n"/>
      <c r="L153" s="49">
        <f>IF(C153="","",IF(K153&lt;&gt;"","مغلق",IF(AND(J153&lt;&gt;"",TODAY()&gt;J153),"مفتوح – متأخر","مفتوح")))</f>
        <v/>
      </c>
      <c r="M153" s="48">
        <f>IF(B153="","",IF(K153&lt;&gt;"",K153,TODAY())-B153)</f>
        <v/>
      </c>
    </row>
    <row r="154">
      <c r="A154" s="39">
        <f>IF(C154="","","NCR-"&amp;TEXT(ROW()-4,"0000"))</f>
        <v/>
      </c>
      <c r="B154" s="47" t="n"/>
      <c r="C154" s="50" t="n"/>
      <c r="D154" s="49">
        <f>IF(C154="","",IFERROR(INDEX('المشروعات'!$B$5:$B$304,MATCH(C154,'المشروعات'!$A$5:$A$304,0)),""))</f>
        <v/>
      </c>
      <c r="E154" s="40" t="n"/>
      <c r="F154" s="40" t="n"/>
      <c r="G154" s="40" t="n"/>
      <c r="H154" s="40" t="n"/>
      <c r="I154" s="40" t="n"/>
      <c r="J154" s="47" t="n"/>
      <c r="K154" s="47" t="n"/>
      <c r="L154" s="49">
        <f>IF(C154="","",IF(K154&lt;&gt;"","مغلق",IF(AND(J154&lt;&gt;"",TODAY()&gt;J154),"مفتوح – متأخر","مفتوح")))</f>
        <v/>
      </c>
      <c r="M154" s="48">
        <f>IF(B154="","",IF(K154&lt;&gt;"",K154,TODAY())-B154)</f>
        <v/>
      </c>
    </row>
    <row r="155">
      <c r="A155" s="39">
        <f>IF(C155="","","NCR-"&amp;TEXT(ROW()-4,"0000"))</f>
        <v/>
      </c>
      <c r="B155" s="47" t="n"/>
      <c r="C155" s="50" t="n"/>
      <c r="D155" s="49">
        <f>IF(C155="","",IFERROR(INDEX('المشروعات'!$B$5:$B$304,MATCH(C155,'المشروعات'!$A$5:$A$304,0)),""))</f>
        <v/>
      </c>
      <c r="E155" s="40" t="n"/>
      <c r="F155" s="40" t="n"/>
      <c r="G155" s="40" t="n"/>
      <c r="H155" s="40" t="n"/>
      <c r="I155" s="40" t="n"/>
      <c r="J155" s="47" t="n"/>
      <c r="K155" s="47" t="n"/>
      <c r="L155" s="49">
        <f>IF(C155="","",IF(K155&lt;&gt;"","مغلق",IF(AND(J155&lt;&gt;"",TODAY()&gt;J155),"مفتوح – متأخر","مفتوح")))</f>
        <v/>
      </c>
      <c r="M155" s="48">
        <f>IF(B155="","",IF(K155&lt;&gt;"",K155,TODAY())-B155)</f>
        <v/>
      </c>
    </row>
    <row r="156">
      <c r="A156" s="39">
        <f>IF(C156="","","NCR-"&amp;TEXT(ROW()-4,"0000"))</f>
        <v/>
      </c>
      <c r="B156" s="47" t="n"/>
      <c r="C156" s="50" t="n"/>
      <c r="D156" s="49">
        <f>IF(C156="","",IFERROR(INDEX('المشروعات'!$B$5:$B$304,MATCH(C156,'المشروعات'!$A$5:$A$304,0)),""))</f>
        <v/>
      </c>
      <c r="E156" s="40" t="n"/>
      <c r="F156" s="40" t="n"/>
      <c r="G156" s="40" t="n"/>
      <c r="H156" s="40" t="n"/>
      <c r="I156" s="40" t="n"/>
      <c r="J156" s="47" t="n"/>
      <c r="K156" s="47" t="n"/>
      <c r="L156" s="49">
        <f>IF(C156="","",IF(K156&lt;&gt;"","مغلق",IF(AND(J156&lt;&gt;"",TODAY()&gt;J156),"مفتوح – متأخر","مفتوح")))</f>
        <v/>
      </c>
      <c r="M156" s="48">
        <f>IF(B156="","",IF(K156&lt;&gt;"",K156,TODAY())-B156)</f>
        <v/>
      </c>
    </row>
    <row r="157">
      <c r="A157" s="39">
        <f>IF(C157="","","NCR-"&amp;TEXT(ROW()-4,"0000"))</f>
        <v/>
      </c>
      <c r="B157" s="47" t="n"/>
      <c r="C157" s="50" t="n"/>
      <c r="D157" s="49">
        <f>IF(C157="","",IFERROR(INDEX('المشروعات'!$B$5:$B$304,MATCH(C157,'المشروعات'!$A$5:$A$304,0)),""))</f>
        <v/>
      </c>
      <c r="E157" s="40" t="n"/>
      <c r="F157" s="40" t="n"/>
      <c r="G157" s="40" t="n"/>
      <c r="H157" s="40" t="n"/>
      <c r="I157" s="40" t="n"/>
      <c r="J157" s="47" t="n"/>
      <c r="K157" s="47" t="n"/>
      <c r="L157" s="49">
        <f>IF(C157="","",IF(K157&lt;&gt;"","مغلق",IF(AND(J157&lt;&gt;"",TODAY()&gt;J157),"مفتوح – متأخر","مفتوح")))</f>
        <v/>
      </c>
      <c r="M157" s="48">
        <f>IF(B157="","",IF(K157&lt;&gt;"",K157,TODAY())-B157)</f>
        <v/>
      </c>
    </row>
    <row r="158">
      <c r="A158" s="39">
        <f>IF(C158="","","NCR-"&amp;TEXT(ROW()-4,"0000"))</f>
        <v/>
      </c>
      <c r="B158" s="47" t="n"/>
      <c r="C158" s="50" t="n"/>
      <c r="D158" s="49">
        <f>IF(C158="","",IFERROR(INDEX('المشروعات'!$B$5:$B$304,MATCH(C158,'المشروعات'!$A$5:$A$304,0)),""))</f>
        <v/>
      </c>
      <c r="E158" s="40" t="n"/>
      <c r="F158" s="40" t="n"/>
      <c r="G158" s="40" t="n"/>
      <c r="H158" s="40" t="n"/>
      <c r="I158" s="40" t="n"/>
      <c r="J158" s="47" t="n"/>
      <c r="K158" s="47" t="n"/>
      <c r="L158" s="49">
        <f>IF(C158="","",IF(K158&lt;&gt;"","مغلق",IF(AND(J158&lt;&gt;"",TODAY()&gt;J158),"مفتوح – متأخر","مفتوح")))</f>
        <v/>
      </c>
      <c r="M158" s="48">
        <f>IF(B158="","",IF(K158&lt;&gt;"",K158,TODAY())-B158)</f>
        <v/>
      </c>
    </row>
    <row r="159">
      <c r="A159" s="39">
        <f>IF(C159="","","NCR-"&amp;TEXT(ROW()-4,"0000"))</f>
        <v/>
      </c>
      <c r="B159" s="47" t="n"/>
      <c r="C159" s="50" t="n"/>
      <c r="D159" s="49">
        <f>IF(C159="","",IFERROR(INDEX('المشروعات'!$B$5:$B$304,MATCH(C159,'المشروعات'!$A$5:$A$304,0)),""))</f>
        <v/>
      </c>
      <c r="E159" s="40" t="n"/>
      <c r="F159" s="40" t="n"/>
      <c r="G159" s="40" t="n"/>
      <c r="H159" s="40" t="n"/>
      <c r="I159" s="40" t="n"/>
      <c r="J159" s="47" t="n"/>
      <c r="K159" s="47" t="n"/>
      <c r="L159" s="49">
        <f>IF(C159="","",IF(K159&lt;&gt;"","مغلق",IF(AND(J159&lt;&gt;"",TODAY()&gt;J159),"مفتوح – متأخر","مفتوح")))</f>
        <v/>
      </c>
      <c r="M159" s="48">
        <f>IF(B159="","",IF(K159&lt;&gt;"",K159,TODAY())-B159)</f>
        <v/>
      </c>
    </row>
    <row r="160">
      <c r="A160" s="39">
        <f>IF(C160="","","NCR-"&amp;TEXT(ROW()-4,"0000"))</f>
        <v/>
      </c>
      <c r="B160" s="47" t="n"/>
      <c r="C160" s="50" t="n"/>
      <c r="D160" s="49">
        <f>IF(C160="","",IFERROR(INDEX('المشروعات'!$B$5:$B$304,MATCH(C160,'المشروعات'!$A$5:$A$304,0)),""))</f>
        <v/>
      </c>
      <c r="E160" s="40" t="n"/>
      <c r="F160" s="40" t="n"/>
      <c r="G160" s="40" t="n"/>
      <c r="H160" s="40" t="n"/>
      <c r="I160" s="40" t="n"/>
      <c r="J160" s="47" t="n"/>
      <c r="K160" s="47" t="n"/>
      <c r="L160" s="49">
        <f>IF(C160="","",IF(K160&lt;&gt;"","مغلق",IF(AND(J160&lt;&gt;"",TODAY()&gt;J160),"مفتوح – متأخر","مفتوح")))</f>
        <v/>
      </c>
      <c r="M160" s="48">
        <f>IF(B160="","",IF(K160&lt;&gt;"",K160,TODAY())-B160)</f>
        <v/>
      </c>
    </row>
    <row r="161">
      <c r="A161" s="39">
        <f>IF(C161="","","NCR-"&amp;TEXT(ROW()-4,"0000"))</f>
        <v/>
      </c>
      <c r="B161" s="47" t="n"/>
      <c r="C161" s="50" t="n"/>
      <c r="D161" s="49">
        <f>IF(C161="","",IFERROR(INDEX('المشروعات'!$B$5:$B$304,MATCH(C161,'المشروعات'!$A$5:$A$304,0)),""))</f>
        <v/>
      </c>
      <c r="E161" s="40" t="n"/>
      <c r="F161" s="40" t="n"/>
      <c r="G161" s="40" t="n"/>
      <c r="H161" s="40" t="n"/>
      <c r="I161" s="40" t="n"/>
      <c r="J161" s="47" t="n"/>
      <c r="K161" s="47" t="n"/>
      <c r="L161" s="49">
        <f>IF(C161="","",IF(K161&lt;&gt;"","مغلق",IF(AND(J161&lt;&gt;"",TODAY()&gt;J161),"مفتوح – متأخر","مفتوح")))</f>
        <v/>
      </c>
      <c r="M161" s="48">
        <f>IF(B161="","",IF(K161&lt;&gt;"",K161,TODAY())-B161)</f>
        <v/>
      </c>
    </row>
    <row r="162">
      <c r="A162" s="39">
        <f>IF(C162="","","NCR-"&amp;TEXT(ROW()-4,"0000"))</f>
        <v/>
      </c>
      <c r="B162" s="47" t="n"/>
      <c r="C162" s="50" t="n"/>
      <c r="D162" s="49">
        <f>IF(C162="","",IFERROR(INDEX('المشروعات'!$B$5:$B$304,MATCH(C162,'المشروعات'!$A$5:$A$304,0)),""))</f>
        <v/>
      </c>
      <c r="E162" s="40" t="n"/>
      <c r="F162" s="40" t="n"/>
      <c r="G162" s="40" t="n"/>
      <c r="H162" s="40" t="n"/>
      <c r="I162" s="40" t="n"/>
      <c r="J162" s="47" t="n"/>
      <c r="K162" s="47" t="n"/>
      <c r="L162" s="49">
        <f>IF(C162="","",IF(K162&lt;&gt;"","مغلق",IF(AND(J162&lt;&gt;"",TODAY()&gt;J162),"مفتوح – متأخر","مفتوح")))</f>
        <v/>
      </c>
      <c r="M162" s="48">
        <f>IF(B162="","",IF(K162&lt;&gt;"",K162,TODAY())-B162)</f>
        <v/>
      </c>
    </row>
    <row r="163">
      <c r="A163" s="39">
        <f>IF(C163="","","NCR-"&amp;TEXT(ROW()-4,"0000"))</f>
        <v/>
      </c>
      <c r="B163" s="47" t="n"/>
      <c r="C163" s="50" t="n"/>
      <c r="D163" s="49">
        <f>IF(C163="","",IFERROR(INDEX('المشروعات'!$B$5:$B$304,MATCH(C163,'المشروعات'!$A$5:$A$304,0)),""))</f>
        <v/>
      </c>
      <c r="E163" s="40" t="n"/>
      <c r="F163" s="40" t="n"/>
      <c r="G163" s="40" t="n"/>
      <c r="H163" s="40" t="n"/>
      <c r="I163" s="40" t="n"/>
      <c r="J163" s="47" t="n"/>
      <c r="K163" s="47" t="n"/>
      <c r="L163" s="49">
        <f>IF(C163="","",IF(K163&lt;&gt;"","مغلق",IF(AND(J163&lt;&gt;"",TODAY()&gt;J163),"مفتوح – متأخر","مفتوح")))</f>
        <v/>
      </c>
      <c r="M163" s="48">
        <f>IF(B163="","",IF(K163&lt;&gt;"",K163,TODAY())-B163)</f>
        <v/>
      </c>
    </row>
    <row r="164">
      <c r="A164" s="39">
        <f>IF(C164="","","NCR-"&amp;TEXT(ROW()-4,"0000"))</f>
        <v/>
      </c>
      <c r="B164" s="47" t="n"/>
      <c r="C164" s="50" t="n"/>
      <c r="D164" s="49">
        <f>IF(C164="","",IFERROR(INDEX('المشروعات'!$B$5:$B$304,MATCH(C164,'المشروعات'!$A$5:$A$304,0)),""))</f>
        <v/>
      </c>
      <c r="E164" s="40" t="n"/>
      <c r="F164" s="40" t="n"/>
      <c r="G164" s="40" t="n"/>
      <c r="H164" s="40" t="n"/>
      <c r="I164" s="40" t="n"/>
      <c r="J164" s="47" t="n"/>
      <c r="K164" s="47" t="n"/>
      <c r="L164" s="49">
        <f>IF(C164="","",IF(K164&lt;&gt;"","مغلق",IF(AND(J164&lt;&gt;"",TODAY()&gt;J164),"مفتوح – متأخر","مفتوح")))</f>
        <v/>
      </c>
      <c r="M164" s="48">
        <f>IF(B164="","",IF(K164&lt;&gt;"",K164,TODAY())-B164)</f>
        <v/>
      </c>
    </row>
    <row r="165">
      <c r="A165" s="39">
        <f>IF(C165="","","NCR-"&amp;TEXT(ROW()-4,"0000"))</f>
        <v/>
      </c>
      <c r="B165" s="47" t="n"/>
      <c r="C165" s="50" t="n"/>
      <c r="D165" s="49">
        <f>IF(C165="","",IFERROR(INDEX('المشروعات'!$B$5:$B$304,MATCH(C165,'المشروعات'!$A$5:$A$304,0)),""))</f>
        <v/>
      </c>
      <c r="E165" s="40" t="n"/>
      <c r="F165" s="40" t="n"/>
      <c r="G165" s="40" t="n"/>
      <c r="H165" s="40" t="n"/>
      <c r="I165" s="40" t="n"/>
      <c r="J165" s="47" t="n"/>
      <c r="K165" s="47" t="n"/>
      <c r="L165" s="49">
        <f>IF(C165="","",IF(K165&lt;&gt;"","مغلق",IF(AND(J165&lt;&gt;"",TODAY()&gt;J165),"مفتوح – متأخر","مفتوح")))</f>
        <v/>
      </c>
      <c r="M165" s="48">
        <f>IF(B165="","",IF(K165&lt;&gt;"",K165,TODAY())-B165)</f>
        <v/>
      </c>
    </row>
    <row r="166">
      <c r="A166" s="39">
        <f>IF(C166="","","NCR-"&amp;TEXT(ROW()-4,"0000"))</f>
        <v/>
      </c>
      <c r="B166" s="47" t="n"/>
      <c r="C166" s="50" t="n"/>
      <c r="D166" s="49">
        <f>IF(C166="","",IFERROR(INDEX('المشروعات'!$B$5:$B$304,MATCH(C166,'المشروعات'!$A$5:$A$304,0)),""))</f>
        <v/>
      </c>
      <c r="E166" s="40" t="n"/>
      <c r="F166" s="40" t="n"/>
      <c r="G166" s="40" t="n"/>
      <c r="H166" s="40" t="n"/>
      <c r="I166" s="40" t="n"/>
      <c r="J166" s="47" t="n"/>
      <c r="K166" s="47" t="n"/>
      <c r="L166" s="49">
        <f>IF(C166="","",IF(K166&lt;&gt;"","مغلق",IF(AND(J166&lt;&gt;"",TODAY()&gt;J166),"مفتوح – متأخر","مفتوح")))</f>
        <v/>
      </c>
      <c r="M166" s="48">
        <f>IF(B166="","",IF(K166&lt;&gt;"",K166,TODAY())-B166)</f>
        <v/>
      </c>
    </row>
    <row r="167">
      <c r="A167" s="39">
        <f>IF(C167="","","NCR-"&amp;TEXT(ROW()-4,"0000"))</f>
        <v/>
      </c>
      <c r="B167" s="47" t="n"/>
      <c r="C167" s="50" t="n"/>
      <c r="D167" s="49">
        <f>IF(C167="","",IFERROR(INDEX('المشروعات'!$B$5:$B$304,MATCH(C167,'المشروعات'!$A$5:$A$304,0)),""))</f>
        <v/>
      </c>
      <c r="E167" s="40" t="n"/>
      <c r="F167" s="40" t="n"/>
      <c r="G167" s="40" t="n"/>
      <c r="H167" s="40" t="n"/>
      <c r="I167" s="40" t="n"/>
      <c r="J167" s="47" t="n"/>
      <c r="K167" s="47" t="n"/>
      <c r="L167" s="49">
        <f>IF(C167="","",IF(K167&lt;&gt;"","مغلق",IF(AND(J167&lt;&gt;"",TODAY()&gt;J167),"مفتوح – متأخر","مفتوح")))</f>
        <v/>
      </c>
      <c r="M167" s="48">
        <f>IF(B167="","",IF(K167&lt;&gt;"",K167,TODAY())-B167)</f>
        <v/>
      </c>
    </row>
    <row r="168">
      <c r="A168" s="39">
        <f>IF(C168="","","NCR-"&amp;TEXT(ROW()-4,"0000"))</f>
        <v/>
      </c>
      <c r="B168" s="47" t="n"/>
      <c r="C168" s="50" t="n"/>
      <c r="D168" s="49">
        <f>IF(C168="","",IFERROR(INDEX('المشروعات'!$B$5:$B$304,MATCH(C168,'المشروعات'!$A$5:$A$304,0)),""))</f>
        <v/>
      </c>
      <c r="E168" s="40" t="n"/>
      <c r="F168" s="40" t="n"/>
      <c r="G168" s="40" t="n"/>
      <c r="H168" s="40" t="n"/>
      <c r="I168" s="40" t="n"/>
      <c r="J168" s="47" t="n"/>
      <c r="K168" s="47" t="n"/>
      <c r="L168" s="49">
        <f>IF(C168="","",IF(K168&lt;&gt;"","مغلق",IF(AND(J168&lt;&gt;"",TODAY()&gt;J168),"مفتوح – متأخر","مفتوح")))</f>
        <v/>
      </c>
      <c r="M168" s="48">
        <f>IF(B168="","",IF(K168&lt;&gt;"",K168,TODAY())-B168)</f>
        <v/>
      </c>
    </row>
    <row r="169">
      <c r="A169" s="39">
        <f>IF(C169="","","NCR-"&amp;TEXT(ROW()-4,"0000"))</f>
        <v/>
      </c>
      <c r="B169" s="47" t="n"/>
      <c r="C169" s="50" t="n"/>
      <c r="D169" s="49">
        <f>IF(C169="","",IFERROR(INDEX('المشروعات'!$B$5:$B$304,MATCH(C169,'المشروعات'!$A$5:$A$304,0)),""))</f>
        <v/>
      </c>
      <c r="E169" s="40" t="n"/>
      <c r="F169" s="40" t="n"/>
      <c r="G169" s="40" t="n"/>
      <c r="H169" s="40" t="n"/>
      <c r="I169" s="40" t="n"/>
      <c r="J169" s="47" t="n"/>
      <c r="K169" s="47" t="n"/>
      <c r="L169" s="49">
        <f>IF(C169="","",IF(K169&lt;&gt;"","مغلق",IF(AND(J169&lt;&gt;"",TODAY()&gt;J169),"مفتوح – متأخر","مفتوح")))</f>
        <v/>
      </c>
      <c r="M169" s="48">
        <f>IF(B169="","",IF(K169&lt;&gt;"",K169,TODAY())-B169)</f>
        <v/>
      </c>
    </row>
    <row r="170">
      <c r="A170" s="39">
        <f>IF(C170="","","NCR-"&amp;TEXT(ROW()-4,"0000"))</f>
        <v/>
      </c>
      <c r="B170" s="47" t="n"/>
      <c r="C170" s="50" t="n"/>
      <c r="D170" s="49">
        <f>IF(C170="","",IFERROR(INDEX('المشروعات'!$B$5:$B$304,MATCH(C170,'المشروعات'!$A$5:$A$304,0)),""))</f>
        <v/>
      </c>
      <c r="E170" s="40" t="n"/>
      <c r="F170" s="40" t="n"/>
      <c r="G170" s="40" t="n"/>
      <c r="H170" s="40" t="n"/>
      <c r="I170" s="40" t="n"/>
      <c r="J170" s="47" t="n"/>
      <c r="K170" s="47" t="n"/>
      <c r="L170" s="49">
        <f>IF(C170="","",IF(K170&lt;&gt;"","مغلق",IF(AND(J170&lt;&gt;"",TODAY()&gt;J170),"مفتوح – متأخر","مفتوح")))</f>
        <v/>
      </c>
      <c r="M170" s="48">
        <f>IF(B170="","",IF(K170&lt;&gt;"",K170,TODAY())-B170)</f>
        <v/>
      </c>
    </row>
    <row r="171">
      <c r="A171" s="39">
        <f>IF(C171="","","NCR-"&amp;TEXT(ROW()-4,"0000"))</f>
        <v/>
      </c>
      <c r="B171" s="47" t="n"/>
      <c r="C171" s="50" t="n"/>
      <c r="D171" s="49">
        <f>IF(C171="","",IFERROR(INDEX('المشروعات'!$B$5:$B$304,MATCH(C171,'المشروعات'!$A$5:$A$304,0)),""))</f>
        <v/>
      </c>
      <c r="E171" s="40" t="n"/>
      <c r="F171" s="40" t="n"/>
      <c r="G171" s="40" t="n"/>
      <c r="H171" s="40" t="n"/>
      <c r="I171" s="40" t="n"/>
      <c r="J171" s="47" t="n"/>
      <c r="K171" s="47" t="n"/>
      <c r="L171" s="49">
        <f>IF(C171="","",IF(K171&lt;&gt;"","مغلق",IF(AND(J171&lt;&gt;"",TODAY()&gt;J171),"مفتوح – متأخر","مفتوح")))</f>
        <v/>
      </c>
      <c r="M171" s="48">
        <f>IF(B171="","",IF(K171&lt;&gt;"",K171,TODAY())-B171)</f>
        <v/>
      </c>
    </row>
    <row r="172">
      <c r="A172" s="39">
        <f>IF(C172="","","NCR-"&amp;TEXT(ROW()-4,"0000"))</f>
        <v/>
      </c>
      <c r="B172" s="47" t="n"/>
      <c r="C172" s="50" t="n"/>
      <c r="D172" s="49">
        <f>IF(C172="","",IFERROR(INDEX('المشروعات'!$B$5:$B$304,MATCH(C172,'المشروعات'!$A$5:$A$304,0)),""))</f>
        <v/>
      </c>
      <c r="E172" s="40" t="n"/>
      <c r="F172" s="40" t="n"/>
      <c r="G172" s="40" t="n"/>
      <c r="H172" s="40" t="n"/>
      <c r="I172" s="40" t="n"/>
      <c r="J172" s="47" t="n"/>
      <c r="K172" s="47" t="n"/>
      <c r="L172" s="49">
        <f>IF(C172="","",IF(K172&lt;&gt;"","مغلق",IF(AND(J172&lt;&gt;"",TODAY()&gt;J172),"مفتوح – متأخر","مفتوح")))</f>
        <v/>
      </c>
      <c r="M172" s="48">
        <f>IF(B172="","",IF(K172&lt;&gt;"",K172,TODAY())-B172)</f>
        <v/>
      </c>
    </row>
    <row r="173">
      <c r="A173" s="39">
        <f>IF(C173="","","NCR-"&amp;TEXT(ROW()-4,"0000"))</f>
        <v/>
      </c>
      <c r="B173" s="47" t="n"/>
      <c r="C173" s="50" t="n"/>
      <c r="D173" s="49">
        <f>IF(C173="","",IFERROR(INDEX('المشروعات'!$B$5:$B$304,MATCH(C173,'المشروعات'!$A$5:$A$304,0)),""))</f>
        <v/>
      </c>
      <c r="E173" s="40" t="n"/>
      <c r="F173" s="40" t="n"/>
      <c r="G173" s="40" t="n"/>
      <c r="H173" s="40" t="n"/>
      <c r="I173" s="40" t="n"/>
      <c r="J173" s="47" t="n"/>
      <c r="K173" s="47" t="n"/>
      <c r="L173" s="49">
        <f>IF(C173="","",IF(K173&lt;&gt;"","مغلق",IF(AND(J173&lt;&gt;"",TODAY()&gt;J173),"مفتوح – متأخر","مفتوح")))</f>
        <v/>
      </c>
      <c r="M173" s="48">
        <f>IF(B173="","",IF(K173&lt;&gt;"",K173,TODAY())-B173)</f>
        <v/>
      </c>
    </row>
    <row r="174">
      <c r="A174" s="39">
        <f>IF(C174="","","NCR-"&amp;TEXT(ROW()-4,"0000"))</f>
        <v/>
      </c>
      <c r="B174" s="47" t="n"/>
      <c r="C174" s="50" t="n"/>
      <c r="D174" s="49">
        <f>IF(C174="","",IFERROR(INDEX('المشروعات'!$B$5:$B$304,MATCH(C174,'المشروعات'!$A$5:$A$304,0)),""))</f>
        <v/>
      </c>
      <c r="E174" s="40" t="n"/>
      <c r="F174" s="40" t="n"/>
      <c r="G174" s="40" t="n"/>
      <c r="H174" s="40" t="n"/>
      <c r="I174" s="40" t="n"/>
      <c r="J174" s="47" t="n"/>
      <c r="K174" s="47" t="n"/>
      <c r="L174" s="49">
        <f>IF(C174="","",IF(K174&lt;&gt;"","مغلق",IF(AND(J174&lt;&gt;"",TODAY()&gt;J174),"مفتوح – متأخر","مفتوح")))</f>
        <v/>
      </c>
      <c r="M174" s="48">
        <f>IF(B174="","",IF(K174&lt;&gt;"",K174,TODAY())-B174)</f>
        <v/>
      </c>
    </row>
    <row r="175">
      <c r="A175" s="39">
        <f>IF(C175="","","NCR-"&amp;TEXT(ROW()-4,"0000"))</f>
        <v/>
      </c>
      <c r="B175" s="47" t="n"/>
      <c r="C175" s="50" t="n"/>
      <c r="D175" s="49">
        <f>IF(C175="","",IFERROR(INDEX('المشروعات'!$B$5:$B$304,MATCH(C175,'المشروعات'!$A$5:$A$304,0)),""))</f>
        <v/>
      </c>
      <c r="E175" s="40" t="n"/>
      <c r="F175" s="40" t="n"/>
      <c r="G175" s="40" t="n"/>
      <c r="H175" s="40" t="n"/>
      <c r="I175" s="40" t="n"/>
      <c r="J175" s="47" t="n"/>
      <c r="K175" s="47" t="n"/>
      <c r="L175" s="49">
        <f>IF(C175="","",IF(K175&lt;&gt;"","مغلق",IF(AND(J175&lt;&gt;"",TODAY()&gt;J175),"مفتوح – متأخر","مفتوح")))</f>
        <v/>
      </c>
      <c r="M175" s="48">
        <f>IF(B175="","",IF(K175&lt;&gt;"",K175,TODAY())-B175)</f>
        <v/>
      </c>
    </row>
    <row r="176">
      <c r="A176" s="39">
        <f>IF(C176="","","NCR-"&amp;TEXT(ROW()-4,"0000"))</f>
        <v/>
      </c>
      <c r="B176" s="47" t="n"/>
      <c r="C176" s="50" t="n"/>
      <c r="D176" s="49">
        <f>IF(C176="","",IFERROR(INDEX('المشروعات'!$B$5:$B$304,MATCH(C176,'المشروعات'!$A$5:$A$304,0)),""))</f>
        <v/>
      </c>
      <c r="E176" s="40" t="n"/>
      <c r="F176" s="40" t="n"/>
      <c r="G176" s="40" t="n"/>
      <c r="H176" s="40" t="n"/>
      <c r="I176" s="40" t="n"/>
      <c r="J176" s="47" t="n"/>
      <c r="K176" s="47" t="n"/>
      <c r="L176" s="49">
        <f>IF(C176="","",IF(K176&lt;&gt;"","مغلق",IF(AND(J176&lt;&gt;"",TODAY()&gt;J176),"مفتوح – متأخر","مفتوح")))</f>
        <v/>
      </c>
      <c r="M176" s="48">
        <f>IF(B176="","",IF(K176&lt;&gt;"",K176,TODAY())-B176)</f>
        <v/>
      </c>
    </row>
    <row r="177">
      <c r="A177" s="39">
        <f>IF(C177="","","NCR-"&amp;TEXT(ROW()-4,"0000"))</f>
        <v/>
      </c>
      <c r="B177" s="47" t="n"/>
      <c r="C177" s="50" t="n"/>
      <c r="D177" s="49">
        <f>IF(C177="","",IFERROR(INDEX('المشروعات'!$B$5:$B$304,MATCH(C177,'المشروعات'!$A$5:$A$304,0)),""))</f>
        <v/>
      </c>
      <c r="E177" s="40" t="n"/>
      <c r="F177" s="40" t="n"/>
      <c r="G177" s="40" t="n"/>
      <c r="H177" s="40" t="n"/>
      <c r="I177" s="40" t="n"/>
      <c r="J177" s="47" t="n"/>
      <c r="K177" s="47" t="n"/>
      <c r="L177" s="49">
        <f>IF(C177="","",IF(K177&lt;&gt;"","مغلق",IF(AND(J177&lt;&gt;"",TODAY()&gt;J177),"مفتوح – متأخر","مفتوح")))</f>
        <v/>
      </c>
      <c r="M177" s="48">
        <f>IF(B177="","",IF(K177&lt;&gt;"",K177,TODAY())-B177)</f>
        <v/>
      </c>
    </row>
    <row r="178">
      <c r="A178" s="39">
        <f>IF(C178="","","NCR-"&amp;TEXT(ROW()-4,"0000"))</f>
        <v/>
      </c>
      <c r="B178" s="47" t="n"/>
      <c r="C178" s="50" t="n"/>
      <c r="D178" s="49">
        <f>IF(C178="","",IFERROR(INDEX('المشروعات'!$B$5:$B$304,MATCH(C178,'المشروعات'!$A$5:$A$304,0)),""))</f>
        <v/>
      </c>
      <c r="E178" s="40" t="n"/>
      <c r="F178" s="40" t="n"/>
      <c r="G178" s="40" t="n"/>
      <c r="H178" s="40" t="n"/>
      <c r="I178" s="40" t="n"/>
      <c r="J178" s="47" t="n"/>
      <c r="K178" s="47" t="n"/>
      <c r="L178" s="49">
        <f>IF(C178="","",IF(K178&lt;&gt;"","مغلق",IF(AND(J178&lt;&gt;"",TODAY()&gt;J178),"مفتوح – متأخر","مفتوح")))</f>
        <v/>
      </c>
      <c r="M178" s="48">
        <f>IF(B178="","",IF(K178&lt;&gt;"",K178,TODAY())-B178)</f>
        <v/>
      </c>
    </row>
    <row r="179">
      <c r="A179" s="39">
        <f>IF(C179="","","NCR-"&amp;TEXT(ROW()-4,"0000"))</f>
        <v/>
      </c>
      <c r="B179" s="47" t="n"/>
      <c r="C179" s="50" t="n"/>
      <c r="D179" s="49">
        <f>IF(C179="","",IFERROR(INDEX('المشروعات'!$B$5:$B$304,MATCH(C179,'المشروعات'!$A$5:$A$304,0)),""))</f>
        <v/>
      </c>
      <c r="E179" s="40" t="n"/>
      <c r="F179" s="40" t="n"/>
      <c r="G179" s="40" t="n"/>
      <c r="H179" s="40" t="n"/>
      <c r="I179" s="40" t="n"/>
      <c r="J179" s="47" t="n"/>
      <c r="K179" s="47" t="n"/>
      <c r="L179" s="49">
        <f>IF(C179="","",IF(K179&lt;&gt;"","مغلق",IF(AND(J179&lt;&gt;"",TODAY()&gt;J179),"مفتوح – متأخر","مفتوح")))</f>
        <v/>
      </c>
      <c r="M179" s="48">
        <f>IF(B179="","",IF(K179&lt;&gt;"",K179,TODAY())-B179)</f>
        <v/>
      </c>
    </row>
    <row r="180">
      <c r="A180" s="39">
        <f>IF(C180="","","NCR-"&amp;TEXT(ROW()-4,"0000"))</f>
        <v/>
      </c>
      <c r="B180" s="47" t="n"/>
      <c r="C180" s="50" t="n"/>
      <c r="D180" s="49">
        <f>IF(C180="","",IFERROR(INDEX('المشروعات'!$B$5:$B$304,MATCH(C180,'المشروعات'!$A$5:$A$304,0)),""))</f>
        <v/>
      </c>
      <c r="E180" s="40" t="n"/>
      <c r="F180" s="40" t="n"/>
      <c r="G180" s="40" t="n"/>
      <c r="H180" s="40" t="n"/>
      <c r="I180" s="40" t="n"/>
      <c r="J180" s="47" t="n"/>
      <c r="K180" s="47" t="n"/>
      <c r="L180" s="49">
        <f>IF(C180="","",IF(K180&lt;&gt;"","مغلق",IF(AND(J180&lt;&gt;"",TODAY()&gt;J180),"مفتوح – متأخر","مفتوح")))</f>
        <v/>
      </c>
      <c r="M180" s="48">
        <f>IF(B180="","",IF(K180&lt;&gt;"",K180,TODAY())-B180)</f>
        <v/>
      </c>
    </row>
    <row r="181">
      <c r="A181" s="39">
        <f>IF(C181="","","NCR-"&amp;TEXT(ROW()-4,"0000"))</f>
        <v/>
      </c>
      <c r="B181" s="47" t="n"/>
      <c r="C181" s="50" t="n"/>
      <c r="D181" s="49">
        <f>IF(C181="","",IFERROR(INDEX('المشروعات'!$B$5:$B$304,MATCH(C181,'المشروعات'!$A$5:$A$304,0)),""))</f>
        <v/>
      </c>
      <c r="E181" s="40" t="n"/>
      <c r="F181" s="40" t="n"/>
      <c r="G181" s="40" t="n"/>
      <c r="H181" s="40" t="n"/>
      <c r="I181" s="40" t="n"/>
      <c r="J181" s="47" t="n"/>
      <c r="K181" s="47" t="n"/>
      <c r="L181" s="49">
        <f>IF(C181="","",IF(K181&lt;&gt;"","مغلق",IF(AND(J181&lt;&gt;"",TODAY()&gt;J181),"مفتوح – متأخر","مفتوح")))</f>
        <v/>
      </c>
      <c r="M181" s="48">
        <f>IF(B181="","",IF(K181&lt;&gt;"",K181,TODAY())-B181)</f>
        <v/>
      </c>
    </row>
    <row r="182">
      <c r="A182" s="39">
        <f>IF(C182="","","NCR-"&amp;TEXT(ROW()-4,"0000"))</f>
        <v/>
      </c>
      <c r="B182" s="47" t="n"/>
      <c r="C182" s="50" t="n"/>
      <c r="D182" s="49">
        <f>IF(C182="","",IFERROR(INDEX('المشروعات'!$B$5:$B$304,MATCH(C182,'المشروعات'!$A$5:$A$304,0)),""))</f>
        <v/>
      </c>
      <c r="E182" s="40" t="n"/>
      <c r="F182" s="40" t="n"/>
      <c r="G182" s="40" t="n"/>
      <c r="H182" s="40" t="n"/>
      <c r="I182" s="40" t="n"/>
      <c r="J182" s="47" t="n"/>
      <c r="K182" s="47" t="n"/>
      <c r="L182" s="49">
        <f>IF(C182="","",IF(K182&lt;&gt;"","مغلق",IF(AND(J182&lt;&gt;"",TODAY()&gt;J182),"مفتوح – متأخر","مفتوح")))</f>
        <v/>
      </c>
      <c r="M182" s="48">
        <f>IF(B182="","",IF(K182&lt;&gt;"",K182,TODAY())-B182)</f>
        <v/>
      </c>
    </row>
    <row r="183">
      <c r="A183" s="39">
        <f>IF(C183="","","NCR-"&amp;TEXT(ROW()-4,"0000"))</f>
        <v/>
      </c>
      <c r="B183" s="47" t="n"/>
      <c r="C183" s="50" t="n"/>
      <c r="D183" s="49">
        <f>IF(C183="","",IFERROR(INDEX('المشروعات'!$B$5:$B$304,MATCH(C183,'المشروعات'!$A$5:$A$304,0)),""))</f>
        <v/>
      </c>
      <c r="E183" s="40" t="n"/>
      <c r="F183" s="40" t="n"/>
      <c r="G183" s="40" t="n"/>
      <c r="H183" s="40" t="n"/>
      <c r="I183" s="40" t="n"/>
      <c r="J183" s="47" t="n"/>
      <c r="K183" s="47" t="n"/>
      <c r="L183" s="49">
        <f>IF(C183="","",IF(K183&lt;&gt;"","مغلق",IF(AND(J183&lt;&gt;"",TODAY()&gt;J183),"مفتوح – متأخر","مفتوح")))</f>
        <v/>
      </c>
      <c r="M183" s="48">
        <f>IF(B183="","",IF(K183&lt;&gt;"",K183,TODAY())-B183)</f>
        <v/>
      </c>
    </row>
    <row r="184">
      <c r="A184" s="39">
        <f>IF(C184="","","NCR-"&amp;TEXT(ROW()-4,"0000"))</f>
        <v/>
      </c>
      <c r="B184" s="47" t="n"/>
      <c r="C184" s="50" t="n"/>
      <c r="D184" s="49">
        <f>IF(C184="","",IFERROR(INDEX('المشروعات'!$B$5:$B$304,MATCH(C184,'المشروعات'!$A$5:$A$304,0)),""))</f>
        <v/>
      </c>
      <c r="E184" s="40" t="n"/>
      <c r="F184" s="40" t="n"/>
      <c r="G184" s="40" t="n"/>
      <c r="H184" s="40" t="n"/>
      <c r="I184" s="40" t="n"/>
      <c r="J184" s="47" t="n"/>
      <c r="K184" s="47" t="n"/>
      <c r="L184" s="49">
        <f>IF(C184="","",IF(K184&lt;&gt;"","مغلق",IF(AND(J184&lt;&gt;"",TODAY()&gt;J184),"مفتوح – متأخر","مفتوح")))</f>
        <v/>
      </c>
      <c r="M184" s="48">
        <f>IF(B184="","",IF(K184&lt;&gt;"",K184,TODAY())-B184)</f>
        <v/>
      </c>
    </row>
    <row r="185">
      <c r="A185" s="39">
        <f>IF(C185="","","NCR-"&amp;TEXT(ROW()-4,"0000"))</f>
        <v/>
      </c>
      <c r="B185" s="47" t="n"/>
      <c r="C185" s="50" t="n"/>
      <c r="D185" s="49">
        <f>IF(C185="","",IFERROR(INDEX('المشروعات'!$B$5:$B$304,MATCH(C185,'المشروعات'!$A$5:$A$304,0)),""))</f>
        <v/>
      </c>
      <c r="E185" s="40" t="n"/>
      <c r="F185" s="40" t="n"/>
      <c r="G185" s="40" t="n"/>
      <c r="H185" s="40" t="n"/>
      <c r="I185" s="40" t="n"/>
      <c r="J185" s="47" t="n"/>
      <c r="K185" s="47" t="n"/>
      <c r="L185" s="49">
        <f>IF(C185="","",IF(K185&lt;&gt;"","مغلق",IF(AND(J185&lt;&gt;"",TODAY()&gt;J185),"مفتوح – متأخر","مفتوح")))</f>
        <v/>
      </c>
      <c r="M185" s="48">
        <f>IF(B185="","",IF(K185&lt;&gt;"",K185,TODAY())-B185)</f>
        <v/>
      </c>
    </row>
    <row r="186">
      <c r="A186" s="39">
        <f>IF(C186="","","NCR-"&amp;TEXT(ROW()-4,"0000"))</f>
        <v/>
      </c>
      <c r="B186" s="47" t="n"/>
      <c r="C186" s="50" t="n"/>
      <c r="D186" s="49">
        <f>IF(C186="","",IFERROR(INDEX('المشروعات'!$B$5:$B$304,MATCH(C186,'المشروعات'!$A$5:$A$304,0)),""))</f>
        <v/>
      </c>
      <c r="E186" s="40" t="n"/>
      <c r="F186" s="40" t="n"/>
      <c r="G186" s="40" t="n"/>
      <c r="H186" s="40" t="n"/>
      <c r="I186" s="40" t="n"/>
      <c r="J186" s="47" t="n"/>
      <c r="K186" s="47" t="n"/>
      <c r="L186" s="49">
        <f>IF(C186="","",IF(K186&lt;&gt;"","مغلق",IF(AND(J186&lt;&gt;"",TODAY()&gt;J186),"مفتوح – متأخر","مفتوح")))</f>
        <v/>
      </c>
      <c r="M186" s="48">
        <f>IF(B186="","",IF(K186&lt;&gt;"",K186,TODAY())-B186)</f>
        <v/>
      </c>
    </row>
    <row r="187">
      <c r="A187" s="39">
        <f>IF(C187="","","NCR-"&amp;TEXT(ROW()-4,"0000"))</f>
        <v/>
      </c>
      <c r="B187" s="47" t="n"/>
      <c r="C187" s="50" t="n"/>
      <c r="D187" s="49">
        <f>IF(C187="","",IFERROR(INDEX('المشروعات'!$B$5:$B$304,MATCH(C187,'المشروعات'!$A$5:$A$304,0)),""))</f>
        <v/>
      </c>
      <c r="E187" s="40" t="n"/>
      <c r="F187" s="40" t="n"/>
      <c r="G187" s="40" t="n"/>
      <c r="H187" s="40" t="n"/>
      <c r="I187" s="40" t="n"/>
      <c r="J187" s="47" t="n"/>
      <c r="K187" s="47" t="n"/>
      <c r="L187" s="49">
        <f>IF(C187="","",IF(K187&lt;&gt;"","مغلق",IF(AND(J187&lt;&gt;"",TODAY()&gt;J187),"مفتوح – متأخر","مفتوح")))</f>
        <v/>
      </c>
      <c r="M187" s="48">
        <f>IF(B187="","",IF(K187&lt;&gt;"",K187,TODAY())-B187)</f>
        <v/>
      </c>
    </row>
    <row r="188">
      <c r="A188" s="39">
        <f>IF(C188="","","NCR-"&amp;TEXT(ROW()-4,"0000"))</f>
        <v/>
      </c>
      <c r="B188" s="47" t="n"/>
      <c r="C188" s="50" t="n"/>
      <c r="D188" s="49">
        <f>IF(C188="","",IFERROR(INDEX('المشروعات'!$B$5:$B$304,MATCH(C188,'المشروعات'!$A$5:$A$304,0)),""))</f>
        <v/>
      </c>
      <c r="E188" s="40" t="n"/>
      <c r="F188" s="40" t="n"/>
      <c r="G188" s="40" t="n"/>
      <c r="H188" s="40" t="n"/>
      <c r="I188" s="40" t="n"/>
      <c r="J188" s="47" t="n"/>
      <c r="K188" s="47" t="n"/>
      <c r="L188" s="49">
        <f>IF(C188="","",IF(K188&lt;&gt;"","مغلق",IF(AND(J188&lt;&gt;"",TODAY()&gt;J188),"مفتوح – متأخر","مفتوح")))</f>
        <v/>
      </c>
      <c r="M188" s="48">
        <f>IF(B188="","",IF(K188&lt;&gt;"",K188,TODAY())-B188)</f>
        <v/>
      </c>
    </row>
    <row r="189">
      <c r="A189" s="39">
        <f>IF(C189="","","NCR-"&amp;TEXT(ROW()-4,"0000"))</f>
        <v/>
      </c>
      <c r="B189" s="47" t="n"/>
      <c r="C189" s="50" t="n"/>
      <c r="D189" s="49">
        <f>IF(C189="","",IFERROR(INDEX('المشروعات'!$B$5:$B$304,MATCH(C189,'المشروعات'!$A$5:$A$304,0)),""))</f>
        <v/>
      </c>
      <c r="E189" s="40" t="n"/>
      <c r="F189" s="40" t="n"/>
      <c r="G189" s="40" t="n"/>
      <c r="H189" s="40" t="n"/>
      <c r="I189" s="40" t="n"/>
      <c r="J189" s="47" t="n"/>
      <c r="K189" s="47" t="n"/>
      <c r="L189" s="49">
        <f>IF(C189="","",IF(K189&lt;&gt;"","مغلق",IF(AND(J189&lt;&gt;"",TODAY()&gt;J189),"مفتوح – متأخر","مفتوح")))</f>
        <v/>
      </c>
      <c r="M189" s="48">
        <f>IF(B189="","",IF(K189&lt;&gt;"",K189,TODAY())-B189)</f>
        <v/>
      </c>
    </row>
    <row r="190">
      <c r="A190" s="39">
        <f>IF(C190="","","NCR-"&amp;TEXT(ROW()-4,"0000"))</f>
        <v/>
      </c>
      <c r="B190" s="47" t="n"/>
      <c r="C190" s="50" t="n"/>
      <c r="D190" s="49">
        <f>IF(C190="","",IFERROR(INDEX('المشروعات'!$B$5:$B$304,MATCH(C190,'المشروعات'!$A$5:$A$304,0)),""))</f>
        <v/>
      </c>
      <c r="E190" s="40" t="n"/>
      <c r="F190" s="40" t="n"/>
      <c r="G190" s="40" t="n"/>
      <c r="H190" s="40" t="n"/>
      <c r="I190" s="40" t="n"/>
      <c r="J190" s="47" t="n"/>
      <c r="K190" s="47" t="n"/>
      <c r="L190" s="49">
        <f>IF(C190="","",IF(K190&lt;&gt;"","مغلق",IF(AND(J190&lt;&gt;"",TODAY()&gt;J190),"مفتوح – متأخر","مفتوح")))</f>
        <v/>
      </c>
      <c r="M190" s="48">
        <f>IF(B190="","",IF(K190&lt;&gt;"",K190,TODAY())-B190)</f>
        <v/>
      </c>
    </row>
    <row r="191">
      <c r="A191" s="39">
        <f>IF(C191="","","NCR-"&amp;TEXT(ROW()-4,"0000"))</f>
        <v/>
      </c>
      <c r="B191" s="47" t="n"/>
      <c r="C191" s="50" t="n"/>
      <c r="D191" s="49">
        <f>IF(C191="","",IFERROR(INDEX('المشروعات'!$B$5:$B$304,MATCH(C191,'المشروعات'!$A$5:$A$304,0)),""))</f>
        <v/>
      </c>
      <c r="E191" s="40" t="n"/>
      <c r="F191" s="40" t="n"/>
      <c r="G191" s="40" t="n"/>
      <c r="H191" s="40" t="n"/>
      <c r="I191" s="40" t="n"/>
      <c r="J191" s="47" t="n"/>
      <c r="K191" s="47" t="n"/>
      <c r="L191" s="49">
        <f>IF(C191="","",IF(K191&lt;&gt;"","مغلق",IF(AND(J191&lt;&gt;"",TODAY()&gt;J191),"مفتوح – متأخر","مفتوح")))</f>
        <v/>
      </c>
      <c r="M191" s="48">
        <f>IF(B191="","",IF(K191&lt;&gt;"",K191,TODAY())-B191)</f>
        <v/>
      </c>
    </row>
    <row r="192">
      <c r="A192" s="39">
        <f>IF(C192="","","NCR-"&amp;TEXT(ROW()-4,"0000"))</f>
        <v/>
      </c>
      <c r="B192" s="47" t="n"/>
      <c r="C192" s="50" t="n"/>
      <c r="D192" s="49">
        <f>IF(C192="","",IFERROR(INDEX('المشروعات'!$B$5:$B$304,MATCH(C192,'المشروعات'!$A$5:$A$304,0)),""))</f>
        <v/>
      </c>
      <c r="E192" s="40" t="n"/>
      <c r="F192" s="40" t="n"/>
      <c r="G192" s="40" t="n"/>
      <c r="H192" s="40" t="n"/>
      <c r="I192" s="40" t="n"/>
      <c r="J192" s="47" t="n"/>
      <c r="K192" s="47" t="n"/>
      <c r="L192" s="49">
        <f>IF(C192="","",IF(K192&lt;&gt;"","مغلق",IF(AND(J192&lt;&gt;"",TODAY()&gt;J192),"مفتوح – متأخر","مفتوح")))</f>
        <v/>
      </c>
      <c r="M192" s="48">
        <f>IF(B192="","",IF(K192&lt;&gt;"",K192,TODAY())-B192)</f>
        <v/>
      </c>
    </row>
    <row r="193">
      <c r="A193" s="39">
        <f>IF(C193="","","NCR-"&amp;TEXT(ROW()-4,"0000"))</f>
        <v/>
      </c>
      <c r="B193" s="47" t="n"/>
      <c r="C193" s="50" t="n"/>
      <c r="D193" s="49">
        <f>IF(C193="","",IFERROR(INDEX('المشروعات'!$B$5:$B$304,MATCH(C193,'المشروعات'!$A$5:$A$304,0)),""))</f>
        <v/>
      </c>
      <c r="E193" s="40" t="n"/>
      <c r="F193" s="40" t="n"/>
      <c r="G193" s="40" t="n"/>
      <c r="H193" s="40" t="n"/>
      <c r="I193" s="40" t="n"/>
      <c r="J193" s="47" t="n"/>
      <c r="K193" s="47" t="n"/>
      <c r="L193" s="49">
        <f>IF(C193="","",IF(K193&lt;&gt;"","مغلق",IF(AND(J193&lt;&gt;"",TODAY()&gt;J193),"مفتوح – متأخر","مفتوح")))</f>
        <v/>
      </c>
      <c r="M193" s="48">
        <f>IF(B193="","",IF(K193&lt;&gt;"",K193,TODAY())-B193)</f>
        <v/>
      </c>
    </row>
    <row r="194">
      <c r="A194" s="39">
        <f>IF(C194="","","NCR-"&amp;TEXT(ROW()-4,"0000"))</f>
        <v/>
      </c>
      <c r="B194" s="47" t="n"/>
      <c r="C194" s="50" t="n"/>
      <c r="D194" s="49">
        <f>IF(C194="","",IFERROR(INDEX('المشروعات'!$B$5:$B$304,MATCH(C194,'المشروعات'!$A$5:$A$304,0)),""))</f>
        <v/>
      </c>
      <c r="E194" s="40" t="n"/>
      <c r="F194" s="40" t="n"/>
      <c r="G194" s="40" t="n"/>
      <c r="H194" s="40" t="n"/>
      <c r="I194" s="40" t="n"/>
      <c r="J194" s="47" t="n"/>
      <c r="K194" s="47" t="n"/>
      <c r="L194" s="49">
        <f>IF(C194="","",IF(K194&lt;&gt;"","مغلق",IF(AND(J194&lt;&gt;"",TODAY()&gt;J194),"مفتوح – متأخر","مفتوح")))</f>
        <v/>
      </c>
      <c r="M194" s="48">
        <f>IF(B194="","",IF(K194&lt;&gt;"",K194,TODAY())-B194)</f>
        <v/>
      </c>
    </row>
    <row r="195">
      <c r="A195" s="39">
        <f>IF(C195="","","NCR-"&amp;TEXT(ROW()-4,"0000"))</f>
        <v/>
      </c>
      <c r="B195" s="47" t="n"/>
      <c r="C195" s="50" t="n"/>
      <c r="D195" s="49">
        <f>IF(C195="","",IFERROR(INDEX('المشروعات'!$B$5:$B$304,MATCH(C195,'المشروعات'!$A$5:$A$304,0)),""))</f>
        <v/>
      </c>
      <c r="E195" s="40" t="n"/>
      <c r="F195" s="40" t="n"/>
      <c r="G195" s="40" t="n"/>
      <c r="H195" s="40" t="n"/>
      <c r="I195" s="40" t="n"/>
      <c r="J195" s="47" t="n"/>
      <c r="K195" s="47" t="n"/>
      <c r="L195" s="49">
        <f>IF(C195="","",IF(K195&lt;&gt;"","مغلق",IF(AND(J195&lt;&gt;"",TODAY()&gt;J195),"مفتوح – متأخر","مفتوح")))</f>
        <v/>
      </c>
      <c r="M195" s="48">
        <f>IF(B195="","",IF(K195&lt;&gt;"",K195,TODAY())-B195)</f>
        <v/>
      </c>
    </row>
    <row r="196">
      <c r="A196" s="39">
        <f>IF(C196="","","NCR-"&amp;TEXT(ROW()-4,"0000"))</f>
        <v/>
      </c>
      <c r="B196" s="47" t="n"/>
      <c r="C196" s="50" t="n"/>
      <c r="D196" s="49">
        <f>IF(C196="","",IFERROR(INDEX('المشروعات'!$B$5:$B$304,MATCH(C196,'المشروعات'!$A$5:$A$304,0)),""))</f>
        <v/>
      </c>
      <c r="E196" s="40" t="n"/>
      <c r="F196" s="40" t="n"/>
      <c r="G196" s="40" t="n"/>
      <c r="H196" s="40" t="n"/>
      <c r="I196" s="40" t="n"/>
      <c r="J196" s="47" t="n"/>
      <c r="K196" s="47" t="n"/>
      <c r="L196" s="49">
        <f>IF(C196="","",IF(K196&lt;&gt;"","مغلق",IF(AND(J196&lt;&gt;"",TODAY()&gt;J196),"مفتوح – متأخر","مفتوح")))</f>
        <v/>
      </c>
      <c r="M196" s="48">
        <f>IF(B196="","",IF(K196&lt;&gt;"",K196,TODAY())-B196)</f>
        <v/>
      </c>
    </row>
    <row r="197">
      <c r="A197" s="39">
        <f>IF(C197="","","NCR-"&amp;TEXT(ROW()-4,"0000"))</f>
        <v/>
      </c>
      <c r="B197" s="47" t="n"/>
      <c r="C197" s="50" t="n"/>
      <c r="D197" s="49">
        <f>IF(C197="","",IFERROR(INDEX('المشروعات'!$B$5:$B$304,MATCH(C197,'المشروعات'!$A$5:$A$304,0)),""))</f>
        <v/>
      </c>
      <c r="E197" s="40" t="n"/>
      <c r="F197" s="40" t="n"/>
      <c r="G197" s="40" t="n"/>
      <c r="H197" s="40" t="n"/>
      <c r="I197" s="40" t="n"/>
      <c r="J197" s="47" t="n"/>
      <c r="K197" s="47" t="n"/>
      <c r="L197" s="49">
        <f>IF(C197="","",IF(K197&lt;&gt;"","مغلق",IF(AND(J197&lt;&gt;"",TODAY()&gt;J197),"مفتوح – متأخر","مفتوح")))</f>
        <v/>
      </c>
      <c r="M197" s="48">
        <f>IF(B197="","",IF(K197&lt;&gt;"",K197,TODAY())-B197)</f>
        <v/>
      </c>
    </row>
    <row r="198">
      <c r="A198" s="39">
        <f>IF(C198="","","NCR-"&amp;TEXT(ROW()-4,"0000"))</f>
        <v/>
      </c>
      <c r="B198" s="47" t="n"/>
      <c r="C198" s="50" t="n"/>
      <c r="D198" s="49">
        <f>IF(C198="","",IFERROR(INDEX('المشروعات'!$B$5:$B$304,MATCH(C198,'المشروعات'!$A$5:$A$304,0)),""))</f>
        <v/>
      </c>
      <c r="E198" s="40" t="n"/>
      <c r="F198" s="40" t="n"/>
      <c r="G198" s="40" t="n"/>
      <c r="H198" s="40" t="n"/>
      <c r="I198" s="40" t="n"/>
      <c r="J198" s="47" t="n"/>
      <c r="K198" s="47" t="n"/>
      <c r="L198" s="49">
        <f>IF(C198="","",IF(K198&lt;&gt;"","مغلق",IF(AND(J198&lt;&gt;"",TODAY()&gt;J198),"مفتوح – متأخر","مفتوح")))</f>
        <v/>
      </c>
      <c r="M198" s="48">
        <f>IF(B198="","",IF(K198&lt;&gt;"",K198,TODAY())-B198)</f>
        <v/>
      </c>
    </row>
    <row r="199">
      <c r="A199" s="39">
        <f>IF(C199="","","NCR-"&amp;TEXT(ROW()-4,"0000"))</f>
        <v/>
      </c>
      <c r="B199" s="47" t="n"/>
      <c r="C199" s="50" t="n"/>
      <c r="D199" s="49">
        <f>IF(C199="","",IFERROR(INDEX('المشروعات'!$B$5:$B$304,MATCH(C199,'المشروعات'!$A$5:$A$304,0)),""))</f>
        <v/>
      </c>
      <c r="E199" s="40" t="n"/>
      <c r="F199" s="40" t="n"/>
      <c r="G199" s="40" t="n"/>
      <c r="H199" s="40" t="n"/>
      <c r="I199" s="40" t="n"/>
      <c r="J199" s="47" t="n"/>
      <c r="K199" s="47" t="n"/>
      <c r="L199" s="49">
        <f>IF(C199="","",IF(K199&lt;&gt;"","مغلق",IF(AND(J199&lt;&gt;"",TODAY()&gt;J199),"مفتوح – متأخر","مفتوح")))</f>
        <v/>
      </c>
      <c r="M199" s="48">
        <f>IF(B199="","",IF(K199&lt;&gt;"",K199,TODAY())-B199)</f>
        <v/>
      </c>
    </row>
    <row r="200">
      <c r="A200" s="39">
        <f>IF(C200="","","NCR-"&amp;TEXT(ROW()-4,"0000"))</f>
        <v/>
      </c>
      <c r="B200" s="47" t="n"/>
      <c r="C200" s="50" t="n"/>
      <c r="D200" s="49">
        <f>IF(C200="","",IFERROR(INDEX('المشروعات'!$B$5:$B$304,MATCH(C200,'المشروعات'!$A$5:$A$304,0)),""))</f>
        <v/>
      </c>
      <c r="E200" s="40" t="n"/>
      <c r="F200" s="40" t="n"/>
      <c r="G200" s="40" t="n"/>
      <c r="H200" s="40" t="n"/>
      <c r="I200" s="40" t="n"/>
      <c r="J200" s="47" t="n"/>
      <c r="K200" s="47" t="n"/>
      <c r="L200" s="49">
        <f>IF(C200="","",IF(K200&lt;&gt;"","مغلق",IF(AND(J200&lt;&gt;"",TODAY()&gt;J200),"مفتوح – متأخر","مفتوح")))</f>
        <v/>
      </c>
      <c r="M200" s="48">
        <f>IF(B200="","",IF(K200&lt;&gt;"",K200,TODAY())-B200)</f>
        <v/>
      </c>
    </row>
    <row r="201">
      <c r="A201" s="39">
        <f>IF(C201="","","NCR-"&amp;TEXT(ROW()-4,"0000"))</f>
        <v/>
      </c>
      <c r="B201" s="47" t="n"/>
      <c r="C201" s="50" t="n"/>
      <c r="D201" s="49">
        <f>IF(C201="","",IFERROR(INDEX('المشروعات'!$B$5:$B$304,MATCH(C201,'المشروعات'!$A$5:$A$304,0)),""))</f>
        <v/>
      </c>
      <c r="E201" s="40" t="n"/>
      <c r="F201" s="40" t="n"/>
      <c r="G201" s="40" t="n"/>
      <c r="H201" s="40" t="n"/>
      <c r="I201" s="40" t="n"/>
      <c r="J201" s="47" t="n"/>
      <c r="K201" s="47" t="n"/>
      <c r="L201" s="49">
        <f>IF(C201="","",IF(K201&lt;&gt;"","مغلق",IF(AND(J201&lt;&gt;"",TODAY()&gt;J201),"مفتوح – متأخر","مفتوح")))</f>
        <v/>
      </c>
      <c r="M201" s="48">
        <f>IF(B201="","",IF(K201&lt;&gt;"",K201,TODAY())-B201)</f>
        <v/>
      </c>
    </row>
    <row r="202">
      <c r="A202" s="39">
        <f>IF(C202="","","NCR-"&amp;TEXT(ROW()-4,"0000"))</f>
        <v/>
      </c>
      <c r="B202" s="47" t="n"/>
      <c r="C202" s="50" t="n"/>
      <c r="D202" s="49">
        <f>IF(C202="","",IFERROR(INDEX('المشروعات'!$B$5:$B$304,MATCH(C202,'المشروعات'!$A$5:$A$304,0)),""))</f>
        <v/>
      </c>
      <c r="E202" s="40" t="n"/>
      <c r="F202" s="40" t="n"/>
      <c r="G202" s="40" t="n"/>
      <c r="H202" s="40" t="n"/>
      <c r="I202" s="40" t="n"/>
      <c r="J202" s="47" t="n"/>
      <c r="K202" s="47" t="n"/>
      <c r="L202" s="49">
        <f>IF(C202="","",IF(K202&lt;&gt;"","مغلق",IF(AND(J202&lt;&gt;"",TODAY()&gt;J202),"مفتوح – متأخر","مفتوح")))</f>
        <v/>
      </c>
      <c r="M202" s="48">
        <f>IF(B202="","",IF(K202&lt;&gt;"",K202,TODAY())-B202)</f>
        <v/>
      </c>
    </row>
    <row r="203">
      <c r="A203" s="39">
        <f>IF(C203="","","NCR-"&amp;TEXT(ROW()-4,"0000"))</f>
        <v/>
      </c>
      <c r="B203" s="47" t="n"/>
      <c r="C203" s="50" t="n"/>
      <c r="D203" s="49">
        <f>IF(C203="","",IFERROR(INDEX('المشروعات'!$B$5:$B$304,MATCH(C203,'المشروعات'!$A$5:$A$304,0)),""))</f>
        <v/>
      </c>
      <c r="E203" s="40" t="n"/>
      <c r="F203" s="40" t="n"/>
      <c r="G203" s="40" t="n"/>
      <c r="H203" s="40" t="n"/>
      <c r="I203" s="40" t="n"/>
      <c r="J203" s="47" t="n"/>
      <c r="K203" s="47" t="n"/>
      <c r="L203" s="49">
        <f>IF(C203="","",IF(K203&lt;&gt;"","مغلق",IF(AND(J203&lt;&gt;"",TODAY()&gt;J203),"مفتوح – متأخر","مفتوح")))</f>
        <v/>
      </c>
      <c r="M203" s="48">
        <f>IF(B203="","",IF(K203&lt;&gt;"",K203,TODAY())-B203)</f>
        <v/>
      </c>
    </row>
    <row r="204">
      <c r="A204" s="39">
        <f>IF(C204="","","NCR-"&amp;TEXT(ROW()-4,"0000"))</f>
        <v/>
      </c>
      <c r="B204" s="47" t="n"/>
      <c r="C204" s="50" t="n"/>
      <c r="D204" s="49">
        <f>IF(C204="","",IFERROR(INDEX('المشروعات'!$B$5:$B$304,MATCH(C204,'المشروعات'!$A$5:$A$304,0)),""))</f>
        <v/>
      </c>
      <c r="E204" s="40" t="n"/>
      <c r="F204" s="40" t="n"/>
      <c r="G204" s="40" t="n"/>
      <c r="H204" s="40" t="n"/>
      <c r="I204" s="40" t="n"/>
      <c r="J204" s="47" t="n"/>
      <c r="K204" s="47" t="n"/>
      <c r="L204" s="49">
        <f>IF(C204="","",IF(K204&lt;&gt;"","مغلق",IF(AND(J204&lt;&gt;"",TODAY()&gt;J204),"مفتوح – متأخر","مفتوح")))</f>
        <v/>
      </c>
      <c r="M204" s="48">
        <f>IF(B204="","",IF(K204&lt;&gt;"",K204,TODAY())-B204)</f>
        <v/>
      </c>
    </row>
    <row r="205">
      <c r="A205" s="39">
        <f>IF(C205="","","NCR-"&amp;TEXT(ROW()-4,"0000"))</f>
        <v/>
      </c>
      <c r="B205" s="47" t="n"/>
      <c r="C205" s="50" t="n"/>
      <c r="D205" s="49">
        <f>IF(C205="","",IFERROR(INDEX('المشروعات'!$B$5:$B$304,MATCH(C205,'المشروعات'!$A$5:$A$304,0)),""))</f>
        <v/>
      </c>
      <c r="E205" s="40" t="n"/>
      <c r="F205" s="40" t="n"/>
      <c r="G205" s="40" t="n"/>
      <c r="H205" s="40" t="n"/>
      <c r="I205" s="40" t="n"/>
      <c r="J205" s="47" t="n"/>
      <c r="K205" s="47" t="n"/>
      <c r="L205" s="49">
        <f>IF(C205="","",IF(K205&lt;&gt;"","مغلق",IF(AND(J205&lt;&gt;"",TODAY()&gt;J205),"مفتوح – متأخر","مفتوح")))</f>
        <v/>
      </c>
      <c r="M205" s="48">
        <f>IF(B205="","",IF(K205&lt;&gt;"",K205,TODAY())-B205)</f>
        <v/>
      </c>
    </row>
    <row r="206">
      <c r="A206" s="39">
        <f>IF(C206="","","NCR-"&amp;TEXT(ROW()-4,"0000"))</f>
        <v/>
      </c>
      <c r="B206" s="47" t="n"/>
      <c r="C206" s="50" t="n"/>
      <c r="D206" s="49">
        <f>IF(C206="","",IFERROR(INDEX('المشروعات'!$B$5:$B$304,MATCH(C206,'المشروعات'!$A$5:$A$304,0)),""))</f>
        <v/>
      </c>
      <c r="E206" s="40" t="n"/>
      <c r="F206" s="40" t="n"/>
      <c r="G206" s="40" t="n"/>
      <c r="H206" s="40" t="n"/>
      <c r="I206" s="40" t="n"/>
      <c r="J206" s="47" t="n"/>
      <c r="K206" s="47" t="n"/>
      <c r="L206" s="49">
        <f>IF(C206="","",IF(K206&lt;&gt;"","مغلق",IF(AND(J206&lt;&gt;"",TODAY()&gt;J206),"مفتوح – متأخر","مفتوح")))</f>
        <v/>
      </c>
      <c r="M206" s="48">
        <f>IF(B206="","",IF(K206&lt;&gt;"",K206,TODAY())-B206)</f>
        <v/>
      </c>
    </row>
    <row r="207">
      <c r="A207" s="39">
        <f>IF(C207="","","NCR-"&amp;TEXT(ROW()-4,"0000"))</f>
        <v/>
      </c>
      <c r="B207" s="47" t="n"/>
      <c r="C207" s="50" t="n"/>
      <c r="D207" s="49">
        <f>IF(C207="","",IFERROR(INDEX('المشروعات'!$B$5:$B$304,MATCH(C207,'المشروعات'!$A$5:$A$304,0)),""))</f>
        <v/>
      </c>
      <c r="E207" s="40" t="n"/>
      <c r="F207" s="40" t="n"/>
      <c r="G207" s="40" t="n"/>
      <c r="H207" s="40" t="n"/>
      <c r="I207" s="40" t="n"/>
      <c r="J207" s="47" t="n"/>
      <c r="K207" s="47" t="n"/>
      <c r="L207" s="49">
        <f>IF(C207="","",IF(K207&lt;&gt;"","مغلق",IF(AND(J207&lt;&gt;"",TODAY()&gt;J207),"مفتوح – متأخر","مفتوح")))</f>
        <v/>
      </c>
      <c r="M207" s="48">
        <f>IF(B207="","",IF(K207&lt;&gt;"",K207,TODAY())-B207)</f>
        <v/>
      </c>
    </row>
    <row r="208">
      <c r="A208" s="39">
        <f>IF(C208="","","NCR-"&amp;TEXT(ROW()-4,"0000"))</f>
        <v/>
      </c>
      <c r="B208" s="47" t="n"/>
      <c r="C208" s="50" t="n"/>
      <c r="D208" s="49">
        <f>IF(C208="","",IFERROR(INDEX('المشروعات'!$B$5:$B$304,MATCH(C208,'المشروعات'!$A$5:$A$304,0)),""))</f>
        <v/>
      </c>
      <c r="E208" s="40" t="n"/>
      <c r="F208" s="40" t="n"/>
      <c r="G208" s="40" t="n"/>
      <c r="H208" s="40" t="n"/>
      <c r="I208" s="40" t="n"/>
      <c r="J208" s="47" t="n"/>
      <c r="K208" s="47" t="n"/>
      <c r="L208" s="49">
        <f>IF(C208="","",IF(K208&lt;&gt;"","مغلق",IF(AND(J208&lt;&gt;"",TODAY()&gt;J208),"مفتوح – متأخر","مفتوح")))</f>
        <v/>
      </c>
      <c r="M208" s="48">
        <f>IF(B208="","",IF(K208&lt;&gt;"",K208,TODAY())-B208)</f>
        <v/>
      </c>
    </row>
    <row r="209">
      <c r="A209" s="39">
        <f>IF(C209="","","NCR-"&amp;TEXT(ROW()-4,"0000"))</f>
        <v/>
      </c>
      <c r="B209" s="47" t="n"/>
      <c r="C209" s="50" t="n"/>
      <c r="D209" s="49">
        <f>IF(C209="","",IFERROR(INDEX('المشروعات'!$B$5:$B$304,MATCH(C209,'المشروعات'!$A$5:$A$304,0)),""))</f>
        <v/>
      </c>
      <c r="E209" s="40" t="n"/>
      <c r="F209" s="40" t="n"/>
      <c r="G209" s="40" t="n"/>
      <c r="H209" s="40" t="n"/>
      <c r="I209" s="40" t="n"/>
      <c r="J209" s="47" t="n"/>
      <c r="K209" s="47" t="n"/>
      <c r="L209" s="49">
        <f>IF(C209="","",IF(K209&lt;&gt;"","مغلق",IF(AND(J209&lt;&gt;"",TODAY()&gt;J209),"مفتوح – متأخر","مفتوح")))</f>
        <v/>
      </c>
      <c r="M209" s="48">
        <f>IF(B209="","",IF(K209&lt;&gt;"",K209,TODAY())-B209)</f>
        <v/>
      </c>
    </row>
    <row r="210">
      <c r="A210" s="39">
        <f>IF(C210="","","NCR-"&amp;TEXT(ROW()-4,"0000"))</f>
        <v/>
      </c>
      <c r="B210" s="47" t="n"/>
      <c r="C210" s="50" t="n"/>
      <c r="D210" s="49">
        <f>IF(C210="","",IFERROR(INDEX('المشروعات'!$B$5:$B$304,MATCH(C210,'المشروعات'!$A$5:$A$304,0)),""))</f>
        <v/>
      </c>
      <c r="E210" s="40" t="n"/>
      <c r="F210" s="40" t="n"/>
      <c r="G210" s="40" t="n"/>
      <c r="H210" s="40" t="n"/>
      <c r="I210" s="40" t="n"/>
      <c r="J210" s="47" t="n"/>
      <c r="K210" s="47" t="n"/>
      <c r="L210" s="49">
        <f>IF(C210="","",IF(K210&lt;&gt;"","مغلق",IF(AND(J210&lt;&gt;"",TODAY()&gt;J210),"مفتوح – متأخر","مفتوح")))</f>
        <v/>
      </c>
      <c r="M210" s="48">
        <f>IF(B210="","",IF(K210&lt;&gt;"",K210,TODAY())-B210)</f>
        <v/>
      </c>
    </row>
    <row r="211">
      <c r="A211" s="39">
        <f>IF(C211="","","NCR-"&amp;TEXT(ROW()-4,"0000"))</f>
        <v/>
      </c>
      <c r="B211" s="47" t="n"/>
      <c r="C211" s="50" t="n"/>
      <c r="D211" s="49">
        <f>IF(C211="","",IFERROR(INDEX('المشروعات'!$B$5:$B$304,MATCH(C211,'المشروعات'!$A$5:$A$304,0)),""))</f>
        <v/>
      </c>
      <c r="E211" s="40" t="n"/>
      <c r="F211" s="40" t="n"/>
      <c r="G211" s="40" t="n"/>
      <c r="H211" s="40" t="n"/>
      <c r="I211" s="40" t="n"/>
      <c r="J211" s="47" t="n"/>
      <c r="K211" s="47" t="n"/>
      <c r="L211" s="49">
        <f>IF(C211="","",IF(K211&lt;&gt;"","مغلق",IF(AND(J211&lt;&gt;"",TODAY()&gt;J211),"مفتوح – متأخر","مفتوح")))</f>
        <v/>
      </c>
      <c r="M211" s="48">
        <f>IF(B211="","",IF(K211&lt;&gt;"",K211,TODAY())-B211)</f>
        <v/>
      </c>
    </row>
    <row r="212">
      <c r="A212" s="39">
        <f>IF(C212="","","NCR-"&amp;TEXT(ROW()-4,"0000"))</f>
        <v/>
      </c>
      <c r="B212" s="47" t="n"/>
      <c r="C212" s="50" t="n"/>
      <c r="D212" s="49">
        <f>IF(C212="","",IFERROR(INDEX('المشروعات'!$B$5:$B$304,MATCH(C212,'المشروعات'!$A$5:$A$304,0)),""))</f>
        <v/>
      </c>
      <c r="E212" s="40" t="n"/>
      <c r="F212" s="40" t="n"/>
      <c r="G212" s="40" t="n"/>
      <c r="H212" s="40" t="n"/>
      <c r="I212" s="40" t="n"/>
      <c r="J212" s="47" t="n"/>
      <c r="K212" s="47" t="n"/>
      <c r="L212" s="49">
        <f>IF(C212="","",IF(K212&lt;&gt;"","مغلق",IF(AND(J212&lt;&gt;"",TODAY()&gt;J212),"مفتوح – متأخر","مفتوح")))</f>
        <v/>
      </c>
      <c r="M212" s="48">
        <f>IF(B212="","",IF(K212&lt;&gt;"",K212,TODAY())-B212)</f>
        <v/>
      </c>
    </row>
    <row r="213">
      <c r="A213" s="39">
        <f>IF(C213="","","NCR-"&amp;TEXT(ROW()-4,"0000"))</f>
        <v/>
      </c>
      <c r="B213" s="47" t="n"/>
      <c r="C213" s="50" t="n"/>
      <c r="D213" s="49">
        <f>IF(C213="","",IFERROR(INDEX('المشروعات'!$B$5:$B$304,MATCH(C213,'المشروعات'!$A$5:$A$304,0)),""))</f>
        <v/>
      </c>
      <c r="E213" s="40" t="n"/>
      <c r="F213" s="40" t="n"/>
      <c r="G213" s="40" t="n"/>
      <c r="H213" s="40" t="n"/>
      <c r="I213" s="40" t="n"/>
      <c r="J213" s="47" t="n"/>
      <c r="K213" s="47" t="n"/>
      <c r="L213" s="49">
        <f>IF(C213="","",IF(K213&lt;&gt;"","مغلق",IF(AND(J213&lt;&gt;"",TODAY()&gt;J213),"مفتوح – متأخر","مفتوح")))</f>
        <v/>
      </c>
      <c r="M213" s="48">
        <f>IF(B213="","",IF(K213&lt;&gt;"",K213,TODAY())-B213)</f>
        <v/>
      </c>
    </row>
    <row r="214">
      <c r="A214" s="39">
        <f>IF(C214="","","NCR-"&amp;TEXT(ROW()-4,"0000"))</f>
        <v/>
      </c>
      <c r="B214" s="47" t="n"/>
      <c r="C214" s="50" t="n"/>
      <c r="D214" s="49">
        <f>IF(C214="","",IFERROR(INDEX('المشروعات'!$B$5:$B$304,MATCH(C214,'المشروعات'!$A$5:$A$304,0)),""))</f>
        <v/>
      </c>
      <c r="E214" s="40" t="n"/>
      <c r="F214" s="40" t="n"/>
      <c r="G214" s="40" t="n"/>
      <c r="H214" s="40" t="n"/>
      <c r="I214" s="40" t="n"/>
      <c r="J214" s="47" t="n"/>
      <c r="K214" s="47" t="n"/>
      <c r="L214" s="49">
        <f>IF(C214="","",IF(K214&lt;&gt;"","مغلق",IF(AND(J214&lt;&gt;"",TODAY()&gt;J214),"مفتوح – متأخر","مفتوح")))</f>
        <v/>
      </c>
      <c r="M214" s="48">
        <f>IF(B214="","",IF(K214&lt;&gt;"",K214,TODAY())-B214)</f>
        <v/>
      </c>
    </row>
    <row r="215">
      <c r="A215" s="39">
        <f>IF(C215="","","NCR-"&amp;TEXT(ROW()-4,"0000"))</f>
        <v/>
      </c>
      <c r="B215" s="47" t="n"/>
      <c r="C215" s="50" t="n"/>
      <c r="D215" s="49">
        <f>IF(C215="","",IFERROR(INDEX('المشروعات'!$B$5:$B$304,MATCH(C215,'المشروعات'!$A$5:$A$304,0)),""))</f>
        <v/>
      </c>
      <c r="E215" s="40" t="n"/>
      <c r="F215" s="40" t="n"/>
      <c r="G215" s="40" t="n"/>
      <c r="H215" s="40" t="n"/>
      <c r="I215" s="40" t="n"/>
      <c r="J215" s="47" t="n"/>
      <c r="K215" s="47" t="n"/>
      <c r="L215" s="49">
        <f>IF(C215="","",IF(K215&lt;&gt;"","مغلق",IF(AND(J215&lt;&gt;"",TODAY()&gt;J215),"مفتوح – متأخر","مفتوح")))</f>
        <v/>
      </c>
      <c r="M215" s="48">
        <f>IF(B215="","",IF(K215&lt;&gt;"",K215,TODAY())-B215)</f>
        <v/>
      </c>
    </row>
    <row r="216">
      <c r="A216" s="39">
        <f>IF(C216="","","NCR-"&amp;TEXT(ROW()-4,"0000"))</f>
        <v/>
      </c>
      <c r="B216" s="47" t="n"/>
      <c r="C216" s="50" t="n"/>
      <c r="D216" s="49">
        <f>IF(C216="","",IFERROR(INDEX('المشروعات'!$B$5:$B$304,MATCH(C216,'المشروعات'!$A$5:$A$304,0)),""))</f>
        <v/>
      </c>
      <c r="E216" s="40" t="n"/>
      <c r="F216" s="40" t="n"/>
      <c r="G216" s="40" t="n"/>
      <c r="H216" s="40" t="n"/>
      <c r="I216" s="40" t="n"/>
      <c r="J216" s="47" t="n"/>
      <c r="K216" s="47" t="n"/>
      <c r="L216" s="49">
        <f>IF(C216="","",IF(K216&lt;&gt;"","مغلق",IF(AND(J216&lt;&gt;"",TODAY()&gt;J216),"مفتوح – متأخر","مفتوح")))</f>
        <v/>
      </c>
      <c r="M216" s="48">
        <f>IF(B216="","",IF(K216&lt;&gt;"",K216,TODAY())-B216)</f>
        <v/>
      </c>
    </row>
    <row r="217">
      <c r="A217" s="39">
        <f>IF(C217="","","NCR-"&amp;TEXT(ROW()-4,"0000"))</f>
        <v/>
      </c>
      <c r="B217" s="47" t="n"/>
      <c r="C217" s="50" t="n"/>
      <c r="D217" s="49">
        <f>IF(C217="","",IFERROR(INDEX('المشروعات'!$B$5:$B$304,MATCH(C217,'المشروعات'!$A$5:$A$304,0)),""))</f>
        <v/>
      </c>
      <c r="E217" s="40" t="n"/>
      <c r="F217" s="40" t="n"/>
      <c r="G217" s="40" t="n"/>
      <c r="H217" s="40" t="n"/>
      <c r="I217" s="40" t="n"/>
      <c r="J217" s="47" t="n"/>
      <c r="K217" s="47" t="n"/>
      <c r="L217" s="49">
        <f>IF(C217="","",IF(K217&lt;&gt;"","مغلق",IF(AND(J217&lt;&gt;"",TODAY()&gt;J217),"مفتوح – متأخر","مفتوح")))</f>
        <v/>
      </c>
      <c r="M217" s="48">
        <f>IF(B217="","",IF(K217&lt;&gt;"",K217,TODAY())-B217)</f>
        <v/>
      </c>
    </row>
    <row r="218">
      <c r="A218" s="39">
        <f>IF(C218="","","NCR-"&amp;TEXT(ROW()-4,"0000"))</f>
        <v/>
      </c>
      <c r="B218" s="47" t="n"/>
      <c r="C218" s="50" t="n"/>
      <c r="D218" s="49">
        <f>IF(C218="","",IFERROR(INDEX('المشروعات'!$B$5:$B$304,MATCH(C218,'المشروعات'!$A$5:$A$304,0)),""))</f>
        <v/>
      </c>
      <c r="E218" s="40" t="n"/>
      <c r="F218" s="40" t="n"/>
      <c r="G218" s="40" t="n"/>
      <c r="H218" s="40" t="n"/>
      <c r="I218" s="40" t="n"/>
      <c r="J218" s="47" t="n"/>
      <c r="K218" s="47" t="n"/>
      <c r="L218" s="49">
        <f>IF(C218="","",IF(K218&lt;&gt;"","مغلق",IF(AND(J218&lt;&gt;"",TODAY()&gt;J218),"مفتوح – متأخر","مفتوح")))</f>
        <v/>
      </c>
      <c r="M218" s="48">
        <f>IF(B218="","",IF(K218&lt;&gt;"",K218,TODAY())-B218)</f>
        <v/>
      </c>
    </row>
    <row r="219">
      <c r="A219" s="39">
        <f>IF(C219="","","NCR-"&amp;TEXT(ROW()-4,"0000"))</f>
        <v/>
      </c>
      <c r="B219" s="47" t="n"/>
      <c r="C219" s="50" t="n"/>
      <c r="D219" s="49">
        <f>IF(C219="","",IFERROR(INDEX('المشروعات'!$B$5:$B$304,MATCH(C219,'المشروعات'!$A$5:$A$304,0)),""))</f>
        <v/>
      </c>
      <c r="E219" s="40" t="n"/>
      <c r="F219" s="40" t="n"/>
      <c r="G219" s="40" t="n"/>
      <c r="H219" s="40" t="n"/>
      <c r="I219" s="40" t="n"/>
      <c r="J219" s="47" t="n"/>
      <c r="K219" s="47" t="n"/>
      <c r="L219" s="49">
        <f>IF(C219="","",IF(K219&lt;&gt;"","مغلق",IF(AND(J219&lt;&gt;"",TODAY()&gt;J219),"مفتوح – متأخر","مفتوح")))</f>
        <v/>
      </c>
      <c r="M219" s="48">
        <f>IF(B219="","",IF(K219&lt;&gt;"",K219,TODAY())-B219)</f>
        <v/>
      </c>
    </row>
    <row r="220">
      <c r="A220" s="39">
        <f>IF(C220="","","NCR-"&amp;TEXT(ROW()-4,"0000"))</f>
        <v/>
      </c>
      <c r="B220" s="47" t="n"/>
      <c r="C220" s="50" t="n"/>
      <c r="D220" s="49">
        <f>IF(C220="","",IFERROR(INDEX('المشروعات'!$B$5:$B$304,MATCH(C220,'المشروعات'!$A$5:$A$304,0)),""))</f>
        <v/>
      </c>
      <c r="E220" s="40" t="n"/>
      <c r="F220" s="40" t="n"/>
      <c r="G220" s="40" t="n"/>
      <c r="H220" s="40" t="n"/>
      <c r="I220" s="40" t="n"/>
      <c r="J220" s="47" t="n"/>
      <c r="K220" s="47" t="n"/>
      <c r="L220" s="49">
        <f>IF(C220="","",IF(K220&lt;&gt;"","مغلق",IF(AND(J220&lt;&gt;"",TODAY()&gt;J220),"مفتوح – متأخر","مفتوح")))</f>
        <v/>
      </c>
      <c r="M220" s="48">
        <f>IF(B220="","",IF(K220&lt;&gt;"",K220,TODAY())-B220)</f>
        <v/>
      </c>
    </row>
    <row r="221">
      <c r="A221" s="39">
        <f>IF(C221="","","NCR-"&amp;TEXT(ROW()-4,"0000"))</f>
        <v/>
      </c>
      <c r="B221" s="47" t="n"/>
      <c r="C221" s="50" t="n"/>
      <c r="D221" s="49">
        <f>IF(C221="","",IFERROR(INDEX('المشروعات'!$B$5:$B$304,MATCH(C221,'المشروعات'!$A$5:$A$304,0)),""))</f>
        <v/>
      </c>
      <c r="E221" s="40" t="n"/>
      <c r="F221" s="40" t="n"/>
      <c r="G221" s="40" t="n"/>
      <c r="H221" s="40" t="n"/>
      <c r="I221" s="40" t="n"/>
      <c r="J221" s="47" t="n"/>
      <c r="K221" s="47" t="n"/>
      <c r="L221" s="49">
        <f>IF(C221="","",IF(K221&lt;&gt;"","مغلق",IF(AND(J221&lt;&gt;"",TODAY()&gt;J221),"مفتوح – متأخر","مفتوح")))</f>
        <v/>
      </c>
      <c r="M221" s="48">
        <f>IF(B221="","",IF(K221&lt;&gt;"",K221,TODAY())-B221)</f>
        <v/>
      </c>
    </row>
    <row r="222">
      <c r="A222" s="39">
        <f>IF(C222="","","NCR-"&amp;TEXT(ROW()-4,"0000"))</f>
        <v/>
      </c>
      <c r="B222" s="47" t="n"/>
      <c r="C222" s="50" t="n"/>
      <c r="D222" s="49">
        <f>IF(C222="","",IFERROR(INDEX('المشروعات'!$B$5:$B$304,MATCH(C222,'المشروعات'!$A$5:$A$304,0)),""))</f>
        <v/>
      </c>
      <c r="E222" s="40" t="n"/>
      <c r="F222" s="40" t="n"/>
      <c r="G222" s="40" t="n"/>
      <c r="H222" s="40" t="n"/>
      <c r="I222" s="40" t="n"/>
      <c r="J222" s="47" t="n"/>
      <c r="K222" s="47" t="n"/>
      <c r="L222" s="49">
        <f>IF(C222="","",IF(K222&lt;&gt;"","مغلق",IF(AND(J222&lt;&gt;"",TODAY()&gt;J222),"مفتوح – متأخر","مفتوح")))</f>
        <v/>
      </c>
      <c r="M222" s="48">
        <f>IF(B222="","",IF(K222&lt;&gt;"",K222,TODAY())-B222)</f>
        <v/>
      </c>
    </row>
    <row r="223">
      <c r="A223" s="39">
        <f>IF(C223="","","NCR-"&amp;TEXT(ROW()-4,"0000"))</f>
        <v/>
      </c>
      <c r="B223" s="47" t="n"/>
      <c r="C223" s="50" t="n"/>
      <c r="D223" s="49">
        <f>IF(C223="","",IFERROR(INDEX('المشروعات'!$B$5:$B$304,MATCH(C223,'المشروعات'!$A$5:$A$304,0)),""))</f>
        <v/>
      </c>
      <c r="E223" s="40" t="n"/>
      <c r="F223" s="40" t="n"/>
      <c r="G223" s="40" t="n"/>
      <c r="H223" s="40" t="n"/>
      <c r="I223" s="40" t="n"/>
      <c r="J223" s="47" t="n"/>
      <c r="K223" s="47" t="n"/>
      <c r="L223" s="49">
        <f>IF(C223="","",IF(K223&lt;&gt;"","مغلق",IF(AND(J223&lt;&gt;"",TODAY()&gt;J223),"مفتوح – متأخر","مفتوح")))</f>
        <v/>
      </c>
      <c r="M223" s="48">
        <f>IF(B223="","",IF(K223&lt;&gt;"",K223,TODAY())-B223)</f>
        <v/>
      </c>
    </row>
    <row r="224">
      <c r="A224" s="39">
        <f>IF(C224="","","NCR-"&amp;TEXT(ROW()-4,"0000"))</f>
        <v/>
      </c>
      <c r="B224" s="47" t="n"/>
      <c r="C224" s="50" t="n"/>
      <c r="D224" s="49">
        <f>IF(C224="","",IFERROR(INDEX('المشروعات'!$B$5:$B$304,MATCH(C224,'المشروعات'!$A$5:$A$304,0)),""))</f>
        <v/>
      </c>
      <c r="E224" s="40" t="n"/>
      <c r="F224" s="40" t="n"/>
      <c r="G224" s="40" t="n"/>
      <c r="H224" s="40" t="n"/>
      <c r="I224" s="40" t="n"/>
      <c r="J224" s="47" t="n"/>
      <c r="K224" s="47" t="n"/>
      <c r="L224" s="49">
        <f>IF(C224="","",IF(K224&lt;&gt;"","مغلق",IF(AND(J224&lt;&gt;"",TODAY()&gt;J224),"مفتوح – متأخر","مفتوح")))</f>
        <v/>
      </c>
      <c r="M224" s="48">
        <f>IF(B224="","",IF(K224&lt;&gt;"",K224,TODAY())-B224)</f>
        <v/>
      </c>
    </row>
    <row r="225">
      <c r="A225" s="39">
        <f>IF(C225="","","NCR-"&amp;TEXT(ROW()-4,"0000"))</f>
        <v/>
      </c>
      <c r="B225" s="47" t="n"/>
      <c r="C225" s="50" t="n"/>
      <c r="D225" s="49">
        <f>IF(C225="","",IFERROR(INDEX('المشروعات'!$B$5:$B$304,MATCH(C225,'المشروعات'!$A$5:$A$304,0)),""))</f>
        <v/>
      </c>
      <c r="E225" s="40" t="n"/>
      <c r="F225" s="40" t="n"/>
      <c r="G225" s="40" t="n"/>
      <c r="H225" s="40" t="n"/>
      <c r="I225" s="40" t="n"/>
      <c r="J225" s="47" t="n"/>
      <c r="K225" s="47" t="n"/>
      <c r="L225" s="49">
        <f>IF(C225="","",IF(K225&lt;&gt;"","مغلق",IF(AND(J225&lt;&gt;"",TODAY()&gt;J225),"مفتوح – متأخر","مفتوح")))</f>
        <v/>
      </c>
      <c r="M225" s="48">
        <f>IF(B225="","",IF(K225&lt;&gt;"",K225,TODAY())-B225)</f>
        <v/>
      </c>
    </row>
    <row r="226">
      <c r="A226" s="39">
        <f>IF(C226="","","NCR-"&amp;TEXT(ROW()-4,"0000"))</f>
        <v/>
      </c>
      <c r="B226" s="47" t="n"/>
      <c r="C226" s="50" t="n"/>
      <c r="D226" s="49">
        <f>IF(C226="","",IFERROR(INDEX('المشروعات'!$B$5:$B$304,MATCH(C226,'المشروعات'!$A$5:$A$304,0)),""))</f>
        <v/>
      </c>
      <c r="E226" s="40" t="n"/>
      <c r="F226" s="40" t="n"/>
      <c r="G226" s="40" t="n"/>
      <c r="H226" s="40" t="n"/>
      <c r="I226" s="40" t="n"/>
      <c r="J226" s="47" t="n"/>
      <c r="K226" s="47" t="n"/>
      <c r="L226" s="49">
        <f>IF(C226="","",IF(K226&lt;&gt;"","مغلق",IF(AND(J226&lt;&gt;"",TODAY()&gt;J226),"مفتوح – متأخر","مفتوح")))</f>
        <v/>
      </c>
      <c r="M226" s="48">
        <f>IF(B226="","",IF(K226&lt;&gt;"",K226,TODAY())-B226)</f>
        <v/>
      </c>
    </row>
    <row r="227">
      <c r="A227" s="39">
        <f>IF(C227="","","NCR-"&amp;TEXT(ROW()-4,"0000"))</f>
        <v/>
      </c>
      <c r="B227" s="47" t="n"/>
      <c r="C227" s="50" t="n"/>
      <c r="D227" s="49">
        <f>IF(C227="","",IFERROR(INDEX('المشروعات'!$B$5:$B$304,MATCH(C227,'المشروعات'!$A$5:$A$304,0)),""))</f>
        <v/>
      </c>
      <c r="E227" s="40" t="n"/>
      <c r="F227" s="40" t="n"/>
      <c r="G227" s="40" t="n"/>
      <c r="H227" s="40" t="n"/>
      <c r="I227" s="40" t="n"/>
      <c r="J227" s="47" t="n"/>
      <c r="K227" s="47" t="n"/>
      <c r="L227" s="49">
        <f>IF(C227="","",IF(K227&lt;&gt;"","مغلق",IF(AND(J227&lt;&gt;"",TODAY()&gt;J227),"مفتوح – متأخر","مفتوح")))</f>
        <v/>
      </c>
      <c r="M227" s="48">
        <f>IF(B227="","",IF(K227&lt;&gt;"",K227,TODAY())-B227)</f>
        <v/>
      </c>
    </row>
    <row r="228">
      <c r="A228" s="39">
        <f>IF(C228="","","NCR-"&amp;TEXT(ROW()-4,"0000"))</f>
        <v/>
      </c>
      <c r="B228" s="47" t="n"/>
      <c r="C228" s="50" t="n"/>
      <c r="D228" s="49">
        <f>IF(C228="","",IFERROR(INDEX('المشروعات'!$B$5:$B$304,MATCH(C228,'المشروعات'!$A$5:$A$304,0)),""))</f>
        <v/>
      </c>
      <c r="E228" s="40" t="n"/>
      <c r="F228" s="40" t="n"/>
      <c r="G228" s="40" t="n"/>
      <c r="H228" s="40" t="n"/>
      <c r="I228" s="40" t="n"/>
      <c r="J228" s="47" t="n"/>
      <c r="K228" s="47" t="n"/>
      <c r="L228" s="49">
        <f>IF(C228="","",IF(K228&lt;&gt;"","مغلق",IF(AND(J228&lt;&gt;"",TODAY()&gt;J228),"مفتوح – متأخر","مفتوح")))</f>
        <v/>
      </c>
      <c r="M228" s="48">
        <f>IF(B228="","",IF(K228&lt;&gt;"",K228,TODAY())-B228)</f>
        <v/>
      </c>
    </row>
    <row r="229">
      <c r="A229" s="39">
        <f>IF(C229="","","NCR-"&amp;TEXT(ROW()-4,"0000"))</f>
        <v/>
      </c>
      <c r="B229" s="47" t="n"/>
      <c r="C229" s="50" t="n"/>
      <c r="D229" s="49">
        <f>IF(C229="","",IFERROR(INDEX('المشروعات'!$B$5:$B$304,MATCH(C229,'المشروعات'!$A$5:$A$304,0)),""))</f>
        <v/>
      </c>
      <c r="E229" s="40" t="n"/>
      <c r="F229" s="40" t="n"/>
      <c r="G229" s="40" t="n"/>
      <c r="H229" s="40" t="n"/>
      <c r="I229" s="40" t="n"/>
      <c r="J229" s="47" t="n"/>
      <c r="K229" s="47" t="n"/>
      <c r="L229" s="49">
        <f>IF(C229="","",IF(K229&lt;&gt;"","مغلق",IF(AND(J229&lt;&gt;"",TODAY()&gt;J229),"مفتوح – متأخر","مفتوح")))</f>
        <v/>
      </c>
      <c r="M229" s="48">
        <f>IF(B229="","",IF(K229&lt;&gt;"",K229,TODAY())-B229)</f>
        <v/>
      </c>
    </row>
    <row r="230">
      <c r="A230" s="39">
        <f>IF(C230="","","NCR-"&amp;TEXT(ROW()-4,"0000"))</f>
        <v/>
      </c>
      <c r="B230" s="47" t="n"/>
      <c r="C230" s="50" t="n"/>
      <c r="D230" s="49">
        <f>IF(C230="","",IFERROR(INDEX('المشروعات'!$B$5:$B$304,MATCH(C230,'المشروعات'!$A$5:$A$304,0)),""))</f>
        <v/>
      </c>
      <c r="E230" s="40" t="n"/>
      <c r="F230" s="40" t="n"/>
      <c r="G230" s="40" t="n"/>
      <c r="H230" s="40" t="n"/>
      <c r="I230" s="40" t="n"/>
      <c r="J230" s="47" t="n"/>
      <c r="K230" s="47" t="n"/>
      <c r="L230" s="49">
        <f>IF(C230="","",IF(K230&lt;&gt;"","مغلق",IF(AND(J230&lt;&gt;"",TODAY()&gt;J230),"مفتوح – متأخر","مفتوح")))</f>
        <v/>
      </c>
      <c r="M230" s="48">
        <f>IF(B230="","",IF(K230&lt;&gt;"",K230,TODAY())-B230)</f>
        <v/>
      </c>
    </row>
    <row r="231">
      <c r="A231" s="39">
        <f>IF(C231="","","NCR-"&amp;TEXT(ROW()-4,"0000"))</f>
        <v/>
      </c>
      <c r="B231" s="47" t="n"/>
      <c r="C231" s="50" t="n"/>
      <c r="D231" s="49">
        <f>IF(C231="","",IFERROR(INDEX('المشروعات'!$B$5:$B$304,MATCH(C231,'المشروعات'!$A$5:$A$304,0)),""))</f>
        <v/>
      </c>
      <c r="E231" s="40" t="n"/>
      <c r="F231" s="40" t="n"/>
      <c r="G231" s="40" t="n"/>
      <c r="H231" s="40" t="n"/>
      <c r="I231" s="40" t="n"/>
      <c r="J231" s="47" t="n"/>
      <c r="K231" s="47" t="n"/>
      <c r="L231" s="49">
        <f>IF(C231="","",IF(K231&lt;&gt;"","مغلق",IF(AND(J231&lt;&gt;"",TODAY()&gt;J231),"مفتوح – متأخر","مفتوح")))</f>
        <v/>
      </c>
      <c r="M231" s="48">
        <f>IF(B231="","",IF(K231&lt;&gt;"",K231,TODAY())-B231)</f>
        <v/>
      </c>
    </row>
    <row r="232">
      <c r="A232" s="39">
        <f>IF(C232="","","NCR-"&amp;TEXT(ROW()-4,"0000"))</f>
        <v/>
      </c>
      <c r="B232" s="47" t="n"/>
      <c r="C232" s="50" t="n"/>
      <c r="D232" s="49">
        <f>IF(C232="","",IFERROR(INDEX('المشروعات'!$B$5:$B$304,MATCH(C232,'المشروعات'!$A$5:$A$304,0)),""))</f>
        <v/>
      </c>
      <c r="E232" s="40" t="n"/>
      <c r="F232" s="40" t="n"/>
      <c r="G232" s="40" t="n"/>
      <c r="H232" s="40" t="n"/>
      <c r="I232" s="40" t="n"/>
      <c r="J232" s="47" t="n"/>
      <c r="K232" s="47" t="n"/>
      <c r="L232" s="49">
        <f>IF(C232="","",IF(K232&lt;&gt;"","مغلق",IF(AND(J232&lt;&gt;"",TODAY()&gt;J232),"مفتوح – متأخر","مفتوح")))</f>
        <v/>
      </c>
      <c r="M232" s="48">
        <f>IF(B232="","",IF(K232&lt;&gt;"",K232,TODAY())-B232)</f>
        <v/>
      </c>
    </row>
    <row r="233">
      <c r="A233" s="39">
        <f>IF(C233="","","NCR-"&amp;TEXT(ROW()-4,"0000"))</f>
        <v/>
      </c>
      <c r="B233" s="47" t="n"/>
      <c r="C233" s="50" t="n"/>
      <c r="D233" s="49">
        <f>IF(C233="","",IFERROR(INDEX('المشروعات'!$B$5:$B$304,MATCH(C233,'المشروعات'!$A$5:$A$304,0)),""))</f>
        <v/>
      </c>
      <c r="E233" s="40" t="n"/>
      <c r="F233" s="40" t="n"/>
      <c r="G233" s="40" t="n"/>
      <c r="H233" s="40" t="n"/>
      <c r="I233" s="40" t="n"/>
      <c r="J233" s="47" t="n"/>
      <c r="K233" s="47" t="n"/>
      <c r="L233" s="49">
        <f>IF(C233="","",IF(K233&lt;&gt;"","مغلق",IF(AND(J233&lt;&gt;"",TODAY()&gt;J233),"مفتوح – متأخر","مفتوح")))</f>
        <v/>
      </c>
      <c r="M233" s="48">
        <f>IF(B233="","",IF(K233&lt;&gt;"",K233,TODAY())-B233)</f>
        <v/>
      </c>
    </row>
    <row r="234">
      <c r="A234" s="39">
        <f>IF(C234="","","NCR-"&amp;TEXT(ROW()-4,"0000"))</f>
        <v/>
      </c>
      <c r="B234" s="47" t="n"/>
      <c r="C234" s="50" t="n"/>
      <c r="D234" s="49">
        <f>IF(C234="","",IFERROR(INDEX('المشروعات'!$B$5:$B$304,MATCH(C234,'المشروعات'!$A$5:$A$304,0)),""))</f>
        <v/>
      </c>
      <c r="E234" s="40" t="n"/>
      <c r="F234" s="40" t="n"/>
      <c r="G234" s="40" t="n"/>
      <c r="H234" s="40" t="n"/>
      <c r="I234" s="40" t="n"/>
      <c r="J234" s="47" t="n"/>
      <c r="K234" s="47" t="n"/>
      <c r="L234" s="49">
        <f>IF(C234="","",IF(K234&lt;&gt;"","مغلق",IF(AND(J234&lt;&gt;"",TODAY()&gt;J234),"مفتوح – متأخر","مفتوح")))</f>
        <v/>
      </c>
      <c r="M234" s="48">
        <f>IF(B234="","",IF(K234&lt;&gt;"",K234,TODAY())-B234)</f>
        <v/>
      </c>
    </row>
    <row r="235">
      <c r="A235" s="39">
        <f>IF(C235="","","NCR-"&amp;TEXT(ROW()-4,"0000"))</f>
        <v/>
      </c>
      <c r="B235" s="47" t="n"/>
      <c r="C235" s="50" t="n"/>
      <c r="D235" s="49">
        <f>IF(C235="","",IFERROR(INDEX('المشروعات'!$B$5:$B$304,MATCH(C235,'المشروعات'!$A$5:$A$304,0)),""))</f>
        <v/>
      </c>
      <c r="E235" s="40" t="n"/>
      <c r="F235" s="40" t="n"/>
      <c r="G235" s="40" t="n"/>
      <c r="H235" s="40" t="n"/>
      <c r="I235" s="40" t="n"/>
      <c r="J235" s="47" t="n"/>
      <c r="K235" s="47" t="n"/>
      <c r="L235" s="49">
        <f>IF(C235="","",IF(K235&lt;&gt;"","مغلق",IF(AND(J235&lt;&gt;"",TODAY()&gt;J235),"مفتوح – متأخر","مفتوح")))</f>
        <v/>
      </c>
      <c r="M235" s="48">
        <f>IF(B235="","",IF(K235&lt;&gt;"",K235,TODAY())-B235)</f>
        <v/>
      </c>
    </row>
    <row r="236">
      <c r="A236" s="39">
        <f>IF(C236="","","NCR-"&amp;TEXT(ROW()-4,"0000"))</f>
        <v/>
      </c>
      <c r="B236" s="47" t="n"/>
      <c r="C236" s="50" t="n"/>
      <c r="D236" s="49">
        <f>IF(C236="","",IFERROR(INDEX('المشروعات'!$B$5:$B$304,MATCH(C236,'المشروعات'!$A$5:$A$304,0)),""))</f>
        <v/>
      </c>
      <c r="E236" s="40" t="n"/>
      <c r="F236" s="40" t="n"/>
      <c r="G236" s="40" t="n"/>
      <c r="H236" s="40" t="n"/>
      <c r="I236" s="40" t="n"/>
      <c r="J236" s="47" t="n"/>
      <c r="K236" s="47" t="n"/>
      <c r="L236" s="49">
        <f>IF(C236="","",IF(K236&lt;&gt;"","مغلق",IF(AND(J236&lt;&gt;"",TODAY()&gt;J236),"مفتوح – متأخر","مفتوح")))</f>
        <v/>
      </c>
      <c r="M236" s="48">
        <f>IF(B236="","",IF(K236&lt;&gt;"",K236,TODAY())-B236)</f>
        <v/>
      </c>
    </row>
    <row r="237">
      <c r="A237" s="39">
        <f>IF(C237="","","NCR-"&amp;TEXT(ROW()-4,"0000"))</f>
        <v/>
      </c>
      <c r="B237" s="47" t="n"/>
      <c r="C237" s="50" t="n"/>
      <c r="D237" s="49">
        <f>IF(C237="","",IFERROR(INDEX('المشروعات'!$B$5:$B$304,MATCH(C237,'المشروعات'!$A$5:$A$304,0)),""))</f>
        <v/>
      </c>
      <c r="E237" s="40" t="n"/>
      <c r="F237" s="40" t="n"/>
      <c r="G237" s="40" t="n"/>
      <c r="H237" s="40" t="n"/>
      <c r="I237" s="40" t="n"/>
      <c r="J237" s="47" t="n"/>
      <c r="K237" s="47" t="n"/>
      <c r="L237" s="49">
        <f>IF(C237="","",IF(K237&lt;&gt;"","مغلق",IF(AND(J237&lt;&gt;"",TODAY()&gt;J237),"مفتوح – متأخر","مفتوح")))</f>
        <v/>
      </c>
      <c r="M237" s="48">
        <f>IF(B237="","",IF(K237&lt;&gt;"",K237,TODAY())-B237)</f>
        <v/>
      </c>
    </row>
    <row r="238">
      <c r="A238" s="39">
        <f>IF(C238="","","NCR-"&amp;TEXT(ROW()-4,"0000"))</f>
        <v/>
      </c>
      <c r="B238" s="47" t="n"/>
      <c r="C238" s="50" t="n"/>
      <c r="D238" s="49">
        <f>IF(C238="","",IFERROR(INDEX('المشروعات'!$B$5:$B$304,MATCH(C238,'المشروعات'!$A$5:$A$304,0)),""))</f>
        <v/>
      </c>
      <c r="E238" s="40" t="n"/>
      <c r="F238" s="40" t="n"/>
      <c r="G238" s="40" t="n"/>
      <c r="H238" s="40" t="n"/>
      <c r="I238" s="40" t="n"/>
      <c r="J238" s="47" t="n"/>
      <c r="K238" s="47" t="n"/>
      <c r="L238" s="49">
        <f>IF(C238="","",IF(K238&lt;&gt;"","مغلق",IF(AND(J238&lt;&gt;"",TODAY()&gt;J238),"مفتوح – متأخر","مفتوح")))</f>
        <v/>
      </c>
      <c r="M238" s="48">
        <f>IF(B238="","",IF(K238&lt;&gt;"",K238,TODAY())-B238)</f>
        <v/>
      </c>
    </row>
    <row r="239">
      <c r="A239" s="39">
        <f>IF(C239="","","NCR-"&amp;TEXT(ROW()-4,"0000"))</f>
        <v/>
      </c>
      <c r="B239" s="47" t="n"/>
      <c r="C239" s="50" t="n"/>
      <c r="D239" s="49">
        <f>IF(C239="","",IFERROR(INDEX('المشروعات'!$B$5:$B$304,MATCH(C239,'المشروعات'!$A$5:$A$304,0)),""))</f>
        <v/>
      </c>
      <c r="E239" s="40" t="n"/>
      <c r="F239" s="40" t="n"/>
      <c r="G239" s="40" t="n"/>
      <c r="H239" s="40" t="n"/>
      <c r="I239" s="40" t="n"/>
      <c r="J239" s="47" t="n"/>
      <c r="K239" s="47" t="n"/>
      <c r="L239" s="49">
        <f>IF(C239="","",IF(K239&lt;&gt;"","مغلق",IF(AND(J239&lt;&gt;"",TODAY()&gt;J239),"مفتوح – متأخر","مفتوح")))</f>
        <v/>
      </c>
      <c r="M239" s="48">
        <f>IF(B239="","",IF(K239&lt;&gt;"",K239,TODAY())-B239)</f>
        <v/>
      </c>
    </row>
    <row r="240">
      <c r="A240" s="39">
        <f>IF(C240="","","NCR-"&amp;TEXT(ROW()-4,"0000"))</f>
        <v/>
      </c>
      <c r="B240" s="47" t="n"/>
      <c r="C240" s="50" t="n"/>
      <c r="D240" s="49">
        <f>IF(C240="","",IFERROR(INDEX('المشروعات'!$B$5:$B$304,MATCH(C240,'المشروعات'!$A$5:$A$304,0)),""))</f>
        <v/>
      </c>
      <c r="E240" s="40" t="n"/>
      <c r="F240" s="40" t="n"/>
      <c r="G240" s="40" t="n"/>
      <c r="H240" s="40" t="n"/>
      <c r="I240" s="40" t="n"/>
      <c r="J240" s="47" t="n"/>
      <c r="K240" s="47" t="n"/>
      <c r="L240" s="49">
        <f>IF(C240="","",IF(K240&lt;&gt;"","مغلق",IF(AND(J240&lt;&gt;"",TODAY()&gt;J240),"مفتوح – متأخر","مفتوح")))</f>
        <v/>
      </c>
      <c r="M240" s="48">
        <f>IF(B240="","",IF(K240&lt;&gt;"",K240,TODAY())-B240)</f>
        <v/>
      </c>
    </row>
    <row r="241">
      <c r="A241" s="39">
        <f>IF(C241="","","NCR-"&amp;TEXT(ROW()-4,"0000"))</f>
        <v/>
      </c>
      <c r="B241" s="47" t="n"/>
      <c r="C241" s="50" t="n"/>
      <c r="D241" s="49">
        <f>IF(C241="","",IFERROR(INDEX('المشروعات'!$B$5:$B$304,MATCH(C241,'المشروعات'!$A$5:$A$304,0)),""))</f>
        <v/>
      </c>
      <c r="E241" s="40" t="n"/>
      <c r="F241" s="40" t="n"/>
      <c r="G241" s="40" t="n"/>
      <c r="H241" s="40" t="n"/>
      <c r="I241" s="40" t="n"/>
      <c r="J241" s="47" t="n"/>
      <c r="K241" s="47" t="n"/>
      <c r="L241" s="49">
        <f>IF(C241="","",IF(K241&lt;&gt;"","مغلق",IF(AND(J241&lt;&gt;"",TODAY()&gt;J241),"مفتوح – متأخر","مفتوح")))</f>
        <v/>
      </c>
      <c r="M241" s="48">
        <f>IF(B241="","",IF(K241&lt;&gt;"",K241,TODAY())-B241)</f>
        <v/>
      </c>
    </row>
    <row r="242">
      <c r="A242" s="39">
        <f>IF(C242="","","NCR-"&amp;TEXT(ROW()-4,"0000"))</f>
        <v/>
      </c>
      <c r="B242" s="47" t="n"/>
      <c r="C242" s="50" t="n"/>
      <c r="D242" s="49">
        <f>IF(C242="","",IFERROR(INDEX('المشروعات'!$B$5:$B$304,MATCH(C242,'المشروعات'!$A$5:$A$304,0)),""))</f>
        <v/>
      </c>
      <c r="E242" s="40" t="n"/>
      <c r="F242" s="40" t="n"/>
      <c r="G242" s="40" t="n"/>
      <c r="H242" s="40" t="n"/>
      <c r="I242" s="40" t="n"/>
      <c r="J242" s="47" t="n"/>
      <c r="K242" s="47" t="n"/>
      <c r="L242" s="49">
        <f>IF(C242="","",IF(K242&lt;&gt;"","مغلق",IF(AND(J242&lt;&gt;"",TODAY()&gt;J242),"مفتوح – متأخر","مفتوح")))</f>
        <v/>
      </c>
      <c r="M242" s="48">
        <f>IF(B242="","",IF(K242&lt;&gt;"",K242,TODAY())-B242)</f>
        <v/>
      </c>
    </row>
    <row r="243">
      <c r="A243" s="39">
        <f>IF(C243="","","NCR-"&amp;TEXT(ROW()-4,"0000"))</f>
        <v/>
      </c>
      <c r="B243" s="47" t="n"/>
      <c r="C243" s="50" t="n"/>
      <c r="D243" s="49">
        <f>IF(C243="","",IFERROR(INDEX('المشروعات'!$B$5:$B$304,MATCH(C243,'المشروعات'!$A$5:$A$304,0)),""))</f>
        <v/>
      </c>
      <c r="E243" s="40" t="n"/>
      <c r="F243" s="40" t="n"/>
      <c r="G243" s="40" t="n"/>
      <c r="H243" s="40" t="n"/>
      <c r="I243" s="40" t="n"/>
      <c r="J243" s="47" t="n"/>
      <c r="K243" s="47" t="n"/>
      <c r="L243" s="49">
        <f>IF(C243="","",IF(K243&lt;&gt;"","مغلق",IF(AND(J243&lt;&gt;"",TODAY()&gt;J243),"مفتوح – متأخر","مفتوح")))</f>
        <v/>
      </c>
      <c r="M243" s="48">
        <f>IF(B243="","",IF(K243&lt;&gt;"",K243,TODAY())-B243)</f>
        <v/>
      </c>
    </row>
    <row r="244">
      <c r="A244" s="39">
        <f>IF(C244="","","NCR-"&amp;TEXT(ROW()-4,"0000"))</f>
        <v/>
      </c>
      <c r="B244" s="47" t="n"/>
      <c r="C244" s="50" t="n"/>
      <c r="D244" s="49">
        <f>IF(C244="","",IFERROR(INDEX('المشروعات'!$B$5:$B$304,MATCH(C244,'المشروعات'!$A$5:$A$304,0)),""))</f>
        <v/>
      </c>
      <c r="E244" s="40" t="n"/>
      <c r="F244" s="40" t="n"/>
      <c r="G244" s="40" t="n"/>
      <c r="H244" s="40" t="n"/>
      <c r="I244" s="40" t="n"/>
      <c r="J244" s="47" t="n"/>
      <c r="K244" s="47" t="n"/>
      <c r="L244" s="49">
        <f>IF(C244="","",IF(K244&lt;&gt;"","مغلق",IF(AND(J244&lt;&gt;"",TODAY()&gt;J244),"مفتوح – متأخر","مفتوح")))</f>
        <v/>
      </c>
      <c r="M244" s="48">
        <f>IF(B244="","",IF(K244&lt;&gt;"",K244,TODAY())-B244)</f>
        <v/>
      </c>
    </row>
    <row r="245">
      <c r="A245" s="39">
        <f>IF(C245="","","NCR-"&amp;TEXT(ROW()-4,"0000"))</f>
        <v/>
      </c>
      <c r="B245" s="47" t="n"/>
      <c r="C245" s="50" t="n"/>
      <c r="D245" s="49">
        <f>IF(C245="","",IFERROR(INDEX('المشروعات'!$B$5:$B$304,MATCH(C245,'المشروعات'!$A$5:$A$304,0)),""))</f>
        <v/>
      </c>
      <c r="E245" s="40" t="n"/>
      <c r="F245" s="40" t="n"/>
      <c r="G245" s="40" t="n"/>
      <c r="H245" s="40" t="n"/>
      <c r="I245" s="40" t="n"/>
      <c r="J245" s="47" t="n"/>
      <c r="K245" s="47" t="n"/>
      <c r="L245" s="49">
        <f>IF(C245="","",IF(K245&lt;&gt;"","مغلق",IF(AND(J245&lt;&gt;"",TODAY()&gt;J245),"مفتوح – متأخر","مفتوح")))</f>
        <v/>
      </c>
      <c r="M245" s="48">
        <f>IF(B245="","",IF(K245&lt;&gt;"",K245,TODAY())-B245)</f>
        <v/>
      </c>
    </row>
    <row r="246">
      <c r="A246" s="39">
        <f>IF(C246="","","NCR-"&amp;TEXT(ROW()-4,"0000"))</f>
        <v/>
      </c>
      <c r="B246" s="47" t="n"/>
      <c r="C246" s="50" t="n"/>
      <c r="D246" s="49">
        <f>IF(C246="","",IFERROR(INDEX('المشروعات'!$B$5:$B$304,MATCH(C246,'المشروعات'!$A$5:$A$304,0)),""))</f>
        <v/>
      </c>
      <c r="E246" s="40" t="n"/>
      <c r="F246" s="40" t="n"/>
      <c r="G246" s="40" t="n"/>
      <c r="H246" s="40" t="n"/>
      <c r="I246" s="40" t="n"/>
      <c r="J246" s="47" t="n"/>
      <c r="K246" s="47" t="n"/>
      <c r="L246" s="49">
        <f>IF(C246="","",IF(K246&lt;&gt;"","مغلق",IF(AND(J246&lt;&gt;"",TODAY()&gt;J246),"مفتوح – متأخر","مفتوح")))</f>
        <v/>
      </c>
      <c r="M246" s="48">
        <f>IF(B246="","",IF(K246&lt;&gt;"",K246,TODAY())-B246)</f>
        <v/>
      </c>
    </row>
    <row r="247">
      <c r="A247" s="39">
        <f>IF(C247="","","NCR-"&amp;TEXT(ROW()-4,"0000"))</f>
        <v/>
      </c>
      <c r="B247" s="47" t="n"/>
      <c r="C247" s="50" t="n"/>
      <c r="D247" s="49">
        <f>IF(C247="","",IFERROR(INDEX('المشروعات'!$B$5:$B$304,MATCH(C247,'المشروعات'!$A$5:$A$304,0)),""))</f>
        <v/>
      </c>
      <c r="E247" s="40" t="n"/>
      <c r="F247" s="40" t="n"/>
      <c r="G247" s="40" t="n"/>
      <c r="H247" s="40" t="n"/>
      <c r="I247" s="40" t="n"/>
      <c r="J247" s="47" t="n"/>
      <c r="K247" s="47" t="n"/>
      <c r="L247" s="49">
        <f>IF(C247="","",IF(K247&lt;&gt;"","مغلق",IF(AND(J247&lt;&gt;"",TODAY()&gt;J247),"مفتوح – متأخر","مفتوح")))</f>
        <v/>
      </c>
      <c r="M247" s="48">
        <f>IF(B247="","",IF(K247&lt;&gt;"",K247,TODAY())-B247)</f>
        <v/>
      </c>
    </row>
    <row r="248">
      <c r="A248" s="39">
        <f>IF(C248="","","NCR-"&amp;TEXT(ROW()-4,"0000"))</f>
        <v/>
      </c>
      <c r="B248" s="47" t="n"/>
      <c r="C248" s="50" t="n"/>
      <c r="D248" s="49">
        <f>IF(C248="","",IFERROR(INDEX('المشروعات'!$B$5:$B$304,MATCH(C248,'المشروعات'!$A$5:$A$304,0)),""))</f>
        <v/>
      </c>
      <c r="E248" s="40" t="n"/>
      <c r="F248" s="40" t="n"/>
      <c r="G248" s="40" t="n"/>
      <c r="H248" s="40" t="n"/>
      <c r="I248" s="40" t="n"/>
      <c r="J248" s="47" t="n"/>
      <c r="K248" s="47" t="n"/>
      <c r="L248" s="49">
        <f>IF(C248="","",IF(K248&lt;&gt;"","مغلق",IF(AND(J248&lt;&gt;"",TODAY()&gt;J248),"مفتوح – متأخر","مفتوح")))</f>
        <v/>
      </c>
      <c r="M248" s="48">
        <f>IF(B248="","",IF(K248&lt;&gt;"",K248,TODAY())-B248)</f>
        <v/>
      </c>
    </row>
    <row r="249">
      <c r="A249" s="39">
        <f>IF(C249="","","NCR-"&amp;TEXT(ROW()-4,"0000"))</f>
        <v/>
      </c>
      <c r="B249" s="47" t="n"/>
      <c r="C249" s="50" t="n"/>
      <c r="D249" s="49">
        <f>IF(C249="","",IFERROR(INDEX('المشروعات'!$B$5:$B$304,MATCH(C249,'المشروعات'!$A$5:$A$304,0)),""))</f>
        <v/>
      </c>
      <c r="E249" s="40" t="n"/>
      <c r="F249" s="40" t="n"/>
      <c r="G249" s="40" t="n"/>
      <c r="H249" s="40" t="n"/>
      <c r="I249" s="40" t="n"/>
      <c r="J249" s="47" t="n"/>
      <c r="K249" s="47" t="n"/>
      <c r="L249" s="49">
        <f>IF(C249="","",IF(K249&lt;&gt;"","مغلق",IF(AND(J249&lt;&gt;"",TODAY()&gt;J249),"مفتوح – متأخر","مفتوح")))</f>
        <v/>
      </c>
      <c r="M249" s="48">
        <f>IF(B249="","",IF(K249&lt;&gt;"",K249,TODAY())-B249)</f>
        <v/>
      </c>
    </row>
    <row r="250">
      <c r="A250" s="39">
        <f>IF(C250="","","NCR-"&amp;TEXT(ROW()-4,"0000"))</f>
        <v/>
      </c>
      <c r="B250" s="47" t="n"/>
      <c r="C250" s="50" t="n"/>
      <c r="D250" s="49">
        <f>IF(C250="","",IFERROR(INDEX('المشروعات'!$B$5:$B$304,MATCH(C250,'المشروعات'!$A$5:$A$304,0)),""))</f>
        <v/>
      </c>
      <c r="E250" s="40" t="n"/>
      <c r="F250" s="40" t="n"/>
      <c r="G250" s="40" t="n"/>
      <c r="H250" s="40" t="n"/>
      <c r="I250" s="40" t="n"/>
      <c r="J250" s="47" t="n"/>
      <c r="K250" s="47" t="n"/>
      <c r="L250" s="49">
        <f>IF(C250="","",IF(K250&lt;&gt;"","مغلق",IF(AND(J250&lt;&gt;"",TODAY()&gt;J250),"مفتوح – متأخر","مفتوح")))</f>
        <v/>
      </c>
      <c r="M250" s="48">
        <f>IF(B250="","",IF(K250&lt;&gt;"",K250,TODAY())-B250)</f>
        <v/>
      </c>
    </row>
    <row r="251">
      <c r="A251" s="39">
        <f>IF(C251="","","NCR-"&amp;TEXT(ROW()-4,"0000"))</f>
        <v/>
      </c>
      <c r="B251" s="47" t="n"/>
      <c r="C251" s="50" t="n"/>
      <c r="D251" s="49">
        <f>IF(C251="","",IFERROR(INDEX('المشروعات'!$B$5:$B$304,MATCH(C251,'المشروعات'!$A$5:$A$304,0)),""))</f>
        <v/>
      </c>
      <c r="E251" s="40" t="n"/>
      <c r="F251" s="40" t="n"/>
      <c r="G251" s="40" t="n"/>
      <c r="H251" s="40" t="n"/>
      <c r="I251" s="40" t="n"/>
      <c r="J251" s="47" t="n"/>
      <c r="K251" s="47" t="n"/>
      <c r="L251" s="49">
        <f>IF(C251="","",IF(K251&lt;&gt;"","مغلق",IF(AND(J251&lt;&gt;"",TODAY()&gt;J251),"مفتوح – متأخر","مفتوح")))</f>
        <v/>
      </c>
      <c r="M251" s="48">
        <f>IF(B251="","",IF(K251&lt;&gt;"",K251,TODAY())-B251)</f>
        <v/>
      </c>
    </row>
    <row r="252">
      <c r="A252" s="39">
        <f>IF(C252="","","NCR-"&amp;TEXT(ROW()-4,"0000"))</f>
        <v/>
      </c>
      <c r="B252" s="47" t="n"/>
      <c r="C252" s="50" t="n"/>
      <c r="D252" s="49">
        <f>IF(C252="","",IFERROR(INDEX('المشروعات'!$B$5:$B$304,MATCH(C252,'المشروعات'!$A$5:$A$304,0)),""))</f>
        <v/>
      </c>
      <c r="E252" s="40" t="n"/>
      <c r="F252" s="40" t="n"/>
      <c r="G252" s="40" t="n"/>
      <c r="H252" s="40" t="n"/>
      <c r="I252" s="40" t="n"/>
      <c r="J252" s="47" t="n"/>
      <c r="K252" s="47" t="n"/>
      <c r="L252" s="49">
        <f>IF(C252="","",IF(K252&lt;&gt;"","مغلق",IF(AND(J252&lt;&gt;"",TODAY()&gt;J252),"مفتوح – متأخر","مفتوح")))</f>
        <v/>
      </c>
      <c r="M252" s="48">
        <f>IF(B252="","",IF(K252&lt;&gt;"",K252,TODAY())-B252)</f>
        <v/>
      </c>
    </row>
    <row r="253">
      <c r="A253" s="39">
        <f>IF(C253="","","NCR-"&amp;TEXT(ROW()-4,"0000"))</f>
        <v/>
      </c>
      <c r="B253" s="47" t="n"/>
      <c r="C253" s="50" t="n"/>
      <c r="D253" s="49">
        <f>IF(C253="","",IFERROR(INDEX('المشروعات'!$B$5:$B$304,MATCH(C253,'المشروعات'!$A$5:$A$304,0)),""))</f>
        <v/>
      </c>
      <c r="E253" s="40" t="n"/>
      <c r="F253" s="40" t="n"/>
      <c r="G253" s="40" t="n"/>
      <c r="H253" s="40" t="n"/>
      <c r="I253" s="40" t="n"/>
      <c r="J253" s="47" t="n"/>
      <c r="K253" s="47" t="n"/>
      <c r="L253" s="49">
        <f>IF(C253="","",IF(K253&lt;&gt;"","مغلق",IF(AND(J253&lt;&gt;"",TODAY()&gt;J253),"مفتوح – متأخر","مفتوح")))</f>
        <v/>
      </c>
      <c r="M253" s="48">
        <f>IF(B253="","",IF(K253&lt;&gt;"",K253,TODAY())-B253)</f>
        <v/>
      </c>
    </row>
    <row r="254">
      <c r="A254" s="39">
        <f>IF(C254="","","NCR-"&amp;TEXT(ROW()-4,"0000"))</f>
        <v/>
      </c>
      <c r="B254" s="47" t="n"/>
      <c r="C254" s="50" t="n"/>
      <c r="D254" s="49">
        <f>IF(C254="","",IFERROR(INDEX('المشروعات'!$B$5:$B$304,MATCH(C254,'المشروعات'!$A$5:$A$304,0)),""))</f>
        <v/>
      </c>
      <c r="E254" s="40" t="n"/>
      <c r="F254" s="40" t="n"/>
      <c r="G254" s="40" t="n"/>
      <c r="H254" s="40" t="n"/>
      <c r="I254" s="40" t="n"/>
      <c r="J254" s="47" t="n"/>
      <c r="K254" s="47" t="n"/>
      <c r="L254" s="49">
        <f>IF(C254="","",IF(K254&lt;&gt;"","مغلق",IF(AND(J254&lt;&gt;"",TODAY()&gt;J254),"مفتوح – متأخر","مفتوح")))</f>
        <v/>
      </c>
      <c r="M254" s="48">
        <f>IF(B254="","",IF(K254&lt;&gt;"",K254,TODAY())-B254)</f>
        <v/>
      </c>
    </row>
    <row r="255">
      <c r="A255" s="39">
        <f>IF(C255="","","NCR-"&amp;TEXT(ROW()-4,"0000"))</f>
        <v/>
      </c>
      <c r="B255" s="47" t="n"/>
      <c r="C255" s="50" t="n"/>
      <c r="D255" s="49">
        <f>IF(C255="","",IFERROR(INDEX('المشروعات'!$B$5:$B$304,MATCH(C255,'المشروعات'!$A$5:$A$304,0)),""))</f>
        <v/>
      </c>
      <c r="E255" s="40" t="n"/>
      <c r="F255" s="40" t="n"/>
      <c r="G255" s="40" t="n"/>
      <c r="H255" s="40" t="n"/>
      <c r="I255" s="40" t="n"/>
      <c r="J255" s="47" t="n"/>
      <c r="K255" s="47" t="n"/>
      <c r="L255" s="49">
        <f>IF(C255="","",IF(K255&lt;&gt;"","مغلق",IF(AND(J255&lt;&gt;"",TODAY()&gt;J255),"مفتوح – متأخر","مفتوح")))</f>
        <v/>
      </c>
      <c r="M255" s="48">
        <f>IF(B255="","",IF(K255&lt;&gt;"",K255,TODAY())-B255)</f>
        <v/>
      </c>
    </row>
    <row r="256">
      <c r="A256" s="39">
        <f>IF(C256="","","NCR-"&amp;TEXT(ROW()-4,"0000"))</f>
        <v/>
      </c>
      <c r="B256" s="47" t="n"/>
      <c r="C256" s="50" t="n"/>
      <c r="D256" s="49">
        <f>IF(C256="","",IFERROR(INDEX('المشروعات'!$B$5:$B$304,MATCH(C256,'المشروعات'!$A$5:$A$304,0)),""))</f>
        <v/>
      </c>
      <c r="E256" s="40" t="n"/>
      <c r="F256" s="40" t="n"/>
      <c r="G256" s="40" t="n"/>
      <c r="H256" s="40" t="n"/>
      <c r="I256" s="40" t="n"/>
      <c r="J256" s="47" t="n"/>
      <c r="K256" s="47" t="n"/>
      <c r="L256" s="49">
        <f>IF(C256="","",IF(K256&lt;&gt;"","مغلق",IF(AND(J256&lt;&gt;"",TODAY()&gt;J256),"مفتوح – متأخر","مفتوح")))</f>
        <v/>
      </c>
      <c r="M256" s="48">
        <f>IF(B256="","",IF(K256&lt;&gt;"",K256,TODAY())-B256)</f>
        <v/>
      </c>
    </row>
    <row r="257">
      <c r="A257" s="39">
        <f>IF(C257="","","NCR-"&amp;TEXT(ROW()-4,"0000"))</f>
        <v/>
      </c>
      <c r="B257" s="47" t="n"/>
      <c r="C257" s="50" t="n"/>
      <c r="D257" s="49">
        <f>IF(C257="","",IFERROR(INDEX('المشروعات'!$B$5:$B$304,MATCH(C257,'المشروعات'!$A$5:$A$304,0)),""))</f>
        <v/>
      </c>
      <c r="E257" s="40" t="n"/>
      <c r="F257" s="40" t="n"/>
      <c r="G257" s="40" t="n"/>
      <c r="H257" s="40" t="n"/>
      <c r="I257" s="40" t="n"/>
      <c r="J257" s="47" t="n"/>
      <c r="K257" s="47" t="n"/>
      <c r="L257" s="49">
        <f>IF(C257="","",IF(K257&lt;&gt;"","مغلق",IF(AND(J257&lt;&gt;"",TODAY()&gt;J257),"مفتوح – متأخر","مفتوح")))</f>
        <v/>
      </c>
      <c r="M257" s="48">
        <f>IF(B257="","",IF(K257&lt;&gt;"",K257,TODAY())-B257)</f>
        <v/>
      </c>
    </row>
    <row r="258">
      <c r="A258" s="39">
        <f>IF(C258="","","NCR-"&amp;TEXT(ROW()-4,"0000"))</f>
        <v/>
      </c>
      <c r="B258" s="47" t="n"/>
      <c r="C258" s="50" t="n"/>
      <c r="D258" s="49">
        <f>IF(C258="","",IFERROR(INDEX('المشروعات'!$B$5:$B$304,MATCH(C258,'المشروعات'!$A$5:$A$304,0)),""))</f>
        <v/>
      </c>
      <c r="E258" s="40" t="n"/>
      <c r="F258" s="40" t="n"/>
      <c r="G258" s="40" t="n"/>
      <c r="H258" s="40" t="n"/>
      <c r="I258" s="40" t="n"/>
      <c r="J258" s="47" t="n"/>
      <c r="K258" s="47" t="n"/>
      <c r="L258" s="49">
        <f>IF(C258="","",IF(K258&lt;&gt;"","مغلق",IF(AND(J258&lt;&gt;"",TODAY()&gt;J258),"مفتوح – متأخر","مفتوح")))</f>
        <v/>
      </c>
      <c r="M258" s="48">
        <f>IF(B258="","",IF(K258&lt;&gt;"",K258,TODAY())-B258)</f>
        <v/>
      </c>
    </row>
    <row r="259">
      <c r="A259" s="39">
        <f>IF(C259="","","NCR-"&amp;TEXT(ROW()-4,"0000"))</f>
        <v/>
      </c>
      <c r="B259" s="47" t="n"/>
      <c r="C259" s="50" t="n"/>
      <c r="D259" s="49">
        <f>IF(C259="","",IFERROR(INDEX('المشروعات'!$B$5:$B$304,MATCH(C259,'المشروعات'!$A$5:$A$304,0)),""))</f>
        <v/>
      </c>
      <c r="E259" s="40" t="n"/>
      <c r="F259" s="40" t="n"/>
      <c r="G259" s="40" t="n"/>
      <c r="H259" s="40" t="n"/>
      <c r="I259" s="40" t="n"/>
      <c r="J259" s="47" t="n"/>
      <c r="K259" s="47" t="n"/>
      <c r="L259" s="49">
        <f>IF(C259="","",IF(K259&lt;&gt;"","مغلق",IF(AND(J259&lt;&gt;"",TODAY()&gt;J259),"مفتوح – متأخر","مفتوح")))</f>
        <v/>
      </c>
      <c r="M259" s="48">
        <f>IF(B259="","",IF(K259&lt;&gt;"",K259,TODAY())-B259)</f>
        <v/>
      </c>
    </row>
    <row r="260">
      <c r="A260" s="39">
        <f>IF(C260="","","NCR-"&amp;TEXT(ROW()-4,"0000"))</f>
        <v/>
      </c>
      <c r="B260" s="47" t="n"/>
      <c r="C260" s="50" t="n"/>
      <c r="D260" s="49">
        <f>IF(C260="","",IFERROR(INDEX('المشروعات'!$B$5:$B$304,MATCH(C260,'المشروعات'!$A$5:$A$304,0)),""))</f>
        <v/>
      </c>
      <c r="E260" s="40" t="n"/>
      <c r="F260" s="40" t="n"/>
      <c r="G260" s="40" t="n"/>
      <c r="H260" s="40" t="n"/>
      <c r="I260" s="40" t="n"/>
      <c r="J260" s="47" t="n"/>
      <c r="K260" s="47" t="n"/>
      <c r="L260" s="49">
        <f>IF(C260="","",IF(K260&lt;&gt;"","مغلق",IF(AND(J260&lt;&gt;"",TODAY()&gt;J260),"مفتوح – متأخر","مفتوح")))</f>
        <v/>
      </c>
      <c r="M260" s="48">
        <f>IF(B260="","",IF(K260&lt;&gt;"",K260,TODAY())-B260)</f>
        <v/>
      </c>
    </row>
    <row r="261">
      <c r="A261" s="39">
        <f>IF(C261="","","NCR-"&amp;TEXT(ROW()-4,"0000"))</f>
        <v/>
      </c>
      <c r="B261" s="47" t="n"/>
      <c r="C261" s="50" t="n"/>
      <c r="D261" s="49">
        <f>IF(C261="","",IFERROR(INDEX('المشروعات'!$B$5:$B$304,MATCH(C261,'المشروعات'!$A$5:$A$304,0)),""))</f>
        <v/>
      </c>
      <c r="E261" s="40" t="n"/>
      <c r="F261" s="40" t="n"/>
      <c r="G261" s="40" t="n"/>
      <c r="H261" s="40" t="n"/>
      <c r="I261" s="40" t="n"/>
      <c r="J261" s="47" t="n"/>
      <c r="K261" s="47" t="n"/>
      <c r="L261" s="49">
        <f>IF(C261="","",IF(K261&lt;&gt;"","مغلق",IF(AND(J261&lt;&gt;"",TODAY()&gt;J261),"مفتوح – متأخر","مفتوح")))</f>
        <v/>
      </c>
      <c r="M261" s="48">
        <f>IF(B261="","",IF(K261&lt;&gt;"",K261,TODAY())-B261)</f>
        <v/>
      </c>
    </row>
    <row r="262">
      <c r="A262" s="39">
        <f>IF(C262="","","NCR-"&amp;TEXT(ROW()-4,"0000"))</f>
        <v/>
      </c>
      <c r="B262" s="47" t="n"/>
      <c r="C262" s="50" t="n"/>
      <c r="D262" s="49">
        <f>IF(C262="","",IFERROR(INDEX('المشروعات'!$B$5:$B$304,MATCH(C262,'المشروعات'!$A$5:$A$304,0)),""))</f>
        <v/>
      </c>
      <c r="E262" s="40" t="n"/>
      <c r="F262" s="40" t="n"/>
      <c r="G262" s="40" t="n"/>
      <c r="H262" s="40" t="n"/>
      <c r="I262" s="40" t="n"/>
      <c r="J262" s="47" t="n"/>
      <c r="K262" s="47" t="n"/>
      <c r="L262" s="49">
        <f>IF(C262="","",IF(K262&lt;&gt;"","مغلق",IF(AND(J262&lt;&gt;"",TODAY()&gt;J262),"مفتوح – متأخر","مفتوح")))</f>
        <v/>
      </c>
      <c r="M262" s="48">
        <f>IF(B262="","",IF(K262&lt;&gt;"",K262,TODAY())-B262)</f>
        <v/>
      </c>
    </row>
    <row r="263">
      <c r="A263" s="39">
        <f>IF(C263="","","NCR-"&amp;TEXT(ROW()-4,"0000"))</f>
        <v/>
      </c>
      <c r="B263" s="47" t="n"/>
      <c r="C263" s="50" t="n"/>
      <c r="D263" s="49">
        <f>IF(C263="","",IFERROR(INDEX('المشروعات'!$B$5:$B$304,MATCH(C263,'المشروعات'!$A$5:$A$304,0)),""))</f>
        <v/>
      </c>
      <c r="E263" s="40" t="n"/>
      <c r="F263" s="40" t="n"/>
      <c r="G263" s="40" t="n"/>
      <c r="H263" s="40" t="n"/>
      <c r="I263" s="40" t="n"/>
      <c r="J263" s="47" t="n"/>
      <c r="K263" s="47" t="n"/>
      <c r="L263" s="49">
        <f>IF(C263="","",IF(K263&lt;&gt;"","مغلق",IF(AND(J263&lt;&gt;"",TODAY()&gt;J263),"مفتوح – متأخر","مفتوح")))</f>
        <v/>
      </c>
      <c r="M263" s="48">
        <f>IF(B263="","",IF(K263&lt;&gt;"",K263,TODAY())-B263)</f>
        <v/>
      </c>
    </row>
    <row r="264">
      <c r="A264" s="39">
        <f>IF(C264="","","NCR-"&amp;TEXT(ROW()-4,"0000"))</f>
        <v/>
      </c>
      <c r="B264" s="47" t="n"/>
      <c r="C264" s="50" t="n"/>
      <c r="D264" s="49">
        <f>IF(C264="","",IFERROR(INDEX('المشروعات'!$B$5:$B$304,MATCH(C264,'المشروعات'!$A$5:$A$304,0)),""))</f>
        <v/>
      </c>
      <c r="E264" s="40" t="n"/>
      <c r="F264" s="40" t="n"/>
      <c r="G264" s="40" t="n"/>
      <c r="H264" s="40" t="n"/>
      <c r="I264" s="40" t="n"/>
      <c r="J264" s="47" t="n"/>
      <c r="K264" s="47" t="n"/>
      <c r="L264" s="49">
        <f>IF(C264="","",IF(K264&lt;&gt;"","مغلق",IF(AND(J264&lt;&gt;"",TODAY()&gt;J264),"مفتوح – متأخر","مفتوح")))</f>
        <v/>
      </c>
      <c r="M264" s="48">
        <f>IF(B264="","",IF(K264&lt;&gt;"",K264,TODAY())-B264)</f>
        <v/>
      </c>
    </row>
    <row r="265">
      <c r="A265" s="39">
        <f>IF(C265="","","NCR-"&amp;TEXT(ROW()-4,"0000"))</f>
        <v/>
      </c>
      <c r="B265" s="47" t="n"/>
      <c r="C265" s="50" t="n"/>
      <c r="D265" s="49">
        <f>IF(C265="","",IFERROR(INDEX('المشروعات'!$B$5:$B$304,MATCH(C265,'المشروعات'!$A$5:$A$304,0)),""))</f>
        <v/>
      </c>
      <c r="E265" s="40" t="n"/>
      <c r="F265" s="40" t="n"/>
      <c r="G265" s="40" t="n"/>
      <c r="H265" s="40" t="n"/>
      <c r="I265" s="40" t="n"/>
      <c r="J265" s="47" t="n"/>
      <c r="K265" s="47" t="n"/>
      <c r="L265" s="49">
        <f>IF(C265="","",IF(K265&lt;&gt;"","مغلق",IF(AND(J265&lt;&gt;"",TODAY()&gt;J265),"مفتوح – متأخر","مفتوح")))</f>
        <v/>
      </c>
      <c r="M265" s="48">
        <f>IF(B265="","",IF(K265&lt;&gt;"",K265,TODAY())-B265)</f>
        <v/>
      </c>
    </row>
    <row r="266">
      <c r="A266" s="39">
        <f>IF(C266="","","NCR-"&amp;TEXT(ROW()-4,"0000"))</f>
        <v/>
      </c>
      <c r="B266" s="47" t="n"/>
      <c r="C266" s="50" t="n"/>
      <c r="D266" s="49">
        <f>IF(C266="","",IFERROR(INDEX('المشروعات'!$B$5:$B$304,MATCH(C266,'المشروعات'!$A$5:$A$304,0)),""))</f>
        <v/>
      </c>
      <c r="E266" s="40" t="n"/>
      <c r="F266" s="40" t="n"/>
      <c r="G266" s="40" t="n"/>
      <c r="H266" s="40" t="n"/>
      <c r="I266" s="40" t="n"/>
      <c r="J266" s="47" t="n"/>
      <c r="K266" s="47" t="n"/>
      <c r="L266" s="49">
        <f>IF(C266="","",IF(K266&lt;&gt;"","مغلق",IF(AND(J266&lt;&gt;"",TODAY()&gt;J266),"مفتوح – متأخر","مفتوح")))</f>
        <v/>
      </c>
      <c r="M266" s="48">
        <f>IF(B266="","",IF(K266&lt;&gt;"",K266,TODAY())-B266)</f>
        <v/>
      </c>
    </row>
    <row r="267">
      <c r="A267" s="39">
        <f>IF(C267="","","NCR-"&amp;TEXT(ROW()-4,"0000"))</f>
        <v/>
      </c>
      <c r="B267" s="47" t="n"/>
      <c r="C267" s="50" t="n"/>
      <c r="D267" s="49">
        <f>IF(C267="","",IFERROR(INDEX('المشروعات'!$B$5:$B$304,MATCH(C267,'المشروعات'!$A$5:$A$304,0)),""))</f>
        <v/>
      </c>
      <c r="E267" s="40" t="n"/>
      <c r="F267" s="40" t="n"/>
      <c r="G267" s="40" t="n"/>
      <c r="H267" s="40" t="n"/>
      <c r="I267" s="40" t="n"/>
      <c r="J267" s="47" t="n"/>
      <c r="K267" s="47" t="n"/>
      <c r="L267" s="49">
        <f>IF(C267="","",IF(K267&lt;&gt;"","مغلق",IF(AND(J267&lt;&gt;"",TODAY()&gt;J267),"مفتوح – متأخر","مفتوح")))</f>
        <v/>
      </c>
      <c r="M267" s="48">
        <f>IF(B267="","",IF(K267&lt;&gt;"",K267,TODAY())-B267)</f>
        <v/>
      </c>
    </row>
    <row r="268">
      <c r="A268" s="39">
        <f>IF(C268="","","NCR-"&amp;TEXT(ROW()-4,"0000"))</f>
        <v/>
      </c>
      <c r="B268" s="47" t="n"/>
      <c r="C268" s="50" t="n"/>
      <c r="D268" s="49">
        <f>IF(C268="","",IFERROR(INDEX('المشروعات'!$B$5:$B$304,MATCH(C268,'المشروعات'!$A$5:$A$304,0)),""))</f>
        <v/>
      </c>
      <c r="E268" s="40" t="n"/>
      <c r="F268" s="40" t="n"/>
      <c r="G268" s="40" t="n"/>
      <c r="H268" s="40" t="n"/>
      <c r="I268" s="40" t="n"/>
      <c r="J268" s="47" t="n"/>
      <c r="K268" s="47" t="n"/>
      <c r="L268" s="49">
        <f>IF(C268="","",IF(K268&lt;&gt;"","مغلق",IF(AND(J268&lt;&gt;"",TODAY()&gt;J268),"مفتوح – متأخر","مفتوح")))</f>
        <v/>
      </c>
      <c r="M268" s="48">
        <f>IF(B268="","",IF(K268&lt;&gt;"",K268,TODAY())-B268)</f>
        <v/>
      </c>
    </row>
    <row r="269">
      <c r="A269" s="39">
        <f>IF(C269="","","NCR-"&amp;TEXT(ROW()-4,"0000"))</f>
        <v/>
      </c>
      <c r="B269" s="47" t="n"/>
      <c r="C269" s="50" t="n"/>
      <c r="D269" s="49">
        <f>IF(C269="","",IFERROR(INDEX('المشروعات'!$B$5:$B$304,MATCH(C269,'المشروعات'!$A$5:$A$304,0)),""))</f>
        <v/>
      </c>
      <c r="E269" s="40" t="n"/>
      <c r="F269" s="40" t="n"/>
      <c r="G269" s="40" t="n"/>
      <c r="H269" s="40" t="n"/>
      <c r="I269" s="40" t="n"/>
      <c r="J269" s="47" t="n"/>
      <c r="K269" s="47" t="n"/>
      <c r="L269" s="49">
        <f>IF(C269="","",IF(K269&lt;&gt;"","مغلق",IF(AND(J269&lt;&gt;"",TODAY()&gt;J269),"مفتوح – متأخر","مفتوح")))</f>
        <v/>
      </c>
      <c r="M269" s="48">
        <f>IF(B269="","",IF(K269&lt;&gt;"",K269,TODAY())-B269)</f>
        <v/>
      </c>
    </row>
    <row r="270">
      <c r="A270" s="39">
        <f>IF(C270="","","NCR-"&amp;TEXT(ROW()-4,"0000"))</f>
        <v/>
      </c>
      <c r="B270" s="47" t="n"/>
      <c r="C270" s="50" t="n"/>
      <c r="D270" s="49">
        <f>IF(C270="","",IFERROR(INDEX('المشروعات'!$B$5:$B$304,MATCH(C270,'المشروعات'!$A$5:$A$304,0)),""))</f>
        <v/>
      </c>
      <c r="E270" s="40" t="n"/>
      <c r="F270" s="40" t="n"/>
      <c r="G270" s="40" t="n"/>
      <c r="H270" s="40" t="n"/>
      <c r="I270" s="40" t="n"/>
      <c r="J270" s="47" t="n"/>
      <c r="K270" s="47" t="n"/>
      <c r="L270" s="49">
        <f>IF(C270="","",IF(K270&lt;&gt;"","مغلق",IF(AND(J270&lt;&gt;"",TODAY()&gt;J270),"مفتوح – متأخر","مفتوح")))</f>
        <v/>
      </c>
      <c r="M270" s="48">
        <f>IF(B270="","",IF(K270&lt;&gt;"",K270,TODAY())-B270)</f>
        <v/>
      </c>
    </row>
    <row r="271">
      <c r="A271" s="39">
        <f>IF(C271="","","NCR-"&amp;TEXT(ROW()-4,"0000"))</f>
        <v/>
      </c>
      <c r="B271" s="47" t="n"/>
      <c r="C271" s="50" t="n"/>
      <c r="D271" s="49">
        <f>IF(C271="","",IFERROR(INDEX('المشروعات'!$B$5:$B$304,MATCH(C271,'المشروعات'!$A$5:$A$304,0)),""))</f>
        <v/>
      </c>
      <c r="E271" s="40" t="n"/>
      <c r="F271" s="40" t="n"/>
      <c r="G271" s="40" t="n"/>
      <c r="H271" s="40" t="n"/>
      <c r="I271" s="40" t="n"/>
      <c r="J271" s="47" t="n"/>
      <c r="K271" s="47" t="n"/>
      <c r="L271" s="49">
        <f>IF(C271="","",IF(K271&lt;&gt;"","مغلق",IF(AND(J271&lt;&gt;"",TODAY()&gt;J271),"مفتوح – متأخر","مفتوح")))</f>
        <v/>
      </c>
      <c r="M271" s="48">
        <f>IF(B271="","",IF(K271&lt;&gt;"",K271,TODAY())-B271)</f>
        <v/>
      </c>
    </row>
    <row r="272">
      <c r="A272" s="39">
        <f>IF(C272="","","NCR-"&amp;TEXT(ROW()-4,"0000"))</f>
        <v/>
      </c>
      <c r="B272" s="47" t="n"/>
      <c r="C272" s="50" t="n"/>
      <c r="D272" s="49">
        <f>IF(C272="","",IFERROR(INDEX('المشروعات'!$B$5:$B$304,MATCH(C272,'المشروعات'!$A$5:$A$304,0)),""))</f>
        <v/>
      </c>
      <c r="E272" s="40" t="n"/>
      <c r="F272" s="40" t="n"/>
      <c r="G272" s="40" t="n"/>
      <c r="H272" s="40" t="n"/>
      <c r="I272" s="40" t="n"/>
      <c r="J272" s="47" t="n"/>
      <c r="K272" s="47" t="n"/>
      <c r="L272" s="49">
        <f>IF(C272="","",IF(K272&lt;&gt;"","مغلق",IF(AND(J272&lt;&gt;"",TODAY()&gt;J272),"مفتوح – متأخر","مفتوح")))</f>
        <v/>
      </c>
      <c r="M272" s="48">
        <f>IF(B272="","",IF(K272&lt;&gt;"",K272,TODAY())-B272)</f>
        <v/>
      </c>
    </row>
    <row r="273">
      <c r="A273" s="39">
        <f>IF(C273="","","NCR-"&amp;TEXT(ROW()-4,"0000"))</f>
        <v/>
      </c>
      <c r="B273" s="47" t="n"/>
      <c r="C273" s="50" t="n"/>
      <c r="D273" s="49">
        <f>IF(C273="","",IFERROR(INDEX('المشروعات'!$B$5:$B$304,MATCH(C273,'المشروعات'!$A$5:$A$304,0)),""))</f>
        <v/>
      </c>
      <c r="E273" s="40" t="n"/>
      <c r="F273" s="40" t="n"/>
      <c r="G273" s="40" t="n"/>
      <c r="H273" s="40" t="n"/>
      <c r="I273" s="40" t="n"/>
      <c r="J273" s="47" t="n"/>
      <c r="K273" s="47" t="n"/>
      <c r="L273" s="49">
        <f>IF(C273="","",IF(K273&lt;&gt;"","مغلق",IF(AND(J273&lt;&gt;"",TODAY()&gt;J273),"مفتوح – متأخر","مفتوح")))</f>
        <v/>
      </c>
      <c r="M273" s="48">
        <f>IF(B273="","",IF(K273&lt;&gt;"",K273,TODAY())-B273)</f>
        <v/>
      </c>
    </row>
    <row r="274">
      <c r="A274" s="39">
        <f>IF(C274="","","NCR-"&amp;TEXT(ROW()-4,"0000"))</f>
        <v/>
      </c>
      <c r="B274" s="47" t="n"/>
      <c r="C274" s="50" t="n"/>
      <c r="D274" s="49">
        <f>IF(C274="","",IFERROR(INDEX('المشروعات'!$B$5:$B$304,MATCH(C274,'المشروعات'!$A$5:$A$304,0)),""))</f>
        <v/>
      </c>
      <c r="E274" s="40" t="n"/>
      <c r="F274" s="40" t="n"/>
      <c r="G274" s="40" t="n"/>
      <c r="H274" s="40" t="n"/>
      <c r="I274" s="40" t="n"/>
      <c r="J274" s="47" t="n"/>
      <c r="K274" s="47" t="n"/>
      <c r="L274" s="49">
        <f>IF(C274="","",IF(K274&lt;&gt;"","مغلق",IF(AND(J274&lt;&gt;"",TODAY()&gt;J274),"مفتوح – متأخر","مفتوح")))</f>
        <v/>
      </c>
      <c r="M274" s="48">
        <f>IF(B274="","",IF(K274&lt;&gt;"",K274,TODAY())-B274)</f>
        <v/>
      </c>
    </row>
    <row r="275">
      <c r="A275" s="39">
        <f>IF(C275="","","NCR-"&amp;TEXT(ROW()-4,"0000"))</f>
        <v/>
      </c>
      <c r="B275" s="47" t="n"/>
      <c r="C275" s="50" t="n"/>
      <c r="D275" s="49">
        <f>IF(C275="","",IFERROR(INDEX('المشروعات'!$B$5:$B$304,MATCH(C275,'المشروعات'!$A$5:$A$304,0)),""))</f>
        <v/>
      </c>
      <c r="E275" s="40" t="n"/>
      <c r="F275" s="40" t="n"/>
      <c r="G275" s="40" t="n"/>
      <c r="H275" s="40" t="n"/>
      <c r="I275" s="40" t="n"/>
      <c r="J275" s="47" t="n"/>
      <c r="K275" s="47" t="n"/>
      <c r="L275" s="49">
        <f>IF(C275="","",IF(K275&lt;&gt;"","مغلق",IF(AND(J275&lt;&gt;"",TODAY()&gt;J275),"مفتوح – متأخر","مفتوح")))</f>
        <v/>
      </c>
      <c r="M275" s="48">
        <f>IF(B275="","",IF(K275&lt;&gt;"",K275,TODAY())-B275)</f>
        <v/>
      </c>
    </row>
    <row r="276">
      <c r="A276" s="39">
        <f>IF(C276="","","NCR-"&amp;TEXT(ROW()-4,"0000"))</f>
        <v/>
      </c>
      <c r="B276" s="47" t="n"/>
      <c r="C276" s="50" t="n"/>
      <c r="D276" s="49">
        <f>IF(C276="","",IFERROR(INDEX('المشروعات'!$B$5:$B$304,MATCH(C276,'المشروعات'!$A$5:$A$304,0)),""))</f>
        <v/>
      </c>
      <c r="E276" s="40" t="n"/>
      <c r="F276" s="40" t="n"/>
      <c r="G276" s="40" t="n"/>
      <c r="H276" s="40" t="n"/>
      <c r="I276" s="40" t="n"/>
      <c r="J276" s="47" t="n"/>
      <c r="K276" s="47" t="n"/>
      <c r="L276" s="49">
        <f>IF(C276="","",IF(K276&lt;&gt;"","مغلق",IF(AND(J276&lt;&gt;"",TODAY()&gt;J276),"مفتوح – متأخر","مفتوح")))</f>
        <v/>
      </c>
      <c r="M276" s="48">
        <f>IF(B276="","",IF(K276&lt;&gt;"",K276,TODAY())-B276)</f>
        <v/>
      </c>
    </row>
    <row r="277">
      <c r="A277" s="39">
        <f>IF(C277="","","NCR-"&amp;TEXT(ROW()-4,"0000"))</f>
        <v/>
      </c>
      <c r="B277" s="47" t="n"/>
      <c r="C277" s="50" t="n"/>
      <c r="D277" s="49">
        <f>IF(C277="","",IFERROR(INDEX('المشروعات'!$B$5:$B$304,MATCH(C277,'المشروعات'!$A$5:$A$304,0)),""))</f>
        <v/>
      </c>
      <c r="E277" s="40" t="n"/>
      <c r="F277" s="40" t="n"/>
      <c r="G277" s="40" t="n"/>
      <c r="H277" s="40" t="n"/>
      <c r="I277" s="40" t="n"/>
      <c r="J277" s="47" t="n"/>
      <c r="K277" s="47" t="n"/>
      <c r="L277" s="49">
        <f>IF(C277="","",IF(K277&lt;&gt;"","مغلق",IF(AND(J277&lt;&gt;"",TODAY()&gt;J277),"مفتوح – متأخر","مفتوح")))</f>
        <v/>
      </c>
      <c r="M277" s="48">
        <f>IF(B277="","",IF(K277&lt;&gt;"",K277,TODAY())-B277)</f>
        <v/>
      </c>
    </row>
    <row r="278">
      <c r="A278" s="39">
        <f>IF(C278="","","NCR-"&amp;TEXT(ROW()-4,"0000"))</f>
        <v/>
      </c>
      <c r="B278" s="47" t="n"/>
      <c r="C278" s="50" t="n"/>
      <c r="D278" s="49">
        <f>IF(C278="","",IFERROR(INDEX('المشروعات'!$B$5:$B$304,MATCH(C278,'المشروعات'!$A$5:$A$304,0)),""))</f>
        <v/>
      </c>
      <c r="E278" s="40" t="n"/>
      <c r="F278" s="40" t="n"/>
      <c r="G278" s="40" t="n"/>
      <c r="H278" s="40" t="n"/>
      <c r="I278" s="40" t="n"/>
      <c r="J278" s="47" t="n"/>
      <c r="K278" s="47" t="n"/>
      <c r="L278" s="49">
        <f>IF(C278="","",IF(K278&lt;&gt;"","مغلق",IF(AND(J278&lt;&gt;"",TODAY()&gt;J278),"مفتوح – متأخر","مفتوح")))</f>
        <v/>
      </c>
      <c r="M278" s="48">
        <f>IF(B278="","",IF(K278&lt;&gt;"",K278,TODAY())-B278)</f>
        <v/>
      </c>
    </row>
    <row r="279">
      <c r="A279" s="39">
        <f>IF(C279="","","NCR-"&amp;TEXT(ROW()-4,"0000"))</f>
        <v/>
      </c>
      <c r="B279" s="47" t="n"/>
      <c r="C279" s="50" t="n"/>
      <c r="D279" s="49">
        <f>IF(C279="","",IFERROR(INDEX('المشروعات'!$B$5:$B$304,MATCH(C279,'المشروعات'!$A$5:$A$304,0)),""))</f>
        <v/>
      </c>
      <c r="E279" s="40" t="n"/>
      <c r="F279" s="40" t="n"/>
      <c r="G279" s="40" t="n"/>
      <c r="H279" s="40" t="n"/>
      <c r="I279" s="40" t="n"/>
      <c r="J279" s="47" t="n"/>
      <c r="K279" s="47" t="n"/>
      <c r="L279" s="49">
        <f>IF(C279="","",IF(K279&lt;&gt;"","مغلق",IF(AND(J279&lt;&gt;"",TODAY()&gt;J279),"مفتوح – متأخر","مفتوح")))</f>
        <v/>
      </c>
      <c r="M279" s="48">
        <f>IF(B279="","",IF(K279&lt;&gt;"",K279,TODAY())-B279)</f>
        <v/>
      </c>
    </row>
    <row r="280">
      <c r="A280" s="39">
        <f>IF(C280="","","NCR-"&amp;TEXT(ROW()-4,"0000"))</f>
        <v/>
      </c>
      <c r="B280" s="47" t="n"/>
      <c r="C280" s="50" t="n"/>
      <c r="D280" s="49">
        <f>IF(C280="","",IFERROR(INDEX('المشروعات'!$B$5:$B$304,MATCH(C280,'المشروعات'!$A$5:$A$304,0)),""))</f>
        <v/>
      </c>
      <c r="E280" s="40" t="n"/>
      <c r="F280" s="40" t="n"/>
      <c r="G280" s="40" t="n"/>
      <c r="H280" s="40" t="n"/>
      <c r="I280" s="40" t="n"/>
      <c r="J280" s="47" t="n"/>
      <c r="K280" s="47" t="n"/>
      <c r="L280" s="49">
        <f>IF(C280="","",IF(K280&lt;&gt;"","مغلق",IF(AND(J280&lt;&gt;"",TODAY()&gt;J280),"مفتوح – متأخر","مفتوح")))</f>
        <v/>
      </c>
      <c r="M280" s="48">
        <f>IF(B280="","",IF(K280&lt;&gt;"",K280,TODAY())-B280)</f>
        <v/>
      </c>
    </row>
    <row r="281">
      <c r="A281" s="39">
        <f>IF(C281="","","NCR-"&amp;TEXT(ROW()-4,"0000"))</f>
        <v/>
      </c>
      <c r="B281" s="47" t="n"/>
      <c r="C281" s="50" t="n"/>
      <c r="D281" s="49">
        <f>IF(C281="","",IFERROR(INDEX('المشروعات'!$B$5:$B$304,MATCH(C281,'المشروعات'!$A$5:$A$304,0)),""))</f>
        <v/>
      </c>
      <c r="E281" s="40" t="n"/>
      <c r="F281" s="40" t="n"/>
      <c r="G281" s="40" t="n"/>
      <c r="H281" s="40" t="n"/>
      <c r="I281" s="40" t="n"/>
      <c r="J281" s="47" t="n"/>
      <c r="K281" s="47" t="n"/>
      <c r="L281" s="49">
        <f>IF(C281="","",IF(K281&lt;&gt;"","مغلق",IF(AND(J281&lt;&gt;"",TODAY()&gt;J281),"مفتوح – متأخر","مفتوح")))</f>
        <v/>
      </c>
      <c r="M281" s="48">
        <f>IF(B281="","",IF(K281&lt;&gt;"",K281,TODAY())-B281)</f>
        <v/>
      </c>
    </row>
    <row r="282">
      <c r="A282" s="39">
        <f>IF(C282="","","NCR-"&amp;TEXT(ROW()-4,"0000"))</f>
        <v/>
      </c>
      <c r="B282" s="47" t="n"/>
      <c r="C282" s="50" t="n"/>
      <c r="D282" s="49">
        <f>IF(C282="","",IFERROR(INDEX('المشروعات'!$B$5:$B$304,MATCH(C282,'المشروعات'!$A$5:$A$304,0)),""))</f>
        <v/>
      </c>
      <c r="E282" s="40" t="n"/>
      <c r="F282" s="40" t="n"/>
      <c r="G282" s="40" t="n"/>
      <c r="H282" s="40" t="n"/>
      <c r="I282" s="40" t="n"/>
      <c r="J282" s="47" t="n"/>
      <c r="K282" s="47" t="n"/>
      <c r="L282" s="49">
        <f>IF(C282="","",IF(K282&lt;&gt;"","مغلق",IF(AND(J282&lt;&gt;"",TODAY()&gt;J282),"مفتوح – متأخر","مفتوح")))</f>
        <v/>
      </c>
      <c r="M282" s="48">
        <f>IF(B282="","",IF(K282&lt;&gt;"",K282,TODAY())-B282)</f>
        <v/>
      </c>
    </row>
    <row r="283">
      <c r="A283" s="39">
        <f>IF(C283="","","NCR-"&amp;TEXT(ROW()-4,"0000"))</f>
        <v/>
      </c>
      <c r="B283" s="47" t="n"/>
      <c r="C283" s="50" t="n"/>
      <c r="D283" s="49">
        <f>IF(C283="","",IFERROR(INDEX('المشروعات'!$B$5:$B$304,MATCH(C283,'المشروعات'!$A$5:$A$304,0)),""))</f>
        <v/>
      </c>
      <c r="E283" s="40" t="n"/>
      <c r="F283" s="40" t="n"/>
      <c r="G283" s="40" t="n"/>
      <c r="H283" s="40" t="n"/>
      <c r="I283" s="40" t="n"/>
      <c r="J283" s="47" t="n"/>
      <c r="K283" s="47" t="n"/>
      <c r="L283" s="49">
        <f>IF(C283="","",IF(K283&lt;&gt;"","مغلق",IF(AND(J283&lt;&gt;"",TODAY()&gt;J283),"مفتوح – متأخر","مفتوح")))</f>
        <v/>
      </c>
      <c r="M283" s="48">
        <f>IF(B283="","",IF(K283&lt;&gt;"",K283,TODAY())-B283)</f>
        <v/>
      </c>
    </row>
    <row r="284">
      <c r="A284" s="39">
        <f>IF(C284="","","NCR-"&amp;TEXT(ROW()-4,"0000"))</f>
        <v/>
      </c>
      <c r="B284" s="47" t="n"/>
      <c r="C284" s="50" t="n"/>
      <c r="D284" s="49">
        <f>IF(C284="","",IFERROR(INDEX('المشروعات'!$B$5:$B$304,MATCH(C284,'المشروعات'!$A$5:$A$304,0)),""))</f>
        <v/>
      </c>
      <c r="E284" s="40" t="n"/>
      <c r="F284" s="40" t="n"/>
      <c r="G284" s="40" t="n"/>
      <c r="H284" s="40" t="n"/>
      <c r="I284" s="40" t="n"/>
      <c r="J284" s="47" t="n"/>
      <c r="K284" s="47" t="n"/>
      <c r="L284" s="49">
        <f>IF(C284="","",IF(K284&lt;&gt;"","مغلق",IF(AND(J284&lt;&gt;"",TODAY()&gt;J284),"مفتوح – متأخر","مفتوح")))</f>
        <v/>
      </c>
      <c r="M284" s="48">
        <f>IF(B284="","",IF(K284&lt;&gt;"",K284,TODAY())-B284)</f>
        <v/>
      </c>
    </row>
    <row r="285">
      <c r="A285" s="39">
        <f>IF(C285="","","NCR-"&amp;TEXT(ROW()-4,"0000"))</f>
        <v/>
      </c>
      <c r="B285" s="47" t="n"/>
      <c r="C285" s="50" t="n"/>
      <c r="D285" s="49">
        <f>IF(C285="","",IFERROR(INDEX('المشروعات'!$B$5:$B$304,MATCH(C285,'المشروعات'!$A$5:$A$304,0)),""))</f>
        <v/>
      </c>
      <c r="E285" s="40" t="n"/>
      <c r="F285" s="40" t="n"/>
      <c r="G285" s="40" t="n"/>
      <c r="H285" s="40" t="n"/>
      <c r="I285" s="40" t="n"/>
      <c r="J285" s="47" t="n"/>
      <c r="K285" s="47" t="n"/>
      <c r="L285" s="49">
        <f>IF(C285="","",IF(K285&lt;&gt;"","مغلق",IF(AND(J285&lt;&gt;"",TODAY()&gt;J285),"مفتوح – متأخر","مفتوح")))</f>
        <v/>
      </c>
      <c r="M285" s="48">
        <f>IF(B285="","",IF(K285&lt;&gt;"",K285,TODAY())-B285)</f>
        <v/>
      </c>
    </row>
    <row r="286">
      <c r="A286" s="39">
        <f>IF(C286="","","NCR-"&amp;TEXT(ROW()-4,"0000"))</f>
        <v/>
      </c>
      <c r="B286" s="47" t="n"/>
      <c r="C286" s="50" t="n"/>
      <c r="D286" s="49">
        <f>IF(C286="","",IFERROR(INDEX('المشروعات'!$B$5:$B$304,MATCH(C286,'المشروعات'!$A$5:$A$304,0)),""))</f>
        <v/>
      </c>
      <c r="E286" s="40" t="n"/>
      <c r="F286" s="40" t="n"/>
      <c r="G286" s="40" t="n"/>
      <c r="H286" s="40" t="n"/>
      <c r="I286" s="40" t="n"/>
      <c r="J286" s="47" t="n"/>
      <c r="K286" s="47" t="n"/>
      <c r="L286" s="49">
        <f>IF(C286="","",IF(K286&lt;&gt;"","مغلق",IF(AND(J286&lt;&gt;"",TODAY()&gt;J286),"مفتوح – متأخر","مفتوح")))</f>
        <v/>
      </c>
      <c r="M286" s="48">
        <f>IF(B286="","",IF(K286&lt;&gt;"",K286,TODAY())-B286)</f>
        <v/>
      </c>
    </row>
    <row r="287">
      <c r="A287" s="39">
        <f>IF(C287="","","NCR-"&amp;TEXT(ROW()-4,"0000"))</f>
        <v/>
      </c>
      <c r="B287" s="47" t="n"/>
      <c r="C287" s="50" t="n"/>
      <c r="D287" s="49">
        <f>IF(C287="","",IFERROR(INDEX('المشروعات'!$B$5:$B$304,MATCH(C287,'المشروعات'!$A$5:$A$304,0)),""))</f>
        <v/>
      </c>
      <c r="E287" s="40" t="n"/>
      <c r="F287" s="40" t="n"/>
      <c r="G287" s="40" t="n"/>
      <c r="H287" s="40" t="n"/>
      <c r="I287" s="40" t="n"/>
      <c r="J287" s="47" t="n"/>
      <c r="K287" s="47" t="n"/>
      <c r="L287" s="49">
        <f>IF(C287="","",IF(K287&lt;&gt;"","مغلق",IF(AND(J287&lt;&gt;"",TODAY()&gt;J287),"مفتوح – متأخر","مفتوح")))</f>
        <v/>
      </c>
      <c r="M287" s="48">
        <f>IF(B287="","",IF(K287&lt;&gt;"",K287,TODAY())-B287)</f>
        <v/>
      </c>
    </row>
    <row r="288">
      <c r="A288" s="39">
        <f>IF(C288="","","NCR-"&amp;TEXT(ROW()-4,"0000"))</f>
        <v/>
      </c>
      <c r="B288" s="47" t="n"/>
      <c r="C288" s="50" t="n"/>
      <c r="D288" s="49">
        <f>IF(C288="","",IFERROR(INDEX('المشروعات'!$B$5:$B$304,MATCH(C288,'المشروعات'!$A$5:$A$304,0)),""))</f>
        <v/>
      </c>
      <c r="E288" s="40" t="n"/>
      <c r="F288" s="40" t="n"/>
      <c r="G288" s="40" t="n"/>
      <c r="H288" s="40" t="n"/>
      <c r="I288" s="40" t="n"/>
      <c r="J288" s="47" t="n"/>
      <c r="K288" s="47" t="n"/>
      <c r="L288" s="49">
        <f>IF(C288="","",IF(K288&lt;&gt;"","مغلق",IF(AND(J288&lt;&gt;"",TODAY()&gt;J288),"مفتوح – متأخر","مفتوح")))</f>
        <v/>
      </c>
      <c r="M288" s="48">
        <f>IF(B288="","",IF(K288&lt;&gt;"",K288,TODAY())-B288)</f>
        <v/>
      </c>
    </row>
    <row r="289">
      <c r="A289" s="39">
        <f>IF(C289="","","NCR-"&amp;TEXT(ROW()-4,"0000"))</f>
        <v/>
      </c>
      <c r="B289" s="47" t="n"/>
      <c r="C289" s="50" t="n"/>
      <c r="D289" s="49">
        <f>IF(C289="","",IFERROR(INDEX('المشروعات'!$B$5:$B$304,MATCH(C289,'المشروعات'!$A$5:$A$304,0)),""))</f>
        <v/>
      </c>
      <c r="E289" s="40" t="n"/>
      <c r="F289" s="40" t="n"/>
      <c r="G289" s="40" t="n"/>
      <c r="H289" s="40" t="n"/>
      <c r="I289" s="40" t="n"/>
      <c r="J289" s="47" t="n"/>
      <c r="K289" s="47" t="n"/>
      <c r="L289" s="49">
        <f>IF(C289="","",IF(K289&lt;&gt;"","مغلق",IF(AND(J289&lt;&gt;"",TODAY()&gt;J289),"مفتوح – متأخر","مفتوح")))</f>
        <v/>
      </c>
      <c r="M289" s="48">
        <f>IF(B289="","",IF(K289&lt;&gt;"",K289,TODAY())-B289)</f>
        <v/>
      </c>
    </row>
    <row r="290">
      <c r="A290" s="39">
        <f>IF(C290="","","NCR-"&amp;TEXT(ROW()-4,"0000"))</f>
        <v/>
      </c>
      <c r="B290" s="47" t="n"/>
      <c r="C290" s="50" t="n"/>
      <c r="D290" s="49">
        <f>IF(C290="","",IFERROR(INDEX('المشروعات'!$B$5:$B$304,MATCH(C290,'المشروعات'!$A$5:$A$304,0)),""))</f>
        <v/>
      </c>
      <c r="E290" s="40" t="n"/>
      <c r="F290" s="40" t="n"/>
      <c r="G290" s="40" t="n"/>
      <c r="H290" s="40" t="n"/>
      <c r="I290" s="40" t="n"/>
      <c r="J290" s="47" t="n"/>
      <c r="K290" s="47" t="n"/>
      <c r="L290" s="49">
        <f>IF(C290="","",IF(K290&lt;&gt;"","مغلق",IF(AND(J290&lt;&gt;"",TODAY()&gt;J290),"مفتوح – متأخر","مفتوح")))</f>
        <v/>
      </c>
      <c r="M290" s="48">
        <f>IF(B290="","",IF(K290&lt;&gt;"",K290,TODAY())-B290)</f>
        <v/>
      </c>
    </row>
    <row r="291">
      <c r="A291" s="39">
        <f>IF(C291="","","NCR-"&amp;TEXT(ROW()-4,"0000"))</f>
        <v/>
      </c>
      <c r="B291" s="47" t="n"/>
      <c r="C291" s="50" t="n"/>
      <c r="D291" s="49">
        <f>IF(C291="","",IFERROR(INDEX('المشروعات'!$B$5:$B$304,MATCH(C291,'المشروعات'!$A$5:$A$304,0)),""))</f>
        <v/>
      </c>
      <c r="E291" s="40" t="n"/>
      <c r="F291" s="40" t="n"/>
      <c r="G291" s="40" t="n"/>
      <c r="H291" s="40" t="n"/>
      <c r="I291" s="40" t="n"/>
      <c r="J291" s="47" t="n"/>
      <c r="K291" s="47" t="n"/>
      <c r="L291" s="49">
        <f>IF(C291="","",IF(K291&lt;&gt;"","مغلق",IF(AND(J291&lt;&gt;"",TODAY()&gt;J291),"مفتوح – متأخر","مفتوح")))</f>
        <v/>
      </c>
      <c r="M291" s="48">
        <f>IF(B291="","",IF(K291&lt;&gt;"",K291,TODAY())-B291)</f>
        <v/>
      </c>
    </row>
    <row r="292">
      <c r="A292" s="39">
        <f>IF(C292="","","NCR-"&amp;TEXT(ROW()-4,"0000"))</f>
        <v/>
      </c>
      <c r="B292" s="47" t="n"/>
      <c r="C292" s="50" t="n"/>
      <c r="D292" s="49">
        <f>IF(C292="","",IFERROR(INDEX('المشروعات'!$B$5:$B$304,MATCH(C292,'المشروعات'!$A$5:$A$304,0)),""))</f>
        <v/>
      </c>
      <c r="E292" s="40" t="n"/>
      <c r="F292" s="40" t="n"/>
      <c r="G292" s="40" t="n"/>
      <c r="H292" s="40" t="n"/>
      <c r="I292" s="40" t="n"/>
      <c r="J292" s="47" t="n"/>
      <c r="K292" s="47" t="n"/>
      <c r="L292" s="49">
        <f>IF(C292="","",IF(K292&lt;&gt;"","مغلق",IF(AND(J292&lt;&gt;"",TODAY()&gt;J292),"مفتوح – متأخر","مفتوح")))</f>
        <v/>
      </c>
      <c r="M292" s="48">
        <f>IF(B292="","",IF(K292&lt;&gt;"",K292,TODAY())-B292)</f>
        <v/>
      </c>
    </row>
    <row r="293">
      <c r="A293" s="39">
        <f>IF(C293="","","NCR-"&amp;TEXT(ROW()-4,"0000"))</f>
        <v/>
      </c>
      <c r="B293" s="47" t="n"/>
      <c r="C293" s="50" t="n"/>
      <c r="D293" s="49">
        <f>IF(C293="","",IFERROR(INDEX('المشروعات'!$B$5:$B$304,MATCH(C293,'المشروعات'!$A$5:$A$304,0)),""))</f>
        <v/>
      </c>
      <c r="E293" s="40" t="n"/>
      <c r="F293" s="40" t="n"/>
      <c r="G293" s="40" t="n"/>
      <c r="H293" s="40" t="n"/>
      <c r="I293" s="40" t="n"/>
      <c r="J293" s="47" t="n"/>
      <c r="K293" s="47" t="n"/>
      <c r="L293" s="49">
        <f>IF(C293="","",IF(K293&lt;&gt;"","مغلق",IF(AND(J293&lt;&gt;"",TODAY()&gt;J293),"مفتوح – متأخر","مفتوح")))</f>
        <v/>
      </c>
      <c r="M293" s="48">
        <f>IF(B293="","",IF(K293&lt;&gt;"",K293,TODAY())-B293)</f>
        <v/>
      </c>
    </row>
    <row r="294">
      <c r="A294" s="39">
        <f>IF(C294="","","NCR-"&amp;TEXT(ROW()-4,"0000"))</f>
        <v/>
      </c>
      <c r="B294" s="47" t="n"/>
      <c r="C294" s="50" t="n"/>
      <c r="D294" s="49">
        <f>IF(C294="","",IFERROR(INDEX('المشروعات'!$B$5:$B$304,MATCH(C294,'المشروعات'!$A$5:$A$304,0)),""))</f>
        <v/>
      </c>
      <c r="E294" s="40" t="n"/>
      <c r="F294" s="40" t="n"/>
      <c r="G294" s="40" t="n"/>
      <c r="H294" s="40" t="n"/>
      <c r="I294" s="40" t="n"/>
      <c r="J294" s="47" t="n"/>
      <c r="K294" s="47" t="n"/>
      <c r="L294" s="49">
        <f>IF(C294="","",IF(K294&lt;&gt;"","مغلق",IF(AND(J294&lt;&gt;"",TODAY()&gt;J294),"مفتوح – متأخر","مفتوح")))</f>
        <v/>
      </c>
      <c r="M294" s="48">
        <f>IF(B294="","",IF(K294&lt;&gt;"",K294,TODAY())-B294)</f>
        <v/>
      </c>
    </row>
    <row r="295">
      <c r="A295" s="39">
        <f>IF(C295="","","NCR-"&amp;TEXT(ROW()-4,"0000"))</f>
        <v/>
      </c>
      <c r="B295" s="47" t="n"/>
      <c r="C295" s="50" t="n"/>
      <c r="D295" s="49">
        <f>IF(C295="","",IFERROR(INDEX('المشروعات'!$B$5:$B$304,MATCH(C295,'المشروعات'!$A$5:$A$304,0)),""))</f>
        <v/>
      </c>
      <c r="E295" s="40" t="n"/>
      <c r="F295" s="40" t="n"/>
      <c r="G295" s="40" t="n"/>
      <c r="H295" s="40" t="n"/>
      <c r="I295" s="40" t="n"/>
      <c r="J295" s="47" t="n"/>
      <c r="K295" s="47" t="n"/>
      <c r="L295" s="49">
        <f>IF(C295="","",IF(K295&lt;&gt;"","مغلق",IF(AND(J295&lt;&gt;"",TODAY()&gt;J295),"مفتوح – متأخر","مفتوح")))</f>
        <v/>
      </c>
      <c r="M295" s="48">
        <f>IF(B295="","",IF(K295&lt;&gt;"",K295,TODAY())-B295)</f>
        <v/>
      </c>
    </row>
    <row r="296">
      <c r="A296" s="39">
        <f>IF(C296="","","NCR-"&amp;TEXT(ROW()-4,"0000"))</f>
        <v/>
      </c>
      <c r="B296" s="47" t="n"/>
      <c r="C296" s="50" t="n"/>
      <c r="D296" s="49">
        <f>IF(C296="","",IFERROR(INDEX('المشروعات'!$B$5:$B$304,MATCH(C296,'المشروعات'!$A$5:$A$304,0)),""))</f>
        <v/>
      </c>
      <c r="E296" s="40" t="n"/>
      <c r="F296" s="40" t="n"/>
      <c r="G296" s="40" t="n"/>
      <c r="H296" s="40" t="n"/>
      <c r="I296" s="40" t="n"/>
      <c r="J296" s="47" t="n"/>
      <c r="K296" s="47" t="n"/>
      <c r="L296" s="49">
        <f>IF(C296="","",IF(K296&lt;&gt;"","مغلق",IF(AND(J296&lt;&gt;"",TODAY()&gt;J296),"مفتوح – متأخر","مفتوح")))</f>
        <v/>
      </c>
      <c r="M296" s="48">
        <f>IF(B296="","",IF(K296&lt;&gt;"",K296,TODAY())-B296)</f>
        <v/>
      </c>
    </row>
    <row r="297">
      <c r="A297" s="39">
        <f>IF(C297="","","NCR-"&amp;TEXT(ROW()-4,"0000"))</f>
        <v/>
      </c>
      <c r="B297" s="47" t="n"/>
      <c r="C297" s="50" t="n"/>
      <c r="D297" s="49">
        <f>IF(C297="","",IFERROR(INDEX('المشروعات'!$B$5:$B$304,MATCH(C297,'المشروعات'!$A$5:$A$304,0)),""))</f>
        <v/>
      </c>
      <c r="E297" s="40" t="n"/>
      <c r="F297" s="40" t="n"/>
      <c r="G297" s="40" t="n"/>
      <c r="H297" s="40" t="n"/>
      <c r="I297" s="40" t="n"/>
      <c r="J297" s="47" t="n"/>
      <c r="K297" s="47" t="n"/>
      <c r="L297" s="49">
        <f>IF(C297="","",IF(K297&lt;&gt;"","مغلق",IF(AND(J297&lt;&gt;"",TODAY()&gt;J297),"مفتوح – متأخر","مفتوح")))</f>
        <v/>
      </c>
      <c r="M297" s="48">
        <f>IF(B297="","",IF(K297&lt;&gt;"",K297,TODAY())-B297)</f>
        <v/>
      </c>
    </row>
    <row r="298">
      <c r="A298" s="39">
        <f>IF(C298="","","NCR-"&amp;TEXT(ROW()-4,"0000"))</f>
        <v/>
      </c>
      <c r="B298" s="47" t="n"/>
      <c r="C298" s="50" t="n"/>
      <c r="D298" s="49">
        <f>IF(C298="","",IFERROR(INDEX('المشروعات'!$B$5:$B$304,MATCH(C298,'المشروعات'!$A$5:$A$304,0)),""))</f>
        <v/>
      </c>
      <c r="E298" s="40" t="n"/>
      <c r="F298" s="40" t="n"/>
      <c r="G298" s="40" t="n"/>
      <c r="H298" s="40" t="n"/>
      <c r="I298" s="40" t="n"/>
      <c r="J298" s="47" t="n"/>
      <c r="K298" s="47" t="n"/>
      <c r="L298" s="49">
        <f>IF(C298="","",IF(K298&lt;&gt;"","مغلق",IF(AND(J298&lt;&gt;"",TODAY()&gt;J298),"مفتوح – متأخر","مفتوح")))</f>
        <v/>
      </c>
      <c r="M298" s="48">
        <f>IF(B298="","",IF(K298&lt;&gt;"",K298,TODAY())-B298)</f>
        <v/>
      </c>
    </row>
    <row r="299">
      <c r="A299" s="39">
        <f>IF(C299="","","NCR-"&amp;TEXT(ROW()-4,"0000"))</f>
        <v/>
      </c>
      <c r="B299" s="47" t="n"/>
      <c r="C299" s="50" t="n"/>
      <c r="D299" s="49">
        <f>IF(C299="","",IFERROR(INDEX('المشروعات'!$B$5:$B$304,MATCH(C299,'المشروعات'!$A$5:$A$304,0)),""))</f>
        <v/>
      </c>
      <c r="E299" s="40" t="n"/>
      <c r="F299" s="40" t="n"/>
      <c r="G299" s="40" t="n"/>
      <c r="H299" s="40" t="n"/>
      <c r="I299" s="40" t="n"/>
      <c r="J299" s="47" t="n"/>
      <c r="K299" s="47" t="n"/>
      <c r="L299" s="49">
        <f>IF(C299="","",IF(K299&lt;&gt;"","مغلق",IF(AND(J299&lt;&gt;"",TODAY()&gt;J299),"مفتوح – متأخر","مفتوح")))</f>
        <v/>
      </c>
      <c r="M299" s="48">
        <f>IF(B299="","",IF(K299&lt;&gt;"",K299,TODAY())-B299)</f>
        <v/>
      </c>
    </row>
    <row r="300">
      <c r="A300" s="39">
        <f>IF(C300="","","NCR-"&amp;TEXT(ROW()-4,"0000"))</f>
        <v/>
      </c>
      <c r="B300" s="47" t="n"/>
      <c r="C300" s="50" t="n"/>
      <c r="D300" s="49">
        <f>IF(C300="","",IFERROR(INDEX('المشروعات'!$B$5:$B$304,MATCH(C300,'المشروعات'!$A$5:$A$304,0)),""))</f>
        <v/>
      </c>
      <c r="E300" s="40" t="n"/>
      <c r="F300" s="40" t="n"/>
      <c r="G300" s="40" t="n"/>
      <c r="H300" s="40" t="n"/>
      <c r="I300" s="40" t="n"/>
      <c r="J300" s="47" t="n"/>
      <c r="K300" s="47" t="n"/>
      <c r="L300" s="49">
        <f>IF(C300="","",IF(K300&lt;&gt;"","مغلق",IF(AND(J300&lt;&gt;"",TODAY()&gt;J300),"مفتوح – متأخر","مفتوح")))</f>
        <v/>
      </c>
      <c r="M300" s="48">
        <f>IF(B300="","",IF(K300&lt;&gt;"",K300,TODAY())-B300)</f>
        <v/>
      </c>
    </row>
    <row r="301">
      <c r="A301" s="39">
        <f>IF(C301="","","NCR-"&amp;TEXT(ROW()-4,"0000"))</f>
        <v/>
      </c>
      <c r="B301" s="47" t="n"/>
      <c r="C301" s="50" t="n"/>
      <c r="D301" s="49">
        <f>IF(C301="","",IFERROR(INDEX('المشروعات'!$B$5:$B$304,MATCH(C301,'المشروعات'!$A$5:$A$304,0)),""))</f>
        <v/>
      </c>
      <c r="E301" s="40" t="n"/>
      <c r="F301" s="40" t="n"/>
      <c r="G301" s="40" t="n"/>
      <c r="H301" s="40" t="n"/>
      <c r="I301" s="40" t="n"/>
      <c r="J301" s="47" t="n"/>
      <c r="K301" s="47" t="n"/>
      <c r="L301" s="49">
        <f>IF(C301="","",IF(K301&lt;&gt;"","مغلق",IF(AND(J301&lt;&gt;"",TODAY()&gt;J301),"مفتوح – متأخر","مفتوح")))</f>
        <v/>
      </c>
      <c r="M301" s="48">
        <f>IF(B301="","",IF(K301&lt;&gt;"",K301,TODAY())-B301)</f>
        <v/>
      </c>
    </row>
    <row r="302">
      <c r="A302" s="39">
        <f>IF(C302="","","NCR-"&amp;TEXT(ROW()-4,"0000"))</f>
        <v/>
      </c>
      <c r="B302" s="47" t="n"/>
      <c r="C302" s="50" t="n"/>
      <c r="D302" s="49">
        <f>IF(C302="","",IFERROR(INDEX('المشروعات'!$B$5:$B$304,MATCH(C302,'المشروعات'!$A$5:$A$304,0)),""))</f>
        <v/>
      </c>
      <c r="E302" s="40" t="n"/>
      <c r="F302" s="40" t="n"/>
      <c r="G302" s="40" t="n"/>
      <c r="H302" s="40" t="n"/>
      <c r="I302" s="40" t="n"/>
      <c r="J302" s="47" t="n"/>
      <c r="K302" s="47" t="n"/>
      <c r="L302" s="49">
        <f>IF(C302="","",IF(K302&lt;&gt;"","مغلق",IF(AND(J302&lt;&gt;"",TODAY()&gt;J302),"مفتوح – متأخر","مفتوح")))</f>
        <v/>
      </c>
      <c r="M302" s="48">
        <f>IF(B302="","",IF(K302&lt;&gt;"",K302,TODAY())-B302)</f>
        <v/>
      </c>
    </row>
    <row r="303">
      <c r="A303" s="39">
        <f>IF(C303="","","NCR-"&amp;TEXT(ROW()-4,"0000"))</f>
        <v/>
      </c>
      <c r="B303" s="47" t="n"/>
      <c r="C303" s="50" t="n"/>
      <c r="D303" s="49">
        <f>IF(C303="","",IFERROR(INDEX('المشروعات'!$B$5:$B$304,MATCH(C303,'المشروعات'!$A$5:$A$304,0)),""))</f>
        <v/>
      </c>
      <c r="E303" s="40" t="n"/>
      <c r="F303" s="40" t="n"/>
      <c r="G303" s="40" t="n"/>
      <c r="H303" s="40" t="n"/>
      <c r="I303" s="40" t="n"/>
      <c r="J303" s="47" t="n"/>
      <c r="K303" s="47" t="n"/>
      <c r="L303" s="49">
        <f>IF(C303="","",IF(K303&lt;&gt;"","مغلق",IF(AND(J303&lt;&gt;"",TODAY()&gt;J303),"مفتوح – متأخر","مفتوح")))</f>
        <v/>
      </c>
      <c r="M303" s="48">
        <f>IF(B303="","",IF(K303&lt;&gt;"",K303,TODAY())-B303)</f>
        <v/>
      </c>
    </row>
    <row r="304">
      <c r="A304" s="39">
        <f>IF(C304="","","NCR-"&amp;TEXT(ROW()-4,"0000"))</f>
        <v/>
      </c>
      <c r="B304" s="47" t="n"/>
      <c r="C304" s="50" t="n"/>
      <c r="D304" s="49">
        <f>IF(C304="","",IFERROR(INDEX('المشروعات'!$B$5:$B$304,MATCH(C304,'المشروعات'!$A$5:$A$304,0)),""))</f>
        <v/>
      </c>
      <c r="E304" s="40" t="n"/>
      <c r="F304" s="40" t="n"/>
      <c r="G304" s="40" t="n"/>
      <c r="H304" s="40" t="n"/>
      <c r="I304" s="40" t="n"/>
      <c r="J304" s="47" t="n"/>
      <c r="K304" s="47" t="n"/>
      <c r="L304" s="49">
        <f>IF(C304="","",IF(K304&lt;&gt;"","مغلق",IF(AND(J304&lt;&gt;"",TODAY()&gt;J304),"مفتوح – متأخر","مفتوح")))</f>
        <v/>
      </c>
      <c r="M304" s="48">
        <f>IF(B304="","",IF(K304&lt;&gt;"",K304,TODAY())-B304)</f>
        <v/>
      </c>
    </row>
  </sheetData>
  <autoFilter ref="A4:M304"/>
  <mergeCells count="2">
    <mergeCell ref="A2:M2"/>
    <mergeCell ref="A1:M1"/>
  </mergeCells>
  <conditionalFormatting sqref="L5:L304">
    <cfRule type="expression" priority="1" dxfId="0" stopIfTrue="1">
      <formula>OR(ISNUMBER(SEARCH("متأخر",L5)),ISNUMBER(SEARCH("مرفوض",L5)),ISNUMBER(SEARCH("غير معتمدة",L5)),ISNUMBER(SEARCH("غير محصّل",L5)),ISNUMBER(SEARCH("سالب",L5)),ISNUMBER(SEARCH("أكثر من الرصيد",L5)),ISNUMBER(SEARCH("بتحفظات",L5)))</formula>
    </cfRule>
    <cfRule type="expression" priority="2" dxfId="1" stopIfTrue="1">
      <formula>OR(ISNUMBER(SEARCH("قيد",L5)),ISNUMBER(SEARCH("جزئي",L5)),ISNUMBER(SEARCH("بانتظار",L5)),ISNUMBER(SEARCH("مفتوح",L5)),ISNUMBER(SEARCH("أعد الطلب",L5)),ISNUMBER(SEARCH("لم يُورد",L5)),ISNUMBER(SEARCH("فترة الضمان",L5)),ISNUMBER(SEARCH("مُقدم",L5)))</formula>
    </cfRule>
    <cfRule type="expression" priority="3" dxfId="2" stopIfTrue="1">
      <formula>OR(ISNUMBER(SEARCH("معتمد",L5)),ISNUMBER(SEARCH("مقبول",L5)),ISNUMBER(SEARCH("مكتمل",L5)),ISNUMBER(SEARCH("مغلق",L5)),ISNUMBER(SEARCH("بالكامل",L5)),ISNUMBER(SEARCH("مسلّم",L5)),ISNUMBER(SEARCH("كامل",L5)),ISNUMBER(SEARCH("متاح",L5)),ISNUMBER(SEARCH("جاري",L5)))</formula>
    </cfRule>
  </conditionalFormatting>
  <dataValidations count="6">
    <dataValidation sqref="B5:B304" showDropDown="0" showInputMessage="0" showErrorMessage="1" allowBlank="1" errorTitle="تاريخ" error="أدخل تاريخاً صحيحاً" type="date" operator="between">
      <formula1>DATE(2000,1,1)</formula1>
      <formula2>DATE(2100,12,31)</formula2>
    </dataValidation>
    <dataValidation sqref="C5:C304" showDropDown="0" showInputMessage="0" showErrorMessage="1" allowBlank="1" errorTitle="قيمة غير صحيحة" error="اختر من القائمة المنسدلة فقط" type="list">
      <formula1>=L_Proj</formula1>
    </dataValidation>
    <dataValidation sqref="E5:E304" showDropDown="0" showInputMessage="0" showErrorMessage="1" allowBlank="1" errorTitle="قيمة غير صحيحة" error="اختر من القائمة المنسدلة فقط" type="list">
      <formula1>=L_NCRCat</formula1>
    </dataValidation>
    <dataValidation sqref="F5:F304" showDropDown="0" showInputMessage="0" showErrorMessage="1" allowBlank="1" errorTitle="قيمة غير صحيحة" error="اختر من القائمة المنسدلة فقط" type="list">
      <formula1>=L_Sev</formula1>
    </dataValidation>
    <dataValidation sqref="J5:J304" showDropDown="0" showInputMessage="0" showErrorMessage="1" allowBlank="1" errorTitle="تاريخ" error="أدخل تاريخاً صحيحاً" type="date" operator="between">
      <formula1>DATE(2000,1,1)</formula1>
      <formula2>DATE(2100,12,31)</formula2>
    </dataValidation>
    <dataValidation sqref="K5:K304" showDropDown="0" showInputMessage="0" showErrorMessage="1" allowBlank="1" errorTitle="تاريخ" error="أدخل تاريخاً صحيحاً" type="date" operator="between">
      <formula1>DATE(2000,1,1)</formula1>
      <formula2>DATE(2100,12,31)</formula2>
    </dataValidation>
  </dataValidations>
  <hyperlinks>
    <hyperlink xmlns:r="http://schemas.openxmlformats.org/officeDocument/2006/relationships" ref="A3" r:id="rId1"/>
  </hyperlinks>
  <printOptions horizontalCentered="1"/>
  <pageMargins left="0.75" right="0.75" top="1" bottom="1" header="0.5" footer="0.5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tabColor rgb="002E7D32"/>
    <outlinePr summaryBelow="1" summaryRight="1"/>
    <pageSetUpPr fitToPage="1"/>
  </sheetPr>
  <dimension ref="A1:R304"/>
  <sheetViews>
    <sheetView showGridLines="0" rightToLeft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11" customWidth="1" min="4" max="4"/>
    <col width="11" customWidth="1" min="5" max="5"/>
    <col width="15" customWidth="1" min="6" max="6"/>
    <col width="15" customWidth="1" min="7" max="7"/>
    <col width="15" customWidth="1" min="8" max="8"/>
    <col width="13" customWidth="1" min="9" max="9"/>
    <col width="13" customWidth="1" min="10" max="10"/>
    <col width="12" customWidth="1" min="11" max="11"/>
    <col width="15" customWidth="1" min="12" max="12"/>
    <col width="13" customWidth="1" min="13" max="13"/>
    <col width="15" customWidth="1" min="14" max="14"/>
    <col width="16" customWidth="1" min="15" max="15"/>
    <col width="15" customWidth="1" min="16" max="16"/>
    <col width="15" customWidth="1" min="17" max="17"/>
    <col width="15" customWidth="1" min="18" max="18"/>
  </cols>
  <sheetData>
    <row r="1" ht="32" customHeight="1">
      <c r="A1" s="34">
        <f>S_Company&amp;"  |  المستخلصات"</f>
        <v/>
      </c>
    </row>
    <row r="2">
      <c r="A2" s="35" t="inlineStr">
        <is>
          <t>المستخلصات الجارية للمالك – مربوطة بسندات القبض (QF-IPC-13)</t>
        </is>
      </c>
    </row>
    <row r="3">
      <c r="A3" s="33" t="inlineStr">
        <is>
          <t>↩ الرئيسية</t>
        </is>
      </c>
      <c r="B3" s="36" t="inlineStr">
        <is>
          <t xml:space="preserve">   ■ أصفر = إدخال يدوي    ■ رمادي = معادلة تلقائية (لا تكتب فيها)    — الصفوف الأولى أمثلة توضيحية؛ احذف قيم الإدخال واستبدلها ببياناتك</t>
        </is>
      </c>
    </row>
    <row r="4" ht="42" customHeight="1">
      <c r="A4" s="37" t="inlineStr">
        <is>
          <t>رقم المستخلص</t>
        </is>
      </c>
      <c r="B4" s="38" t="inlineStr">
        <is>
          <t>كود المشروع</t>
        </is>
      </c>
      <c r="C4" s="37" t="inlineStr">
        <is>
          <t>اسم المشروع</t>
        </is>
      </c>
      <c r="D4" s="38" t="inlineStr">
        <is>
          <t>الفترة من</t>
        </is>
      </c>
      <c r="E4" s="38" t="inlineStr">
        <is>
          <t>الفترة إلى</t>
        </is>
      </c>
      <c r="F4" s="38" t="inlineStr">
        <is>
          <t>إجمالي الأعمال التراكمي</t>
        </is>
      </c>
      <c r="G4" s="37" t="inlineStr">
        <is>
          <t>المستخلصات السابقة</t>
        </is>
      </c>
      <c r="H4" s="37" t="inlineStr">
        <is>
          <t>أعمال هذا المستخلص</t>
        </is>
      </c>
      <c r="I4" s="37" t="inlineStr">
        <is>
          <t>ضمان أعمال محتجز</t>
        </is>
      </c>
      <c r="J4" s="38" t="inlineStr">
        <is>
          <t>استرداد الدفعة المقدمة</t>
        </is>
      </c>
      <c r="K4" s="38" t="inlineStr">
        <is>
          <t>خصومات / غرامات</t>
        </is>
      </c>
      <c r="L4" s="37" t="inlineStr">
        <is>
          <t>الصافي قبل الضريبة</t>
        </is>
      </c>
      <c r="M4" s="37" t="inlineStr">
        <is>
          <t>الضريبة</t>
        </is>
      </c>
      <c r="N4" s="37" t="inlineStr">
        <is>
          <t>صافي المستحق</t>
        </is>
      </c>
      <c r="O4" s="38" t="inlineStr">
        <is>
          <t>حالة الاعتماد</t>
        </is>
      </c>
      <c r="P4" s="37" t="inlineStr">
        <is>
          <t>المحصّل</t>
        </is>
      </c>
      <c r="Q4" s="37" t="inlineStr">
        <is>
          <t>المتبقي للتحصيل</t>
        </is>
      </c>
      <c r="R4" s="37" t="inlineStr">
        <is>
          <t>حالة التحصيل</t>
        </is>
      </c>
    </row>
    <row r="5">
      <c r="A5" s="39">
        <f>IF(B5="","","IPC-"&amp;TEXT(ROW()-4,"0000"))</f>
        <v/>
      </c>
      <c r="B5" s="50" t="inlineStr">
        <is>
          <t>PRJ-001</t>
        </is>
      </c>
      <c r="C5" s="49">
        <f>IF(B5="","",IFERROR(INDEX('المشروعات'!$B$5:$B$304,MATCH(B5,'المشروعات'!$A$5:$A$304,0)),""))</f>
        <v/>
      </c>
      <c r="D5" s="47" t="n">
        <v>45962</v>
      </c>
      <c r="E5" s="47" t="n">
        <v>46053</v>
      </c>
      <c r="F5" s="41" t="n">
        <v>6800000</v>
      </c>
      <c r="G5" s="46">
        <f>IF(B5="","",SUMIFS($H$4:H4,$B$4:B4,B5))</f>
        <v/>
      </c>
      <c r="H5" s="46">
        <f>IF(B5="","",F5-G5)</f>
        <v/>
      </c>
      <c r="I5" s="46">
        <f>IF(B5="","",H5*S_Ret)</f>
        <v/>
      </c>
      <c r="J5" s="41" t="n">
        <v>680000</v>
      </c>
      <c r="K5" s="41" t="n"/>
      <c r="L5" s="46">
        <f>IF(B5="","",H5-I5-N(J5)-N(K5))</f>
        <v/>
      </c>
      <c r="M5" s="46">
        <f>IF(B5="","",L5*S_VAT)</f>
        <v/>
      </c>
      <c r="N5" s="46">
        <f>IF(B5="","",L5+M5)</f>
        <v/>
      </c>
      <c r="O5" s="40" t="inlineStr">
        <is>
          <t>معتمد من المالك</t>
        </is>
      </c>
      <c r="P5" s="46">
        <f>IF(A5="","",SUMIFS('سندات القبض'!$K$5:$K$304,'سندات القبض'!$F$5:$F$304,A5))</f>
        <v/>
      </c>
      <c r="Q5" s="46">
        <f>IF(A5="","",N5-P5)</f>
        <v/>
      </c>
      <c r="R5" s="49">
        <f>IF(A5="","",IF(P5&gt;=N5-0.01,"محصّل بالكامل",IF(P5&gt;0,"محصّل جزئياً","غير محصّل")))</f>
        <v/>
      </c>
    </row>
    <row r="6">
      <c r="A6" s="39">
        <f>IF(B6="","","IPC-"&amp;TEXT(ROW()-4,"0000"))</f>
        <v/>
      </c>
      <c r="B6" s="50" t="inlineStr">
        <is>
          <t>PRJ-001</t>
        </is>
      </c>
      <c r="C6" s="49">
        <f>IF(B6="","",IFERROR(INDEX('المشروعات'!$B$5:$B$304,MATCH(B6,'المشروعات'!$A$5:$A$304,0)),""))</f>
        <v/>
      </c>
      <c r="D6" s="47" t="n">
        <v>46054</v>
      </c>
      <c r="E6" s="47" t="n">
        <v>46142</v>
      </c>
      <c r="F6" s="41" t="n">
        <v>13900000</v>
      </c>
      <c r="G6" s="46">
        <f>IF(B6="","",SUMIFS($H$4:H5,$B$4:B5,B6))</f>
        <v/>
      </c>
      <c r="H6" s="46">
        <f>IF(B6="","",F6-G6)</f>
        <v/>
      </c>
      <c r="I6" s="46">
        <f>IF(B6="","",H6*S_Ret)</f>
        <v/>
      </c>
      <c r="J6" s="41" t="n">
        <v>710000</v>
      </c>
      <c r="K6" s="41" t="n"/>
      <c r="L6" s="46">
        <f>IF(B6="","",H6-I6-N(J6)-N(K6))</f>
        <v/>
      </c>
      <c r="M6" s="46">
        <f>IF(B6="","",L6*S_VAT)</f>
        <v/>
      </c>
      <c r="N6" s="46">
        <f>IF(B6="","",L6+M6)</f>
        <v/>
      </c>
      <c r="O6" s="40" t="inlineStr">
        <is>
          <t>معتمد من المالك</t>
        </is>
      </c>
      <c r="P6" s="46">
        <f>IF(A6="","",SUMIFS('سندات القبض'!$K$5:$K$304,'سندات القبض'!$F$5:$F$304,A6))</f>
        <v/>
      </c>
      <c r="Q6" s="46">
        <f>IF(A6="","",N6-P6)</f>
        <v/>
      </c>
      <c r="R6" s="49">
        <f>IF(A6="","",IF(P6&gt;=N6-0.01,"محصّل بالكامل",IF(P6&gt;0,"محصّل جزئياً","غير محصّل")))</f>
        <v/>
      </c>
    </row>
    <row r="7">
      <c r="A7" s="39">
        <f>IF(B7="","","IPC-"&amp;TEXT(ROW()-4,"0000"))</f>
        <v/>
      </c>
      <c r="B7" s="50" t="inlineStr">
        <is>
          <t>PRJ-002</t>
        </is>
      </c>
      <c r="C7" s="49">
        <f>IF(B7="","",IFERROR(INDEX('المشروعات'!$B$5:$B$304,MATCH(B7,'المشروعات'!$A$5:$A$304,0)),""))</f>
        <v/>
      </c>
      <c r="D7" s="47" t="n">
        <v>46157</v>
      </c>
      <c r="E7" s="47" t="n">
        <v>46265</v>
      </c>
      <c r="F7" s="41" t="n">
        <v>4100000</v>
      </c>
      <c r="G7" s="46">
        <f>IF(B7="","",SUMIFS($H$4:H6,$B$4:B6,B7))</f>
        <v/>
      </c>
      <c r="H7" s="46">
        <f>IF(B7="","",F7-G7)</f>
        <v/>
      </c>
      <c r="I7" s="46">
        <f>IF(B7="","",H7*S_Ret)</f>
        <v/>
      </c>
      <c r="J7" s="41" t="n">
        <v>410000</v>
      </c>
      <c r="K7" s="41" t="n"/>
      <c r="L7" s="46">
        <f>IF(B7="","",H7-I7-N(J7)-N(K7))</f>
        <v/>
      </c>
      <c r="M7" s="46">
        <f>IF(B7="","",L7*S_VAT)</f>
        <v/>
      </c>
      <c r="N7" s="46">
        <f>IF(B7="","",L7+M7)</f>
        <v/>
      </c>
      <c r="O7" s="40" t="inlineStr">
        <is>
          <t>معتمد من الاستشاري</t>
        </is>
      </c>
      <c r="P7" s="46">
        <f>IF(A7="","",SUMIFS('سندات القبض'!$K$5:$K$304,'سندات القبض'!$F$5:$F$304,A7))</f>
        <v/>
      </c>
      <c r="Q7" s="46">
        <f>IF(A7="","",N7-P7)</f>
        <v/>
      </c>
      <c r="R7" s="49">
        <f>IF(A7="","",IF(P7&gt;=N7-0.01,"محصّل بالكامل",IF(P7&gt;0,"محصّل جزئياً","غير محصّل")))</f>
        <v/>
      </c>
    </row>
    <row r="8">
      <c r="A8" s="39">
        <f>IF(B8="","","IPC-"&amp;TEXT(ROW()-4,"0000"))</f>
        <v/>
      </c>
      <c r="B8" s="50" t="n"/>
      <c r="C8" s="49">
        <f>IF(B8="","",IFERROR(INDEX('المشروعات'!$B$5:$B$304,MATCH(B8,'المشروعات'!$A$5:$A$304,0)),""))</f>
        <v/>
      </c>
      <c r="D8" s="47" t="n"/>
      <c r="E8" s="47" t="n"/>
      <c r="F8" s="41" t="n"/>
      <c r="G8" s="46">
        <f>IF(B8="","",SUMIFS($H$4:H7,$B$4:B7,B8))</f>
        <v/>
      </c>
      <c r="H8" s="46">
        <f>IF(B8="","",F8-G8)</f>
        <v/>
      </c>
      <c r="I8" s="46">
        <f>IF(B8="","",H8*S_Ret)</f>
        <v/>
      </c>
      <c r="J8" s="41" t="n"/>
      <c r="K8" s="41" t="n"/>
      <c r="L8" s="46">
        <f>IF(B8="","",H8-I8-N(J8)-N(K8))</f>
        <v/>
      </c>
      <c r="M8" s="46">
        <f>IF(B8="","",L8*S_VAT)</f>
        <v/>
      </c>
      <c r="N8" s="46">
        <f>IF(B8="","",L8+M8)</f>
        <v/>
      </c>
      <c r="O8" s="40" t="n"/>
      <c r="P8" s="46">
        <f>IF(A8="","",SUMIFS('سندات القبض'!$K$5:$K$304,'سندات القبض'!$F$5:$F$304,A8))</f>
        <v/>
      </c>
      <c r="Q8" s="46">
        <f>IF(A8="","",N8-P8)</f>
        <v/>
      </c>
      <c r="R8" s="49">
        <f>IF(A8="","",IF(P8&gt;=N8-0.01,"محصّل بالكامل",IF(P8&gt;0,"محصّل جزئياً","غير محصّل")))</f>
        <v/>
      </c>
    </row>
    <row r="9">
      <c r="A9" s="39">
        <f>IF(B9="","","IPC-"&amp;TEXT(ROW()-4,"0000"))</f>
        <v/>
      </c>
      <c r="B9" s="50" t="n"/>
      <c r="C9" s="49">
        <f>IF(B9="","",IFERROR(INDEX('المشروعات'!$B$5:$B$304,MATCH(B9,'المشروعات'!$A$5:$A$304,0)),""))</f>
        <v/>
      </c>
      <c r="D9" s="47" t="n"/>
      <c r="E9" s="47" t="n"/>
      <c r="F9" s="41" t="n"/>
      <c r="G9" s="46">
        <f>IF(B9="","",SUMIFS($H$4:H8,$B$4:B8,B9))</f>
        <v/>
      </c>
      <c r="H9" s="46">
        <f>IF(B9="","",F9-G9)</f>
        <v/>
      </c>
      <c r="I9" s="46">
        <f>IF(B9="","",H9*S_Ret)</f>
        <v/>
      </c>
      <c r="J9" s="41" t="n"/>
      <c r="K9" s="41" t="n"/>
      <c r="L9" s="46">
        <f>IF(B9="","",H9-I9-N(J9)-N(K9))</f>
        <v/>
      </c>
      <c r="M9" s="46">
        <f>IF(B9="","",L9*S_VAT)</f>
        <v/>
      </c>
      <c r="N9" s="46">
        <f>IF(B9="","",L9+M9)</f>
        <v/>
      </c>
      <c r="O9" s="40" t="n"/>
      <c r="P9" s="46">
        <f>IF(A9="","",SUMIFS('سندات القبض'!$K$5:$K$304,'سندات القبض'!$F$5:$F$304,A9))</f>
        <v/>
      </c>
      <c r="Q9" s="46">
        <f>IF(A9="","",N9-P9)</f>
        <v/>
      </c>
      <c r="R9" s="49">
        <f>IF(A9="","",IF(P9&gt;=N9-0.01,"محصّل بالكامل",IF(P9&gt;0,"محصّل جزئياً","غير محصّل")))</f>
        <v/>
      </c>
    </row>
    <row r="10">
      <c r="A10" s="39">
        <f>IF(B10="","","IPC-"&amp;TEXT(ROW()-4,"0000"))</f>
        <v/>
      </c>
      <c r="B10" s="50" t="n"/>
      <c r="C10" s="49">
        <f>IF(B10="","",IFERROR(INDEX('المشروعات'!$B$5:$B$304,MATCH(B10,'المشروعات'!$A$5:$A$304,0)),""))</f>
        <v/>
      </c>
      <c r="D10" s="47" t="n"/>
      <c r="E10" s="47" t="n"/>
      <c r="F10" s="41" t="n"/>
      <c r="G10" s="46">
        <f>IF(B10="","",SUMIFS($H$4:H9,$B$4:B9,B10))</f>
        <v/>
      </c>
      <c r="H10" s="46">
        <f>IF(B10="","",F10-G10)</f>
        <v/>
      </c>
      <c r="I10" s="46">
        <f>IF(B10="","",H10*S_Ret)</f>
        <v/>
      </c>
      <c r="J10" s="41" t="n"/>
      <c r="K10" s="41" t="n"/>
      <c r="L10" s="46">
        <f>IF(B10="","",H10-I10-N(J10)-N(K10))</f>
        <v/>
      </c>
      <c r="M10" s="46">
        <f>IF(B10="","",L10*S_VAT)</f>
        <v/>
      </c>
      <c r="N10" s="46">
        <f>IF(B10="","",L10+M10)</f>
        <v/>
      </c>
      <c r="O10" s="40" t="n"/>
      <c r="P10" s="46">
        <f>IF(A10="","",SUMIFS('سندات القبض'!$K$5:$K$304,'سندات القبض'!$F$5:$F$304,A10))</f>
        <v/>
      </c>
      <c r="Q10" s="46">
        <f>IF(A10="","",N10-P10)</f>
        <v/>
      </c>
      <c r="R10" s="49">
        <f>IF(A10="","",IF(P10&gt;=N10-0.01,"محصّل بالكامل",IF(P10&gt;0,"محصّل جزئياً","غير محصّل")))</f>
        <v/>
      </c>
    </row>
    <row r="11">
      <c r="A11" s="39">
        <f>IF(B11="","","IPC-"&amp;TEXT(ROW()-4,"0000"))</f>
        <v/>
      </c>
      <c r="B11" s="50" t="n"/>
      <c r="C11" s="49">
        <f>IF(B11="","",IFERROR(INDEX('المشروعات'!$B$5:$B$304,MATCH(B11,'المشروعات'!$A$5:$A$304,0)),""))</f>
        <v/>
      </c>
      <c r="D11" s="47" t="n"/>
      <c r="E11" s="47" t="n"/>
      <c r="F11" s="41" t="n"/>
      <c r="G11" s="46">
        <f>IF(B11="","",SUMIFS($H$4:H10,$B$4:B10,B11))</f>
        <v/>
      </c>
      <c r="H11" s="46">
        <f>IF(B11="","",F11-G11)</f>
        <v/>
      </c>
      <c r="I11" s="46">
        <f>IF(B11="","",H11*S_Ret)</f>
        <v/>
      </c>
      <c r="J11" s="41" t="n"/>
      <c r="K11" s="41" t="n"/>
      <c r="L11" s="46">
        <f>IF(B11="","",H11-I11-N(J11)-N(K11))</f>
        <v/>
      </c>
      <c r="M11" s="46">
        <f>IF(B11="","",L11*S_VAT)</f>
        <v/>
      </c>
      <c r="N11" s="46">
        <f>IF(B11="","",L11+M11)</f>
        <v/>
      </c>
      <c r="O11" s="40" t="n"/>
      <c r="P11" s="46">
        <f>IF(A11="","",SUMIFS('سندات القبض'!$K$5:$K$304,'سندات القبض'!$F$5:$F$304,A11))</f>
        <v/>
      </c>
      <c r="Q11" s="46">
        <f>IF(A11="","",N11-P11)</f>
        <v/>
      </c>
      <c r="R11" s="49">
        <f>IF(A11="","",IF(P11&gt;=N11-0.01,"محصّل بالكامل",IF(P11&gt;0,"محصّل جزئياً","غير محصّل")))</f>
        <v/>
      </c>
    </row>
    <row r="12">
      <c r="A12" s="39">
        <f>IF(B12="","","IPC-"&amp;TEXT(ROW()-4,"0000"))</f>
        <v/>
      </c>
      <c r="B12" s="50" t="n"/>
      <c r="C12" s="49">
        <f>IF(B12="","",IFERROR(INDEX('المشروعات'!$B$5:$B$304,MATCH(B12,'المشروعات'!$A$5:$A$304,0)),""))</f>
        <v/>
      </c>
      <c r="D12" s="47" t="n"/>
      <c r="E12" s="47" t="n"/>
      <c r="F12" s="41" t="n"/>
      <c r="G12" s="46">
        <f>IF(B12="","",SUMIFS($H$4:H11,$B$4:B11,B12))</f>
        <v/>
      </c>
      <c r="H12" s="46">
        <f>IF(B12="","",F12-G12)</f>
        <v/>
      </c>
      <c r="I12" s="46">
        <f>IF(B12="","",H12*S_Ret)</f>
        <v/>
      </c>
      <c r="J12" s="41" t="n"/>
      <c r="K12" s="41" t="n"/>
      <c r="L12" s="46">
        <f>IF(B12="","",H12-I12-N(J12)-N(K12))</f>
        <v/>
      </c>
      <c r="M12" s="46">
        <f>IF(B12="","",L12*S_VAT)</f>
        <v/>
      </c>
      <c r="N12" s="46">
        <f>IF(B12="","",L12+M12)</f>
        <v/>
      </c>
      <c r="O12" s="40" t="n"/>
      <c r="P12" s="46">
        <f>IF(A12="","",SUMIFS('سندات القبض'!$K$5:$K$304,'سندات القبض'!$F$5:$F$304,A12))</f>
        <v/>
      </c>
      <c r="Q12" s="46">
        <f>IF(A12="","",N12-P12)</f>
        <v/>
      </c>
      <c r="R12" s="49">
        <f>IF(A12="","",IF(P12&gt;=N12-0.01,"محصّل بالكامل",IF(P12&gt;0,"محصّل جزئياً","غير محصّل")))</f>
        <v/>
      </c>
    </row>
    <row r="13">
      <c r="A13" s="39">
        <f>IF(B13="","","IPC-"&amp;TEXT(ROW()-4,"0000"))</f>
        <v/>
      </c>
      <c r="B13" s="50" t="n"/>
      <c r="C13" s="49">
        <f>IF(B13="","",IFERROR(INDEX('المشروعات'!$B$5:$B$304,MATCH(B13,'المشروعات'!$A$5:$A$304,0)),""))</f>
        <v/>
      </c>
      <c r="D13" s="47" t="n"/>
      <c r="E13" s="47" t="n"/>
      <c r="F13" s="41" t="n"/>
      <c r="G13" s="46">
        <f>IF(B13="","",SUMIFS($H$4:H12,$B$4:B12,B13))</f>
        <v/>
      </c>
      <c r="H13" s="46">
        <f>IF(B13="","",F13-G13)</f>
        <v/>
      </c>
      <c r="I13" s="46">
        <f>IF(B13="","",H13*S_Ret)</f>
        <v/>
      </c>
      <c r="J13" s="41" t="n"/>
      <c r="K13" s="41" t="n"/>
      <c r="L13" s="46">
        <f>IF(B13="","",H13-I13-N(J13)-N(K13))</f>
        <v/>
      </c>
      <c r="M13" s="46">
        <f>IF(B13="","",L13*S_VAT)</f>
        <v/>
      </c>
      <c r="N13" s="46">
        <f>IF(B13="","",L13+M13)</f>
        <v/>
      </c>
      <c r="O13" s="40" t="n"/>
      <c r="P13" s="46">
        <f>IF(A13="","",SUMIFS('سندات القبض'!$K$5:$K$304,'سندات القبض'!$F$5:$F$304,A13))</f>
        <v/>
      </c>
      <c r="Q13" s="46">
        <f>IF(A13="","",N13-P13)</f>
        <v/>
      </c>
      <c r="R13" s="49">
        <f>IF(A13="","",IF(P13&gt;=N13-0.01,"محصّل بالكامل",IF(P13&gt;0,"محصّل جزئياً","غير محصّل")))</f>
        <v/>
      </c>
    </row>
    <row r="14">
      <c r="A14" s="39">
        <f>IF(B14="","","IPC-"&amp;TEXT(ROW()-4,"0000"))</f>
        <v/>
      </c>
      <c r="B14" s="50" t="n"/>
      <c r="C14" s="49">
        <f>IF(B14="","",IFERROR(INDEX('المشروعات'!$B$5:$B$304,MATCH(B14,'المشروعات'!$A$5:$A$304,0)),""))</f>
        <v/>
      </c>
      <c r="D14" s="47" t="n"/>
      <c r="E14" s="47" t="n"/>
      <c r="F14" s="41" t="n"/>
      <c r="G14" s="46">
        <f>IF(B14="","",SUMIFS($H$4:H13,$B$4:B13,B14))</f>
        <v/>
      </c>
      <c r="H14" s="46">
        <f>IF(B14="","",F14-G14)</f>
        <v/>
      </c>
      <c r="I14" s="46">
        <f>IF(B14="","",H14*S_Ret)</f>
        <v/>
      </c>
      <c r="J14" s="41" t="n"/>
      <c r="K14" s="41" t="n"/>
      <c r="L14" s="46">
        <f>IF(B14="","",H14-I14-N(J14)-N(K14))</f>
        <v/>
      </c>
      <c r="M14" s="46">
        <f>IF(B14="","",L14*S_VAT)</f>
        <v/>
      </c>
      <c r="N14" s="46">
        <f>IF(B14="","",L14+M14)</f>
        <v/>
      </c>
      <c r="O14" s="40" t="n"/>
      <c r="P14" s="46">
        <f>IF(A14="","",SUMIFS('سندات القبض'!$K$5:$K$304,'سندات القبض'!$F$5:$F$304,A14))</f>
        <v/>
      </c>
      <c r="Q14" s="46">
        <f>IF(A14="","",N14-P14)</f>
        <v/>
      </c>
      <c r="R14" s="49">
        <f>IF(A14="","",IF(P14&gt;=N14-0.01,"محصّل بالكامل",IF(P14&gt;0,"محصّل جزئياً","غير محصّل")))</f>
        <v/>
      </c>
    </row>
    <row r="15">
      <c r="A15" s="39">
        <f>IF(B15="","","IPC-"&amp;TEXT(ROW()-4,"0000"))</f>
        <v/>
      </c>
      <c r="B15" s="50" t="n"/>
      <c r="C15" s="49">
        <f>IF(B15="","",IFERROR(INDEX('المشروعات'!$B$5:$B$304,MATCH(B15,'المشروعات'!$A$5:$A$304,0)),""))</f>
        <v/>
      </c>
      <c r="D15" s="47" t="n"/>
      <c r="E15" s="47" t="n"/>
      <c r="F15" s="41" t="n"/>
      <c r="G15" s="46">
        <f>IF(B15="","",SUMIFS($H$4:H14,$B$4:B14,B15))</f>
        <v/>
      </c>
      <c r="H15" s="46">
        <f>IF(B15="","",F15-G15)</f>
        <v/>
      </c>
      <c r="I15" s="46">
        <f>IF(B15="","",H15*S_Ret)</f>
        <v/>
      </c>
      <c r="J15" s="41" t="n"/>
      <c r="K15" s="41" t="n"/>
      <c r="L15" s="46">
        <f>IF(B15="","",H15-I15-N(J15)-N(K15))</f>
        <v/>
      </c>
      <c r="M15" s="46">
        <f>IF(B15="","",L15*S_VAT)</f>
        <v/>
      </c>
      <c r="N15" s="46">
        <f>IF(B15="","",L15+M15)</f>
        <v/>
      </c>
      <c r="O15" s="40" t="n"/>
      <c r="P15" s="46">
        <f>IF(A15="","",SUMIFS('سندات القبض'!$K$5:$K$304,'سندات القبض'!$F$5:$F$304,A15))</f>
        <v/>
      </c>
      <c r="Q15" s="46">
        <f>IF(A15="","",N15-P15)</f>
        <v/>
      </c>
      <c r="R15" s="49">
        <f>IF(A15="","",IF(P15&gt;=N15-0.01,"محصّل بالكامل",IF(P15&gt;0,"محصّل جزئياً","غير محصّل")))</f>
        <v/>
      </c>
    </row>
    <row r="16">
      <c r="A16" s="39">
        <f>IF(B16="","","IPC-"&amp;TEXT(ROW()-4,"0000"))</f>
        <v/>
      </c>
      <c r="B16" s="50" t="n"/>
      <c r="C16" s="49">
        <f>IF(B16="","",IFERROR(INDEX('المشروعات'!$B$5:$B$304,MATCH(B16,'المشروعات'!$A$5:$A$304,0)),""))</f>
        <v/>
      </c>
      <c r="D16" s="47" t="n"/>
      <c r="E16" s="47" t="n"/>
      <c r="F16" s="41" t="n"/>
      <c r="G16" s="46">
        <f>IF(B16="","",SUMIFS($H$4:H15,$B$4:B15,B16))</f>
        <v/>
      </c>
      <c r="H16" s="46">
        <f>IF(B16="","",F16-G16)</f>
        <v/>
      </c>
      <c r="I16" s="46">
        <f>IF(B16="","",H16*S_Ret)</f>
        <v/>
      </c>
      <c r="J16" s="41" t="n"/>
      <c r="K16" s="41" t="n"/>
      <c r="L16" s="46">
        <f>IF(B16="","",H16-I16-N(J16)-N(K16))</f>
        <v/>
      </c>
      <c r="M16" s="46">
        <f>IF(B16="","",L16*S_VAT)</f>
        <v/>
      </c>
      <c r="N16" s="46">
        <f>IF(B16="","",L16+M16)</f>
        <v/>
      </c>
      <c r="O16" s="40" t="n"/>
      <c r="P16" s="46">
        <f>IF(A16="","",SUMIFS('سندات القبض'!$K$5:$K$304,'سندات القبض'!$F$5:$F$304,A16))</f>
        <v/>
      </c>
      <c r="Q16" s="46">
        <f>IF(A16="","",N16-P16)</f>
        <v/>
      </c>
      <c r="R16" s="49">
        <f>IF(A16="","",IF(P16&gt;=N16-0.01,"محصّل بالكامل",IF(P16&gt;0,"محصّل جزئياً","غير محصّل")))</f>
        <v/>
      </c>
    </row>
    <row r="17">
      <c r="A17" s="39">
        <f>IF(B17="","","IPC-"&amp;TEXT(ROW()-4,"0000"))</f>
        <v/>
      </c>
      <c r="B17" s="50" t="n"/>
      <c r="C17" s="49">
        <f>IF(B17="","",IFERROR(INDEX('المشروعات'!$B$5:$B$304,MATCH(B17,'المشروعات'!$A$5:$A$304,0)),""))</f>
        <v/>
      </c>
      <c r="D17" s="47" t="n"/>
      <c r="E17" s="47" t="n"/>
      <c r="F17" s="41" t="n"/>
      <c r="G17" s="46">
        <f>IF(B17="","",SUMIFS($H$4:H16,$B$4:B16,B17))</f>
        <v/>
      </c>
      <c r="H17" s="46">
        <f>IF(B17="","",F17-G17)</f>
        <v/>
      </c>
      <c r="I17" s="46">
        <f>IF(B17="","",H17*S_Ret)</f>
        <v/>
      </c>
      <c r="J17" s="41" t="n"/>
      <c r="K17" s="41" t="n"/>
      <c r="L17" s="46">
        <f>IF(B17="","",H17-I17-N(J17)-N(K17))</f>
        <v/>
      </c>
      <c r="M17" s="46">
        <f>IF(B17="","",L17*S_VAT)</f>
        <v/>
      </c>
      <c r="N17" s="46">
        <f>IF(B17="","",L17+M17)</f>
        <v/>
      </c>
      <c r="O17" s="40" t="n"/>
      <c r="P17" s="46">
        <f>IF(A17="","",SUMIFS('سندات القبض'!$K$5:$K$304,'سندات القبض'!$F$5:$F$304,A17))</f>
        <v/>
      </c>
      <c r="Q17" s="46">
        <f>IF(A17="","",N17-P17)</f>
        <v/>
      </c>
      <c r="R17" s="49">
        <f>IF(A17="","",IF(P17&gt;=N17-0.01,"محصّل بالكامل",IF(P17&gt;0,"محصّل جزئياً","غير محصّل")))</f>
        <v/>
      </c>
    </row>
    <row r="18">
      <c r="A18" s="39">
        <f>IF(B18="","","IPC-"&amp;TEXT(ROW()-4,"0000"))</f>
        <v/>
      </c>
      <c r="B18" s="50" t="n"/>
      <c r="C18" s="49">
        <f>IF(B18="","",IFERROR(INDEX('المشروعات'!$B$5:$B$304,MATCH(B18,'المشروعات'!$A$5:$A$304,0)),""))</f>
        <v/>
      </c>
      <c r="D18" s="47" t="n"/>
      <c r="E18" s="47" t="n"/>
      <c r="F18" s="41" t="n"/>
      <c r="G18" s="46">
        <f>IF(B18="","",SUMIFS($H$4:H17,$B$4:B17,B18))</f>
        <v/>
      </c>
      <c r="H18" s="46">
        <f>IF(B18="","",F18-G18)</f>
        <v/>
      </c>
      <c r="I18" s="46">
        <f>IF(B18="","",H18*S_Ret)</f>
        <v/>
      </c>
      <c r="J18" s="41" t="n"/>
      <c r="K18" s="41" t="n"/>
      <c r="L18" s="46">
        <f>IF(B18="","",H18-I18-N(J18)-N(K18))</f>
        <v/>
      </c>
      <c r="M18" s="46">
        <f>IF(B18="","",L18*S_VAT)</f>
        <v/>
      </c>
      <c r="N18" s="46">
        <f>IF(B18="","",L18+M18)</f>
        <v/>
      </c>
      <c r="O18" s="40" t="n"/>
      <c r="P18" s="46">
        <f>IF(A18="","",SUMIFS('سندات القبض'!$K$5:$K$304,'سندات القبض'!$F$5:$F$304,A18))</f>
        <v/>
      </c>
      <c r="Q18" s="46">
        <f>IF(A18="","",N18-P18)</f>
        <v/>
      </c>
      <c r="R18" s="49">
        <f>IF(A18="","",IF(P18&gt;=N18-0.01,"محصّل بالكامل",IF(P18&gt;0,"محصّل جزئياً","غير محصّل")))</f>
        <v/>
      </c>
    </row>
    <row r="19">
      <c r="A19" s="39">
        <f>IF(B19="","","IPC-"&amp;TEXT(ROW()-4,"0000"))</f>
        <v/>
      </c>
      <c r="B19" s="50" t="n"/>
      <c r="C19" s="49">
        <f>IF(B19="","",IFERROR(INDEX('المشروعات'!$B$5:$B$304,MATCH(B19,'المشروعات'!$A$5:$A$304,0)),""))</f>
        <v/>
      </c>
      <c r="D19" s="47" t="n"/>
      <c r="E19" s="47" t="n"/>
      <c r="F19" s="41" t="n"/>
      <c r="G19" s="46">
        <f>IF(B19="","",SUMIFS($H$4:H18,$B$4:B18,B19))</f>
        <v/>
      </c>
      <c r="H19" s="46">
        <f>IF(B19="","",F19-G19)</f>
        <v/>
      </c>
      <c r="I19" s="46">
        <f>IF(B19="","",H19*S_Ret)</f>
        <v/>
      </c>
      <c r="J19" s="41" t="n"/>
      <c r="K19" s="41" t="n"/>
      <c r="L19" s="46">
        <f>IF(B19="","",H19-I19-N(J19)-N(K19))</f>
        <v/>
      </c>
      <c r="M19" s="46">
        <f>IF(B19="","",L19*S_VAT)</f>
        <v/>
      </c>
      <c r="N19" s="46">
        <f>IF(B19="","",L19+M19)</f>
        <v/>
      </c>
      <c r="O19" s="40" t="n"/>
      <c r="P19" s="46">
        <f>IF(A19="","",SUMIFS('سندات القبض'!$K$5:$K$304,'سندات القبض'!$F$5:$F$304,A19))</f>
        <v/>
      </c>
      <c r="Q19" s="46">
        <f>IF(A19="","",N19-P19)</f>
        <v/>
      </c>
      <c r="R19" s="49">
        <f>IF(A19="","",IF(P19&gt;=N19-0.01,"محصّل بالكامل",IF(P19&gt;0,"محصّل جزئياً","غير محصّل")))</f>
        <v/>
      </c>
    </row>
    <row r="20">
      <c r="A20" s="39">
        <f>IF(B20="","","IPC-"&amp;TEXT(ROW()-4,"0000"))</f>
        <v/>
      </c>
      <c r="B20" s="50" t="n"/>
      <c r="C20" s="49">
        <f>IF(B20="","",IFERROR(INDEX('المشروعات'!$B$5:$B$304,MATCH(B20,'المشروعات'!$A$5:$A$304,0)),""))</f>
        <v/>
      </c>
      <c r="D20" s="47" t="n"/>
      <c r="E20" s="47" t="n"/>
      <c r="F20" s="41" t="n"/>
      <c r="G20" s="46">
        <f>IF(B20="","",SUMIFS($H$4:H19,$B$4:B19,B20))</f>
        <v/>
      </c>
      <c r="H20" s="46">
        <f>IF(B20="","",F20-G20)</f>
        <v/>
      </c>
      <c r="I20" s="46">
        <f>IF(B20="","",H20*S_Ret)</f>
        <v/>
      </c>
      <c r="J20" s="41" t="n"/>
      <c r="K20" s="41" t="n"/>
      <c r="L20" s="46">
        <f>IF(B20="","",H20-I20-N(J20)-N(K20))</f>
        <v/>
      </c>
      <c r="M20" s="46">
        <f>IF(B20="","",L20*S_VAT)</f>
        <v/>
      </c>
      <c r="N20" s="46">
        <f>IF(B20="","",L20+M20)</f>
        <v/>
      </c>
      <c r="O20" s="40" t="n"/>
      <c r="P20" s="46">
        <f>IF(A20="","",SUMIFS('سندات القبض'!$K$5:$K$304,'سندات القبض'!$F$5:$F$304,A20))</f>
        <v/>
      </c>
      <c r="Q20" s="46">
        <f>IF(A20="","",N20-P20)</f>
        <v/>
      </c>
      <c r="R20" s="49">
        <f>IF(A20="","",IF(P20&gt;=N20-0.01,"محصّل بالكامل",IF(P20&gt;0,"محصّل جزئياً","غير محصّل")))</f>
        <v/>
      </c>
    </row>
    <row r="21">
      <c r="A21" s="39">
        <f>IF(B21="","","IPC-"&amp;TEXT(ROW()-4,"0000"))</f>
        <v/>
      </c>
      <c r="B21" s="50" t="n"/>
      <c r="C21" s="49">
        <f>IF(B21="","",IFERROR(INDEX('المشروعات'!$B$5:$B$304,MATCH(B21,'المشروعات'!$A$5:$A$304,0)),""))</f>
        <v/>
      </c>
      <c r="D21" s="47" t="n"/>
      <c r="E21" s="47" t="n"/>
      <c r="F21" s="41" t="n"/>
      <c r="G21" s="46">
        <f>IF(B21="","",SUMIFS($H$4:H20,$B$4:B20,B21))</f>
        <v/>
      </c>
      <c r="H21" s="46">
        <f>IF(B21="","",F21-G21)</f>
        <v/>
      </c>
      <c r="I21" s="46">
        <f>IF(B21="","",H21*S_Ret)</f>
        <v/>
      </c>
      <c r="J21" s="41" t="n"/>
      <c r="K21" s="41" t="n"/>
      <c r="L21" s="46">
        <f>IF(B21="","",H21-I21-N(J21)-N(K21))</f>
        <v/>
      </c>
      <c r="M21" s="46">
        <f>IF(B21="","",L21*S_VAT)</f>
        <v/>
      </c>
      <c r="N21" s="46">
        <f>IF(B21="","",L21+M21)</f>
        <v/>
      </c>
      <c r="O21" s="40" t="n"/>
      <c r="P21" s="46">
        <f>IF(A21="","",SUMIFS('سندات القبض'!$K$5:$K$304,'سندات القبض'!$F$5:$F$304,A21))</f>
        <v/>
      </c>
      <c r="Q21" s="46">
        <f>IF(A21="","",N21-P21)</f>
        <v/>
      </c>
      <c r="R21" s="49">
        <f>IF(A21="","",IF(P21&gt;=N21-0.01,"محصّل بالكامل",IF(P21&gt;0,"محصّل جزئياً","غير محصّل")))</f>
        <v/>
      </c>
    </row>
    <row r="22">
      <c r="A22" s="39">
        <f>IF(B22="","","IPC-"&amp;TEXT(ROW()-4,"0000"))</f>
        <v/>
      </c>
      <c r="B22" s="50" t="n"/>
      <c r="C22" s="49">
        <f>IF(B22="","",IFERROR(INDEX('المشروعات'!$B$5:$B$304,MATCH(B22,'المشروعات'!$A$5:$A$304,0)),""))</f>
        <v/>
      </c>
      <c r="D22" s="47" t="n"/>
      <c r="E22" s="47" t="n"/>
      <c r="F22" s="41" t="n"/>
      <c r="G22" s="46">
        <f>IF(B22="","",SUMIFS($H$4:H21,$B$4:B21,B22))</f>
        <v/>
      </c>
      <c r="H22" s="46">
        <f>IF(B22="","",F22-G22)</f>
        <v/>
      </c>
      <c r="I22" s="46">
        <f>IF(B22="","",H22*S_Ret)</f>
        <v/>
      </c>
      <c r="J22" s="41" t="n"/>
      <c r="K22" s="41" t="n"/>
      <c r="L22" s="46">
        <f>IF(B22="","",H22-I22-N(J22)-N(K22))</f>
        <v/>
      </c>
      <c r="M22" s="46">
        <f>IF(B22="","",L22*S_VAT)</f>
        <v/>
      </c>
      <c r="N22" s="46">
        <f>IF(B22="","",L22+M22)</f>
        <v/>
      </c>
      <c r="O22" s="40" t="n"/>
      <c r="P22" s="46">
        <f>IF(A22="","",SUMIFS('سندات القبض'!$K$5:$K$304,'سندات القبض'!$F$5:$F$304,A22))</f>
        <v/>
      </c>
      <c r="Q22" s="46">
        <f>IF(A22="","",N22-P22)</f>
        <v/>
      </c>
      <c r="R22" s="49">
        <f>IF(A22="","",IF(P22&gt;=N22-0.01,"محصّل بالكامل",IF(P22&gt;0,"محصّل جزئياً","غير محصّل")))</f>
        <v/>
      </c>
    </row>
    <row r="23">
      <c r="A23" s="39">
        <f>IF(B23="","","IPC-"&amp;TEXT(ROW()-4,"0000"))</f>
        <v/>
      </c>
      <c r="B23" s="50" t="n"/>
      <c r="C23" s="49">
        <f>IF(B23="","",IFERROR(INDEX('المشروعات'!$B$5:$B$304,MATCH(B23,'المشروعات'!$A$5:$A$304,0)),""))</f>
        <v/>
      </c>
      <c r="D23" s="47" t="n"/>
      <c r="E23" s="47" t="n"/>
      <c r="F23" s="41" t="n"/>
      <c r="G23" s="46">
        <f>IF(B23="","",SUMIFS($H$4:H22,$B$4:B22,B23))</f>
        <v/>
      </c>
      <c r="H23" s="46">
        <f>IF(B23="","",F23-G23)</f>
        <v/>
      </c>
      <c r="I23" s="46">
        <f>IF(B23="","",H23*S_Ret)</f>
        <v/>
      </c>
      <c r="J23" s="41" t="n"/>
      <c r="K23" s="41" t="n"/>
      <c r="L23" s="46">
        <f>IF(B23="","",H23-I23-N(J23)-N(K23))</f>
        <v/>
      </c>
      <c r="M23" s="46">
        <f>IF(B23="","",L23*S_VAT)</f>
        <v/>
      </c>
      <c r="N23" s="46">
        <f>IF(B23="","",L23+M23)</f>
        <v/>
      </c>
      <c r="O23" s="40" t="n"/>
      <c r="P23" s="46">
        <f>IF(A23="","",SUMIFS('سندات القبض'!$K$5:$K$304,'سندات القبض'!$F$5:$F$304,A23))</f>
        <v/>
      </c>
      <c r="Q23" s="46">
        <f>IF(A23="","",N23-P23)</f>
        <v/>
      </c>
      <c r="R23" s="49">
        <f>IF(A23="","",IF(P23&gt;=N23-0.01,"محصّل بالكامل",IF(P23&gt;0,"محصّل جزئياً","غير محصّل")))</f>
        <v/>
      </c>
    </row>
    <row r="24">
      <c r="A24" s="39">
        <f>IF(B24="","","IPC-"&amp;TEXT(ROW()-4,"0000"))</f>
        <v/>
      </c>
      <c r="B24" s="50" t="n"/>
      <c r="C24" s="49">
        <f>IF(B24="","",IFERROR(INDEX('المشروعات'!$B$5:$B$304,MATCH(B24,'المشروعات'!$A$5:$A$304,0)),""))</f>
        <v/>
      </c>
      <c r="D24" s="47" t="n"/>
      <c r="E24" s="47" t="n"/>
      <c r="F24" s="41" t="n"/>
      <c r="G24" s="46">
        <f>IF(B24="","",SUMIFS($H$4:H23,$B$4:B23,B24))</f>
        <v/>
      </c>
      <c r="H24" s="46">
        <f>IF(B24="","",F24-G24)</f>
        <v/>
      </c>
      <c r="I24" s="46">
        <f>IF(B24="","",H24*S_Ret)</f>
        <v/>
      </c>
      <c r="J24" s="41" t="n"/>
      <c r="K24" s="41" t="n"/>
      <c r="L24" s="46">
        <f>IF(B24="","",H24-I24-N(J24)-N(K24))</f>
        <v/>
      </c>
      <c r="M24" s="46">
        <f>IF(B24="","",L24*S_VAT)</f>
        <v/>
      </c>
      <c r="N24" s="46">
        <f>IF(B24="","",L24+M24)</f>
        <v/>
      </c>
      <c r="O24" s="40" t="n"/>
      <c r="P24" s="46">
        <f>IF(A24="","",SUMIFS('سندات القبض'!$K$5:$K$304,'سندات القبض'!$F$5:$F$304,A24))</f>
        <v/>
      </c>
      <c r="Q24" s="46">
        <f>IF(A24="","",N24-P24)</f>
        <v/>
      </c>
      <c r="R24" s="49">
        <f>IF(A24="","",IF(P24&gt;=N24-0.01,"محصّل بالكامل",IF(P24&gt;0,"محصّل جزئياً","غير محصّل")))</f>
        <v/>
      </c>
    </row>
    <row r="25">
      <c r="A25" s="39">
        <f>IF(B25="","","IPC-"&amp;TEXT(ROW()-4,"0000"))</f>
        <v/>
      </c>
      <c r="B25" s="50" t="n"/>
      <c r="C25" s="49">
        <f>IF(B25="","",IFERROR(INDEX('المشروعات'!$B$5:$B$304,MATCH(B25,'المشروعات'!$A$5:$A$304,0)),""))</f>
        <v/>
      </c>
      <c r="D25" s="47" t="n"/>
      <c r="E25" s="47" t="n"/>
      <c r="F25" s="41" t="n"/>
      <c r="G25" s="46">
        <f>IF(B25="","",SUMIFS($H$4:H24,$B$4:B24,B25))</f>
        <v/>
      </c>
      <c r="H25" s="46">
        <f>IF(B25="","",F25-G25)</f>
        <v/>
      </c>
      <c r="I25" s="46">
        <f>IF(B25="","",H25*S_Ret)</f>
        <v/>
      </c>
      <c r="J25" s="41" t="n"/>
      <c r="K25" s="41" t="n"/>
      <c r="L25" s="46">
        <f>IF(B25="","",H25-I25-N(J25)-N(K25))</f>
        <v/>
      </c>
      <c r="M25" s="46">
        <f>IF(B25="","",L25*S_VAT)</f>
        <v/>
      </c>
      <c r="N25" s="46">
        <f>IF(B25="","",L25+M25)</f>
        <v/>
      </c>
      <c r="O25" s="40" t="n"/>
      <c r="P25" s="46">
        <f>IF(A25="","",SUMIFS('سندات القبض'!$K$5:$K$304,'سندات القبض'!$F$5:$F$304,A25))</f>
        <v/>
      </c>
      <c r="Q25" s="46">
        <f>IF(A25="","",N25-P25)</f>
        <v/>
      </c>
      <c r="R25" s="49">
        <f>IF(A25="","",IF(P25&gt;=N25-0.01,"محصّل بالكامل",IF(P25&gt;0,"محصّل جزئياً","غير محصّل")))</f>
        <v/>
      </c>
    </row>
    <row r="26">
      <c r="A26" s="39">
        <f>IF(B26="","","IPC-"&amp;TEXT(ROW()-4,"0000"))</f>
        <v/>
      </c>
      <c r="B26" s="50" t="n"/>
      <c r="C26" s="49">
        <f>IF(B26="","",IFERROR(INDEX('المشروعات'!$B$5:$B$304,MATCH(B26,'المشروعات'!$A$5:$A$304,0)),""))</f>
        <v/>
      </c>
      <c r="D26" s="47" t="n"/>
      <c r="E26" s="47" t="n"/>
      <c r="F26" s="41" t="n"/>
      <c r="G26" s="46">
        <f>IF(B26="","",SUMIFS($H$4:H25,$B$4:B25,B26))</f>
        <v/>
      </c>
      <c r="H26" s="46">
        <f>IF(B26="","",F26-G26)</f>
        <v/>
      </c>
      <c r="I26" s="46">
        <f>IF(B26="","",H26*S_Ret)</f>
        <v/>
      </c>
      <c r="J26" s="41" t="n"/>
      <c r="K26" s="41" t="n"/>
      <c r="L26" s="46">
        <f>IF(B26="","",H26-I26-N(J26)-N(K26))</f>
        <v/>
      </c>
      <c r="M26" s="46">
        <f>IF(B26="","",L26*S_VAT)</f>
        <v/>
      </c>
      <c r="N26" s="46">
        <f>IF(B26="","",L26+M26)</f>
        <v/>
      </c>
      <c r="O26" s="40" t="n"/>
      <c r="P26" s="46">
        <f>IF(A26="","",SUMIFS('سندات القبض'!$K$5:$K$304,'سندات القبض'!$F$5:$F$304,A26))</f>
        <v/>
      </c>
      <c r="Q26" s="46">
        <f>IF(A26="","",N26-P26)</f>
        <v/>
      </c>
      <c r="R26" s="49">
        <f>IF(A26="","",IF(P26&gt;=N26-0.01,"محصّل بالكامل",IF(P26&gt;0,"محصّل جزئياً","غير محصّل")))</f>
        <v/>
      </c>
    </row>
    <row r="27">
      <c r="A27" s="39">
        <f>IF(B27="","","IPC-"&amp;TEXT(ROW()-4,"0000"))</f>
        <v/>
      </c>
      <c r="B27" s="50" t="n"/>
      <c r="C27" s="49">
        <f>IF(B27="","",IFERROR(INDEX('المشروعات'!$B$5:$B$304,MATCH(B27,'المشروعات'!$A$5:$A$304,0)),""))</f>
        <v/>
      </c>
      <c r="D27" s="47" t="n"/>
      <c r="E27" s="47" t="n"/>
      <c r="F27" s="41" t="n"/>
      <c r="G27" s="46">
        <f>IF(B27="","",SUMIFS($H$4:H26,$B$4:B26,B27))</f>
        <v/>
      </c>
      <c r="H27" s="46">
        <f>IF(B27="","",F27-G27)</f>
        <v/>
      </c>
      <c r="I27" s="46">
        <f>IF(B27="","",H27*S_Ret)</f>
        <v/>
      </c>
      <c r="J27" s="41" t="n"/>
      <c r="K27" s="41" t="n"/>
      <c r="L27" s="46">
        <f>IF(B27="","",H27-I27-N(J27)-N(K27))</f>
        <v/>
      </c>
      <c r="M27" s="46">
        <f>IF(B27="","",L27*S_VAT)</f>
        <v/>
      </c>
      <c r="N27" s="46">
        <f>IF(B27="","",L27+M27)</f>
        <v/>
      </c>
      <c r="O27" s="40" t="n"/>
      <c r="P27" s="46">
        <f>IF(A27="","",SUMIFS('سندات القبض'!$K$5:$K$304,'سندات القبض'!$F$5:$F$304,A27))</f>
        <v/>
      </c>
      <c r="Q27" s="46">
        <f>IF(A27="","",N27-P27)</f>
        <v/>
      </c>
      <c r="R27" s="49">
        <f>IF(A27="","",IF(P27&gt;=N27-0.01,"محصّل بالكامل",IF(P27&gt;0,"محصّل جزئياً","غير محصّل")))</f>
        <v/>
      </c>
    </row>
    <row r="28">
      <c r="A28" s="39">
        <f>IF(B28="","","IPC-"&amp;TEXT(ROW()-4,"0000"))</f>
        <v/>
      </c>
      <c r="B28" s="50" t="n"/>
      <c r="C28" s="49">
        <f>IF(B28="","",IFERROR(INDEX('المشروعات'!$B$5:$B$304,MATCH(B28,'المشروعات'!$A$5:$A$304,0)),""))</f>
        <v/>
      </c>
      <c r="D28" s="47" t="n"/>
      <c r="E28" s="47" t="n"/>
      <c r="F28" s="41" t="n"/>
      <c r="G28" s="46">
        <f>IF(B28="","",SUMIFS($H$4:H27,$B$4:B27,B28))</f>
        <v/>
      </c>
      <c r="H28" s="46">
        <f>IF(B28="","",F28-G28)</f>
        <v/>
      </c>
      <c r="I28" s="46">
        <f>IF(B28="","",H28*S_Ret)</f>
        <v/>
      </c>
      <c r="J28" s="41" t="n"/>
      <c r="K28" s="41" t="n"/>
      <c r="L28" s="46">
        <f>IF(B28="","",H28-I28-N(J28)-N(K28))</f>
        <v/>
      </c>
      <c r="M28" s="46">
        <f>IF(B28="","",L28*S_VAT)</f>
        <v/>
      </c>
      <c r="N28" s="46">
        <f>IF(B28="","",L28+M28)</f>
        <v/>
      </c>
      <c r="O28" s="40" t="n"/>
      <c r="P28" s="46">
        <f>IF(A28="","",SUMIFS('سندات القبض'!$K$5:$K$304,'سندات القبض'!$F$5:$F$304,A28))</f>
        <v/>
      </c>
      <c r="Q28" s="46">
        <f>IF(A28="","",N28-P28)</f>
        <v/>
      </c>
      <c r="R28" s="49">
        <f>IF(A28="","",IF(P28&gt;=N28-0.01,"محصّل بالكامل",IF(P28&gt;0,"محصّل جزئياً","غير محصّل")))</f>
        <v/>
      </c>
    </row>
    <row r="29">
      <c r="A29" s="39">
        <f>IF(B29="","","IPC-"&amp;TEXT(ROW()-4,"0000"))</f>
        <v/>
      </c>
      <c r="B29" s="50" t="n"/>
      <c r="C29" s="49">
        <f>IF(B29="","",IFERROR(INDEX('المشروعات'!$B$5:$B$304,MATCH(B29,'المشروعات'!$A$5:$A$304,0)),""))</f>
        <v/>
      </c>
      <c r="D29" s="47" t="n"/>
      <c r="E29" s="47" t="n"/>
      <c r="F29" s="41" t="n"/>
      <c r="G29" s="46">
        <f>IF(B29="","",SUMIFS($H$4:H28,$B$4:B28,B29))</f>
        <v/>
      </c>
      <c r="H29" s="46">
        <f>IF(B29="","",F29-G29)</f>
        <v/>
      </c>
      <c r="I29" s="46">
        <f>IF(B29="","",H29*S_Ret)</f>
        <v/>
      </c>
      <c r="J29" s="41" t="n"/>
      <c r="K29" s="41" t="n"/>
      <c r="L29" s="46">
        <f>IF(B29="","",H29-I29-N(J29)-N(K29))</f>
        <v/>
      </c>
      <c r="M29" s="46">
        <f>IF(B29="","",L29*S_VAT)</f>
        <v/>
      </c>
      <c r="N29" s="46">
        <f>IF(B29="","",L29+M29)</f>
        <v/>
      </c>
      <c r="O29" s="40" t="n"/>
      <c r="P29" s="46">
        <f>IF(A29="","",SUMIFS('سندات القبض'!$K$5:$K$304,'سندات القبض'!$F$5:$F$304,A29))</f>
        <v/>
      </c>
      <c r="Q29" s="46">
        <f>IF(A29="","",N29-P29)</f>
        <v/>
      </c>
      <c r="R29" s="49">
        <f>IF(A29="","",IF(P29&gt;=N29-0.01,"محصّل بالكامل",IF(P29&gt;0,"محصّل جزئياً","غير محصّل")))</f>
        <v/>
      </c>
    </row>
    <row r="30">
      <c r="A30" s="39">
        <f>IF(B30="","","IPC-"&amp;TEXT(ROW()-4,"0000"))</f>
        <v/>
      </c>
      <c r="B30" s="50" t="n"/>
      <c r="C30" s="49">
        <f>IF(B30="","",IFERROR(INDEX('المشروعات'!$B$5:$B$304,MATCH(B30,'المشروعات'!$A$5:$A$304,0)),""))</f>
        <v/>
      </c>
      <c r="D30" s="47" t="n"/>
      <c r="E30" s="47" t="n"/>
      <c r="F30" s="41" t="n"/>
      <c r="G30" s="46">
        <f>IF(B30="","",SUMIFS($H$4:H29,$B$4:B29,B30))</f>
        <v/>
      </c>
      <c r="H30" s="46">
        <f>IF(B30="","",F30-G30)</f>
        <v/>
      </c>
      <c r="I30" s="46">
        <f>IF(B30="","",H30*S_Ret)</f>
        <v/>
      </c>
      <c r="J30" s="41" t="n"/>
      <c r="K30" s="41" t="n"/>
      <c r="L30" s="46">
        <f>IF(B30="","",H30-I30-N(J30)-N(K30))</f>
        <v/>
      </c>
      <c r="M30" s="46">
        <f>IF(B30="","",L30*S_VAT)</f>
        <v/>
      </c>
      <c r="N30" s="46">
        <f>IF(B30="","",L30+M30)</f>
        <v/>
      </c>
      <c r="O30" s="40" t="n"/>
      <c r="P30" s="46">
        <f>IF(A30="","",SUMIFS('سندات القبض'!$K$5:$K$304,'سندات القبض'!$F$5:$F$304,A30))</f>
        <v/>
      </c>
      <c r="Q30" s="46">
        <f>IF(A30="","",N30-P30)</f>
        <v/>
      </c>
      <c r="R30" s="49">
        <f>IF(A30="","",IF(P30&gt;=N30-0.01,"محصّل بالكامل",IF(P30&gt;0,"محصّل جزئياً","غير محصّل")))</f>
        <v/>
      </c>
    </row>
    <row r="31">
      <c r="A31" s="39">
        <f>IF(B31="","","IPC-"&amp;TEXT(ROW()-4,"0000"))</f>
        <v/>
      </c>
      <c r="B31" s="50" t="n"/>
      <c r="C31" s="49">
        <f>IF(B31="","",IFERROR(INDEX('المشروعات'!$B$5:$B$304,MATCH(B31,'المشروعات'!$A$5:$A$304,0)),""))</f>
        <v/>
      </c>
      <c r="D31" s="47" t="n"/>
      <c r="E31" s="47" t="n"/>
      <c r="F31" s="41" t="n"/>
      <c r="G31" s="46">
        <f>IF(B31="","",SUMIFS($H$4:H30,$B$4:B30,B31))</f>
        <v/>
      </c>
      <c r="H31" s="46">
        <f>IF(B31="","",F31-G31)</f>
        <v/>
      </c>
      <c r="I31" s="46">
        <f>IF(B31="","",H31*S_Ret)</f>
        <v/>
      </c>
      <c r="J31" s="41" t="n"/>
      <c r="K31" s="41" t="n"/>
      <c r="L31" s="46">
        <f>IF(B31="","",H31-I31-N(J31)-N(K31))</f>
        <v/>
      </c>
      <c r="M31" s="46">
        <f>IF(B31="","",L31*S_VAT)</f>
        <v/>
      </c>
      <c r="N31" s="46">
        <f>IF(B31="","",L31+M31)</f>
        <v/>
      </c>
      <c r="O31" s="40" t="n"/>
      <c r="P31" s="46">
        <f>IF(A31="","",SUMIFS('سندات القبض'!$K$5:$K$304,'سندات القبض'!$F$5:$F$304,A31))</f>
        <v/>
      </c>
      <c r="Q31" s="46">
        <f>IF(A31="","",N31-P31)</f>
        <v/>
      </c>
      <c r="R31" s="49">
        <f>IF(A31="","",IF(P31&gt;=N31-0.01,"محصّل بالكامل",IF(P31&gt;0,"محصّل جزئياً","غير محصّل")))</f>
        <v/>
      </c>
    </row>
    <row r="32">
      <c r="A32" s="39">
        <f>IF(B32="","","IPC-"&amp;TEXT(ROW()-4,"0000"))</f>
        <v/>
      </c>
      <c r="B32" s="50" t="n"/>
      <c r="C32" s="49">
        <f>IF(B32="","",IFERROR(INDEX('المشروعات'!$B$5:$B$304,MATCH(B32,'المشروعات'!$A$5:$A$304,0)),""))</f>
        <v/>
      </c>
      <c r="D32" s="47" t="n"/>
      <c r="E32" s="47" t="n"/>
      <c r="F32" s="41" t="n"/>
      <c r="G32" s="46">
        <f>IF(B32="","",SUMIFS($H$4:H31,$B$4:B31,B32))</f>
        <v/>
      </c>
      <c r="H32" s="46">
        <f>IF(B32="","",F32-G32)</f>
        <v/>
      </c>
      <c r="I32" s="46">
        <f>IF(B32="","",H32*S_Ret)</f>
        <v/>
      </c>
      <c r="J32" s="41" t="n"/>
      <c r="K32" s="41" t="n"/>
      <c r="L32" s="46">
        <f>IF(B32="","",H32-I32-N(J32)-N(K32))</f>
        <v/>
      </c>
      <c r="M32" s="46">
        <f>IF(B32="","",L32*S_VAT)</f>
        <v/>
      </c>
      <c r="N32" s="46">
        <f>IF(B32="","",L32+M32)</f>
        <v/>
      </c>
      <c r="O32" s="40" t="n"/>
      <c r="P32" s="46">
        <f>IF(A32="","",SUMIFS('سندات القبض'!$K$5:$K$304,'سندات القبض'!$F$5:$F$304,A32))</f>
        <v/>
      </c>
      <c r="Q32" s="46">
        <f>IF(A32="","",N32-P32)</f>
        <v/>
      </c>
      <c r="R32" s="49">
        <f>IF(A32="","",IF(P32&gt;=N32-0.01,"محصّل بالكامل",IF(P32&gt;0,"محصّل جزئياً","غير محصّل")))</f>
        <v/>
      </c>
    </row>
    <row r="33">
      <c r="A33" s="39">
        <f>IF(B33="","","IPC-"&amp;TEXT(ROW()-4,"0000"))</f>
        <v/>
      </c>
      <c r="B33" s="50" t="n"/>
      <c r="C33" s="49">
        <f>IF(B33="","",IFERROR(INDEX('المشروعات'!$B$5:$B$304,MATCH(B33,'المشروعات'!$A$5:$A$304,0)),""))</f>
        <v/>
      </c>
      <c r="D33" s="47" t="n"/>
      <c r="E33" s="47" t="n"/>
      <c r="F33" s="41" t="n"/>
      <c r="G33" s="46">
        <f>IF(B33="","",SUMIFS($H$4:H32,$B$4:B32,B33))</f>
        <v/>
      </c>
      <c r="H33" s="46">
        <f>IF(B33="","",F33-G33)</f>
        <v/>
      </c>
      <c r="I33" s="46">
        <f>IF(B33="","",H33*S_Ret)</f>
        <v/>
      </c>
      <c r="J33" s="41" t="n"/>
      <c r="K33" s="41" t="n"/>
      <c r="L33" s="46">
        <f>IF(B33="","",H33-I33-N(J33)-N(K33))</f>
        <v/>
      </c>
      <c r="M33" s="46">
        <f>IF(B33="","",L33*S_VAT)</f>
        <v/>
      </c>
      <c r="N33" s="46">
        <f>IF(B33="","",L33+M33)</f>
        <v/>
      </c>
      <c r="O33" s="40" t="n"/>
      <c r="P33" s="46">
        <f>IF(A33="","",SUMIFS('سندات القبض'!$K$5:$K$304,'سندات القبض'!$F$5:$F$304,A33))</f>
        <v/>
      </c>
      <c r="Q33" s="46">
        <f>IF(A33="","",N33-P33)</f>
        <v/>
      </c>
      <c r="R33" s="49">
        <f>IF(A33="","",IF(P33&gt;=N33-0.01,"محصّل بالكامل",IF(P33&gt;0,"محصّل جزئياً","غير محصّل")))</f>
        <v/>
      </c>
    </row>
    <row r="34">
      <c r="A34" s="39">
        <f>IF(B34="","","IPC-"&amp;TEXT(ROW()-4,"0000"))</f>
        <v/>
      </c>
      <c r="B34" s="50" t="n"/>
      <c r="C34" s="49">
        <f>IF(B34="","",IFERROR(INDEX('المشروعات'!$B$5:$B$304,MATCH(B34,'المشروعات'!$A$5:$A$304,0)),""))</f>
        <v/>
      </c>
      <c r="D34" s="47" t="n"/>
      <c r="E34" s="47" t="n"/>
      <c r="F34" s="41" t="n"/>
      <c r="G34" s="46">
        <f>IF(B34="","",SUMIFS($H$4:H33,$B$4:B33,B34))</f>
        <v/>
      </c>
      <c r="H34" s="46">
        <f>IF(B34="","",F34-G34)</f>
        <v/>
      </c>
      <c r="I34" s="46">
        <f>IF(B34="","",H34*S_Ret)</f>
        <v/>
      </c>
      <c r="J34" s="41" t="n"/>
      <c r="K34" s="41" t="n"/>
      <c r="L34" s="46">
        <f>IF(B34="","",H34-I34-N(J34)-N(K34))</f>
        <v/>
      </c>
      <c r="M34" s="46">
        <f>IF(B34="","",L34*S_VAT)</f>
        <v/>
      </c>
      <c r="N34" s="46">
        <f>IF(B34="","",L34+M34)</f>
        <v/>
      </c>
      <c r="O34" s="40" t="n"/>
      <c r="P34" s="46">
        <f>IF(A34="","",SUMIFS('سندات القبض'!$K$5:$K$304,'سندات القبض'!$F$5:$F$304,A34))</f>
        <v/>
      </c>
      <c r="Q34" s="46">
        <f>IF(A34="","",N34-P34)</f>
        <v/>
      </c>
      <c r="R34" s="49">
        <f>IF(A34="","",IF(P34&gt;=N34-0.01,"محصّل بالكامل",IF(P34&gt;0,"محصّل جزئياً","غير محصّل")))</f>
        <v/>
      </c>
    </row>
    <row r="35">
      <c r="A35" s="39">
        <f>IF(B35="","","IPC-"&amp;TEXT(ROW()-4,"0000"))</f>
        <v/>
      </c>
      <c r="B35" s="50" t="n"/>
      <c r="C35" s="49">
        <f>IF(B35="","",IFERROR(INDEX('المشروعات'!$B$5:$B$304,MATCH(B35,'المشروعات'!$A$5:$A$304,0)),""))</f>
        <v/>
      </c>
      <c r="D35" s="47" t="n"/>
      <c r="E35" s="47" t="n"/>
      <c r="F35" s="41" t="n"/>
      <c r="G35" s="46">
        <f>IF(B35="","",SUMIFS($H$4:H34,$B$4:B34,B35))</f>
        <v/>
      </c>
      <c r="H35" s="46">
        <f>IF(B35="","",F35-G35)</f>
        <v/>
      </c>
      <c r="I35" s="46">
        <f>IF(B35="","",H35*S_Ret)</f>
        <v/>
      </c>
      <c r="J35" s="41" t="n"/>
      <c r="K35" s="41" t="n"/>
      <c r="L35" s="46">
        <f>IF(B35="","",H35-I35-N(J35)-N(K35))</f>
        <v/>
      </c>
      <c r="M35" s="46">
        <f>IF(B35="","",L35*S_VAT)</f>
        <v/>
      </c>
      <c r="N35" s="46">
        <f>IF(B35="","",L35+M35)</f>
        <v/>
      </c>
      <c r="O35" s="40" t="n"/>
      <c r="P35" s="46">
        <f>IF(A35="","",SUMIFS('سندات القبض'!$K$5:$K$304,'سندات القبض'!$F$5:$F$304,A35))</f>
        <v/>
      </c>
      <c r="Q35" s="46">
        <f>IF(A35="","",N35-P35)</f>
        <v/>
      </c>
      <c r="R35" s="49">
        <f>IF(A35="","",IF(P35&gt;=N35-0.01,"محصّل بالكامل",IF(P35&gt;0,"محصّل جزئياً","غير محصّل")))</f>
        <v/>
      </c>
    </row>
    <row r="36">
      <c r="A36" s="39">
        <f>IF(B36="","","IPC-"&amp;TEXT(ROW()-4,"0000"))</f>
        <v/>
      </c>
      <c r="B36" s="50" t="n"/>
      <c r="C36" s="49">
        <f>IF(B36="","",IFERROR(INDEX('المشروعات'!$B$5:$B$304,MATCH(B36,'المشروعات'!$A$5:$A$304,0)),""))</f>
        <v/>
      </c>
      <c r="D36" s="47" t="n"/>
      <c r="E36" s="47" t="n"/>
      <c r="F36" s="41" t="n"/>
      <c r="G36" s="46">
        <f>IF(B36="","",SUMIFS($H$4:H35,$B$4:B35,B36))</f>
        <v/>
      </c>
      <c r="H36" s="46">
        <f>IF(B36="","",F36-G36)</f>
        <v/>
      </c>
      <c r="I36" s="46">
        <f>IF(B36="","",H36*S_Ret)</f>
        <v/>
      </c>
      <c r="J36" s="41" t="n"/>
      <c r="K36" s="41" t="n"/>
      <c r="L36" s="46">
        <f>IF(B36="","",H36-I36-N(J36)-N(K36))</f>
        <v/>
      </c>
      <c r="M36" s="46">
        <f>IF(B36="","",L36*S_VAT)</f>
        <v/>
      </c>
      <c r="N36" s="46">
        <f>IF(B36="","",L36+M36)</f>
        <v/>
      </c>
      <c r="O36" s="40" t="n"/>
      <c r="P36" s="46">
        <f>IF(A36="","",SUMIFS('سندات القبض'!$K$5:$K$304,'سندات القبض'!$F$5:$F$304,A36))</f>
        <v/>
      </c>
      <c r="Q36" s="46">
        <f>IF(A36="","",N36-P36)</f>
        <v/>
      </c>
      <c r="R36" s="49">
        <f>IF(A36="","",IF(P36&gt;=N36-0.01,"محصّل بالكامل",IF(P36&gt;0,"محصّل جزئياً","غير محصّل")))</f>
        <v/>
      </c>
    </row>
    <row r="37">
      <c r="A37" s="39">
        <f>IF(B37="","","IPC-"&amp;TEXT(ROW()-4,"0000"))</f>
        <v/>
      </c>
      <c r="B37" s="50" t="n"/>
      <c r="C37" s="49">
        <f>IF(B37="","",IFERROR(INDEX('المشروعات'!$B$5:$B$304,MATCH(B37,'المشروعات'!$A$5:$A$304,0)),""))</f>
        <v/>
      </c>
      <c r="D37" s="47" t="n"/>
      <c r="E37" s="47" t="n"/>
      <c r="F37" s="41" t="n"/>
      <c r="G37" s="46">
        <f>IF(B37="","",SUMIFS($H$4:H36,$B$4:B36,B37))</f>
        <v/>
      </c>
      <c r="H37" s="46">
        <f>IF(B37="","",F37-G37)</f>
        <v/>
      </c>
      <c r="I37" s="46">
        <f>IF(B37="","",H37*S_Ret)</f>
        <v/>
      </c>
      <c r="J37" s="41" t="n"/>
      <c r="K37" s="41" t="n"/>
      <c r="L37" s="46">
        <f>IF(B37="","",H37-I37-N(J37)-N(K37))</f>
        <v/>
      </c>
      <c r="M37" s="46">
        <f>IF(B37="","",L37*S_VAT)</f>
        <v/>
      </c>
      <c r="N37" s="46">
        <f>IF(B37="","",L37+M37)</f>
        <v/>
      </c>
      <c r="O37" s="40" t="n"/>
      <c r="P37" s="46">
        <f>IF(A37="","",SUMIFS('سندات القبض'!$K$5:$K$304,'سندات القبض'!$F$5:$F$304,A37))</f>
        <v/>
      </c>
      <c r="Q37" s="46">
        <f>IF(A37="","",N37-P37)</f>
        <v/>
      </c>
      <c r="R37" s="49">
        <f>IF(A37="","",IF(P37&gt;=N37-0.01,"محصّل بالكامل",IF(P37&gt;0,"محصّل جزئياً","غير محصّل")))</f>
        <v/>
      </c>
    </row>
    <row r="38">
      <c r="A38" s="39">
        <f>IF(B38="","","IPC-"&amp;TEXT(ROW()-4,"0000"))</f>
        <v/>
      </c>
      <c r="B38" s="50" t="n"/>
      <c r="C38" s="49">
        <f>IF(B38="","",IFERROR(INDEX('المشروعات'!$B$5:$B$304,MATCH(B38,'المشروعات'!$A$5:$A$304,0)),""))</f>
        <v/>
      </c>
      <c r="D38" s="47" t="n"/>
      <c r="E38" s="47" t="n"/>
      <c r="F38" s="41" t="n"/>
      <c r="G38" s="46">
        <f>IF(B38="","",SUMIFS($H$4:H37,$B$4:B37,B38))</f>
        <v/>
      </c>
      <c r="H38" s="46">
        <f>IF(B38="","",F38-G38)</f>
        <v/>
      </c>
      <c r="I38" s="46">
        <f>IF(B38="","",H38*S_Ret)</f>
        <v/>
      </c>
      <c r="J38" s="41" t="n"/>
      <c r="K38" s="41" t="n"/>
      <c r="L38" s="46">
        <f>IF(B38="","",H38-I38-N(J38)-N(K38))</f>
        <v/>
      </c>
      <c r="M38" s="46">
        <f>IF(B38="","",L38*S_VAT)</f>
        <v/>
      </c>
      <c r="N38" s="46">
        <f>IF(B38="","",L38+M38)</f>
        <v/>
      </c>
      <c r="O38" s="40" t="n"/>
      <c r="P38" s="46">
        <f>IF(A38="","",SUMIFS('سندات القبض'!$K$5:$K$304,'سندات القبض'!$F$5:$F$304,A38))</f>
        <v/>
      </c>
      <c r="Q38" s="46">
        <f>IF(A38="","",N38-P38)</f>
        <v/>
      </c>
      <c r="R38" s="49">
        <f>IF(A38="","",IF(P38&gt;=N38-0.01,"محصّل بالكامل",IF(P38&gt;0,"محصّل جزئياً","غير محصّل")))</f>
        <v/>
      </c>
    </row>
    <row r="39">
      <c r="A39" s="39">
        <f>IF(B39="","","IPC-"&amp;TEXT(ROW()-4,"0000"))</f>
        <v/>
      </c>
      <c r="B39" s="50" t="n"/>
      <c r="C39" s="49">
        <f>IF(B39="","",IFERROR(INDEX('المشروعات'!$B$5:$B$304,MATCH(B39,'المشروعات'!$A$5:$A$304,0)),""))</f>
        <v/>
      </c>
      <c r="D39" s="47" t="n"/>
      <c r="E39" s="47" t="n"/>
      <c r="F39" s="41" t="n"/>
      <c r="G39" s="46">
        <f>IF(B39="","",SUMIFS($H$4:H38,$B$4:B38,B39))</f>
        <v/>
      </c>
      <c r="H39" s="46">
        <f>IF(B39="","",F39-G39)</f>
        <v/>
      </c>
      <c r="I39" s="46">
        <f>IF(B39="","",H39*S_Ret)</f>
        <v/>
      </c>
      <c r="J39" s="41" t="n"/>
      <c r="K39" s="41" t="n"/>
      <c r="L39" s="46">
        <f>IF(B39="","",H39-I39-N(J39)-N(K39))</f>
        <v/>
      </c>
      <c r="M39" s="46">
        <f>IF(B39="","",L39*S_VAT)</f>
        <v/>
      </c>
      <c r="N39" s="46">
        <f>IF(B39="","",L39+M39)</f>
        <v/>
      </c>
      <c r="O39" s="40" t="n"/>
      <c r="P39" s="46">
        <f>IF(A39="","",SUMIFS('سندات القبض'!$K$5:$K$304,'سندات القبض'!$F$5:$F$304,A39))</f>
        <v/>
      </c>
      <c r="Q39" s="46">
        <f>IF(A39="","",N39-P39)</f>
        <v/>
      </c>
      <c r="R39" s="49">
        <f>IF(A39="","",IF(P39&gt;=N39-0.01,"محصّل بالكامل",IF(P39&gt;0,"محصّل جزئياً","غير محصّل")))</f>
        <v/>
      </c>
    </row>
    <row r="40">
      <c r="A40" s="39">
        <f>IF(B40="","","IPC-"&amp;TEXT(ROW()-4,"0000"))</f>
        <v/>
      </c>
      <c r="B40" s="50" t="n"/>
      <c r="C40" s="49">
        <f>IF(B40="","",IFERROR(INDEX('المشروعات'!$B$5:$B$304,MATCH(B40,'المشروعات'!$A$5:$A$304,0)),""))</f>
        <v/>
      </c>
      <c r="D40" s="47" t="n"/>
      <c r="E40" s="47" t="n"/>
      <c r="F40" s="41" t="n"/>
      <c r="G40" s="46">
        <f>IF(B40="","",SUMIFS($H$4:H39,$B$4:B39,B40))</f>
        <v/>
      </c>
      <c r="H40" s="46">
        <f>IF(B40="","",F40-G40)</f>
        <v/>
      </c>
      <c r="I40" s="46">
        <f>IF(B40="","",H40*S_Ret)</f>
        <v/>
      </c>
      <c r="J40" s="41" t="n"/>
      <c r="K40" s="41" t="n"/>
      <c r="L40" s="46">
        <f>IF(B40="","",H40-I40-N(J40)-N(K40))</f>
        <v/>
      </c>
      <c r="M40" s="46">
        <f>IF(B40="","",L40*S_VAT)</f>
        <v/>
      </c>
      <c r="N40" s="46">
        <f>IF(B40="","",L40+M40)</f>
        <v/>
      </c>
      <c r="O40" s="40" t="n"/>
      <c r="P40" s="46">
        <f>IF(A40="","",SUMIFS('سندات القبض'!$K$5:$K$304,'سندات القبض'!$F$5:$F$304,A40))</f>
        <v/>
      </c>
      <c r="Q40" s="46">
        <f>IF(A40="","",N40-P40)</f>
        <v/>
      </c>
      <c r="R40" s="49">
        <f>IF(A40="","",IF(P40&gt;=N40-0.01,"محصّل بالكامل",IF(P40&gt;0,"محصّل جزئياً","غير محصّل")))</f>
        <v/>
      </c>
    </row>
    <row r="41">
      <c r="A41" s="39">
        <f>IF(B41="","","IPC-"&amp;TEXT(ROW()-4,"0000"))</f>
        <v/>
      </c>
      <c r="B41" s="50" t="n"/>
      <c r="C41" s="49">
        <f>IF(B41="","",IFERROR(INDEX('المشروعات'!$B$5:$B$304,MATCH(B41,'المشروعات'!$A$5:$A$304,0)),""))</f>
        <v/>
      </c>
      <c r="D41" s="47" t="n"/>
      <c r="E41" s="47" t="n"/>
      <c r="F41" s="41" t="n"/>
      <c r="G41" s="46">
        <f>IF(B41="","",SUMIFS($H$4:H40,$B$4:B40,B41))</f>
        <v/>
      </c>
      <c r="H41" s="46">
        <f>IF(B41="","",F41-G41)</f>
        <v/>
      </c>
      <c r="I41" s="46">
        <f>IF(B41="","",H41*S_Ret)</f>
        <v/>
      </c>
      <c r="J41" s="41" t="n"/>
      <c r="K41" s="41" t="n"/>
      <c r="L41" s="46">
        <f>IF(B41="","",H41-I41-N(J41)-N(K41))</f>
        <v/>
      </c>
      <c r="M41" s="46">
        <f>IF(B41="","",L41*S_VAT)</f>
        <v/>
      </c>
      <c r="N41" s="46">
        <f>IF(B41="","",L41+M41)</f>
        <v/>
      </c>
      <c r="O41" s="40" t="n"/>
      <c r="P41" s="46">
        <f>IF(A41="","",SUMIFS('سندات القبض'!$K$5:$K$304,'سندات القبض'!$F$5:$F$304,A41))</f>
        <v/>
      </c>
      <c r="Q41" s="46">
        <f>IF(A41="","",N41-P41)</f>
        <v/>
      </c>
      <c r="R41" s="49">
        <f>IF(A41="","",IF(P41&gt;=N41-0.01,"محصّل بالكامل",IF(P41&gt;0,"محصّل جزئياً","غير محصّل")))</f>
        <v/>
      </c>
    </row>
    <row r="42">
      <c r="A42" s="39">
        <f>IF(B42="","","IPC-"&amp;TEXT(ROW()-4,"0000"))</f>
        <v/>
      </c>
      <c r="B42" s="50" t="n"/>
      <c r="C42" s="49">
        <f>IF(B42="","",IFERROR(INDEX('المشروعات'!$B$5:$B$304,MATCH(B42,'المشروعات'!$A$5:$A$304,0)),""))</f>
        <v/>
      </c>
      <c r="D42" s="47" t="n"/>
      <c r="E42" s="47" t="n"/>
      <c r="F42" s="41" t="n"/>
      <c r="G42" s="46">
        <f>IF(B42="","",SUMIFS($H$4:H41,$B$4:B41,B42))</f>
        <v/>
      </c>
      <c r="H42" s="46">
        <f>IF(B42="","",F42-G42)</f>
        <v/>
      </c>
      <c r="I42" s="46">
        <f>IF(B42="","",H42*S_Ret)</f>
        <v/>
      </c>
      <c r="J42" s="41" t="n"/>
      <c r="K42" s="41" t="n"/>
      <c r="L42" s="46">
        <f>IF(B42="","",H42-I42-N(J42)-N(K42))</f>
        <v/>
      </c>
      <c r="M42" s="46">
        <f>IF(B42="","",L42*S_VAT)</f>
        <v/>
      </c>
      <c r="N42" s="46">
        <f>IF(B42="","",L42+M42)</f>
        <v/>
      </c>
      <c r="O42" s="40" t="n"/>
      <c r="P42" s="46">
        <f>IF(A42="","",SUMIFS('سندات القبض'!$K$5:$K$304,'سندات القبض'!$F$5:$F$304,A42))</f>
        <v/>
      </c>
      <c r="Q42" s="46">
        <f>IF(A42="","",N42-P42)</f>
        <v/>
      </c>
      <c r="R42" s="49">
        <f>IF(A42="","",IF(P42&gt;=N42-0.01,"محصّل بالكامل",IF(P42&gt;0,"محصّل جزئياً","غير محصّل")))</f>
        <v/>
      </c>
    </row>
    <row r="43">
      <c r="A43" s="39">
        <f>IF(B43="","","IPC-"&amp;TEXT(ROW()-4,"0000"))</f>
        <v/>
      </c>
      <c r="B43" s="50" t="n"/>
      <c r="C43" s="49">
        <f>IF(B43="","",IFERROR(INDEX('المشروعات'!$B$5:$B$304,MATCH(B43,'المشروعات'!$A$5:$A$304,0)),""))</f>
        <v/>
      </c>
      <c r="D43" s="47" t="n"/>
      <c r="E43" s="47" t="n"/>
      <c r="F43" s="41" t="n"/>
      <c r="G43" s="46">
        <f>IF(B43="","",SUMIFS($H$4:H42,$B$4:B42,B43))</f>
        <v/>
      </c>
      <c r="H43" s="46">
        <f>IF(B43="","",F43-G43)</f>
        <v/>
      </c>
      <c r="I43" s="46">
        <f>IF(B43="","",H43*S_Ret)</f>
        <v/>
      </c>
      <c r="J43" s="41" t="n"/>
      <c r="K43" s="41" t="n"/>
      <c r="L43" s="46">
        <f>IF(B43="","",H43-I43-N(J43)-N(K43))</f>
        <v/>
      </c>
      <c r="M43" s="46">
        <f>IF(B43="","",L43*S_VAT)</f>
        <v/>
      </c>
      <c r="N43" s="46">
        <f>IF(B43="","",L43+M43)</f>
        <v/>
      </c>
      <c r="O43" s="40" t="n"/>
      <c r="P43" s="46">
        <f>IF(A43="","",SUMIFS('سندات القبض'!$K$5:$K$304,'سندات القبض'!$F$5:$F$304,A43))</f>
        <v/>
      </c>
      <c r="Q43" s="46">
        <f>IF(A43="","",N43-P43)</f>
        <v/>
      </c>
      <c r="R43" s="49">
        <f>IF(A43="","",IF(P43&gt;=N43-0.01,"محصّل بالكامل",IF(P43&gt;0,"محصّل جزئياً","غير محصّل")))</f>
        <v/>
      </c>
    </row>
    <row r="44">
      <c r="A44" s="39">
        <f>IF(B44="","","IPC-"&amp;TEXT(ROW()-4,"0000"))</f>
        <v/>
      </c>
      <c r="B44" s="50" t="n"/>
      <c r="C44" s="49">
        <f>IF(B44="","",IFERROR(INDEX('المشروعات'!$B$5:$B$304,MATCH(B44,'المشروعات'!$A$5:$A$304,0)),""))</f>
        <v/>
      </c>
      <c r="D44" s="47" t="n"/>
      <c r="E44" s="47" t="n"/>
      <c r="F44" s="41" t="n"/>
      <c r="G44" s="46">
        <f>IF(B44="","",SUMIFS($H$4:H43,$B$4:B43,B44))</f>
        <v/>
      </c>
      <c r="H44" s="46">
        <f>IF(B44="","",F44-G44)</f>
        <v/>
      </c>
      <c r="I44" s="46">
        <f>IF(B44="","",H44*S_Ret)</f>
        <v/>
      </c>
      <c r="J44" s="41" t="n"/>
      <c r="K44" s="41" t="n"/>
      <c r="L44" s="46">
        <f>IF(B44="","",H44-I44-N(J44)-N(K44))</f>
        <v/>
      </c>
      <c r="M44" s="46">
        <f>IF(B44="","",L44*S_VAT)</f>
        <v/>
      </c>
      <c r="N44" s="46">
        <f>IF(B44="","",L44+M44)</f>
        <v/>
      </c>
      <c r="O44" s="40" t="n"/>
      <c r="P44" s="46">
        <f>IF(A44="","",SUMIFS('سندات القبض'!$K$5:$K$304,'سندات القبض'!$F$5:$F$304,A44))</f>
        <v/>
      </c>
      <c r="Q44" s="46">
        <f>IF(A44="","",N44-P44)</f>
        <v/>
      </c>
      <c r="R44" s="49">
        <f>IF(A44="","",IF(P44&gt;=N44-0.01,"محصّل بالكامل",IF(P44&gt;0,"محصّل جزئياً","غير محصّل")))</f>
        <v/>
      </c>
    </row>
    <row r="45">
      <c r="A45" s="39">
        <f>IF(B45="","","IPC-"&amp;TEXT(ROW()-4,"0000"))</f>
        <v/>
      </c>
      <c r="B45" s="50" t="n"/>
      <c r="C45" s="49">
        <f>IF(B45="","",IFERROR(INDEX('المشروعات'!$B$5:$B$304,MATCH(B45,'المشروعات'!$A$5:$A$304,0)),""))</f>
        <v/>
      </c>
      <c r="D45" s="47" t="n"/>
      <c r="E45" s="47" t="n"/>
      <c r="F45" s="41" t="n"/>
      <c r="G45" s="46">
        <f>IF(B45="","",SUMIFS($H$4:H44,$B$4:B44,B45))</f>
        <v/>
      </c>
      <c r="H45" s="46">
        <f>IF(B45="","",F45-G45)</f>
        <v/>
      </c>
      <c r="I45" s="46">
        <f>IF(B45="","",H45*S_Ret)</f>
        <v/>
      </c>
      <c r="J45" s="41" t="n"/>
      <c r="K45" s="41" t="n"/>
      <c r="L45" s="46">
        <f>IF(B45="","",H45-I45-N(J45)-N(K45))</f>
        <v/>
      </c>
      <c r="M45" s="46">
        <f>IF(B45="","",L45*S_VAT)</f>
        <v/>
      </c>
      <c r="N45" s="46">
        <f>IF(B45="","",L45+M45)</f>
        <v/>
      </c>
      <c r="O45" s="40" t="n"/>
      <c r="P45" s="46">
        <f>IF(A45="","",SUMIFS('سندات القبض'!$K$5:$K$304,'سندات القبض'!$F$5:$F$304,A45))</f>
        <v/>
      </c>
      <c r="Q45" s="46">
        <f>IF(A45="","",N45-P45)</f>
        <v/>
      </c>
      <c r="R45" s="49">
        <f>IF(A45="","",IF(P45&gt;=N45-0.01,"محصّل بالكامل",IF(P45&gt;0,"محصّل جزئياً","غير محصّل")))</f>
        <v/>
      </c>
    </row>
    <row r="46">
      <c r="A46" s="39">
        <f>IF(B46="","","IPC-"&amp;TEXT(ROW()-4,"0000"))</f>
        <v/>
      </c>
      <c r="B46" s="50" t="n"/>
      <c r="C46" s="49">
        <f>IF(B46="","",IFERROR(INDEX('المشروعات'!$B$5:$B$304,MATCH(B46,'المشروعات'!$A$5:$A$304,0)),""))</f>
        <v/>
      </c>
      <c r="D46" s="47" t="n"/>
      <c r="E46" s="47" t="n"/>
      <c r="F46" s="41" t="n"/>
      <c r="G46" s="46">
        <f>IF(B46="","",SUMIFS($H$4:H45,$B$4:B45,B46))</f>
        <v/>
      </c>
      <c r="H46" s="46">
        <f>IF(B46="","",F46-G46)</f>
        <v/>
      </c>
      <c r="I46" s="46">
        <f>IF(B46="","",H46*S_Ret)</f>
        <v/>
      </c>
      <c r="J46" s="41" t="n"/>
      <c r="K46" s="41" t="n"/>
      <c r="L46" s="46">
        <f>IF(B46="","",H46-I46-N(J46)-N(K46))</f>
        <v/>
      </c>
      <c r="M46" s="46">
        <f>IF(B46="","",L46*S_VAT)</f>
        <v/>
      </c>
      <c r="N46" s="46">
        <f>IF(B46="","",L46+M46)</f>
        <v/>
      </c>
      <c r="O46" s="40" t="n"/>
      <c r="P46" s="46">
        <f>IF(A46="","",SUMIFS('سندات القبض'!$K$5:$K$304,'سندات القبض'!$F$5:$F$304,A46))</f>
        <v/>
      </c>
      <c r="Q46" s="46">
        <f>IF(A46="","",N46-P46)</f>
        <v/>
      </c>
      <c r="R46" s="49">
        <f>IF(A46="","",IF(P46&gt;=N46-0.01,"محصّل بالكامل",IF(P46&gt;0,"محصّل جزئياً","غير محصّل")))</f>
        <v/>
      </c>
    </row>
    <row r="47">
      <c r="A47" s="39">
        <f>IF(B47="","","IPC-"&amp;TEXT(ROW()-4,"0000"))</f>
        <v/>
      </c>
      <c r="B47" s="50" t="n"/>
      <c r="C47" s="49">
        <f>IF(B47="","",IFERROR(INDEX('المشروعات'!$B$5:$B$304,MATCH(B47,'المشروعات'!$A$5:$A$304,0)),""))</f>
        <v/>
      </c>
      <c r="D47" s="47" t="n"/>
      <c r="E47" s="47" t="n"/>
      <c r="F47" s="41" t="n"/>
      <c r="G47" s="46">
        <f>IF(B47="","",SUMIFS($H$4:H46,$B$4:B46,B47))</f>
        <v/>
      </c>
      <c r="H47" s="46">
        <f>IF(B47="","",F47-G47)</f>
        <v/>
      </c>
      <c r="I47" s="46">
        <f>IF(B47="","",H47*S_Ret)</f>
        <v/>
      </c>
      <c r="J47" s="41" t="n"/>
      <c r="K47" s="41" t="n"/>
      <c r="L47" s="46">
        <f>IF(B47="","",H47-I47-N(J47)-N(K47))</f>
        <v/>
      </c>
      <c r="M47" s="46">
        <f>IF(B47="","",L47*S_VAT)</f>
        <v/>
      </c>
      <c r="N47" s="46">
        <f>IF(B47="","",L47+M47)</f>
        <v/>
      </c>
      <c r="O47" s="40" t="n"/>
      <c r="P47" s="46">
        <f>IF(A47="","",SUMIFS('سندات القبض'!$K$5:$K$304,'سندات القبض'!$F$5:$F$304,A47))</f>
        <v/>
      </c>
      <c r="Q47" s="46">
        <f>IF(A47="","",N47-P47)</f>
        <v/>
      </c>
      <c r="R47" s="49">
        <f>IF(A47="","",IF(P47&gt;=N47-0.01,"محصّل بالكامل",IF(P47&gt;0,"محصّل جزئياً","غير محصّل")))</f>
        <v/>
      </c>
    </row>
    <row r="48">
      <c r="A48" s="39">
        <f>IF(B48="","","IPC-"&amp;TEXT(ROW()-4,"0000"))</f>
        <v/>
      </c>
      <c r="B48" s="50" t="n"/>
      <c r="C48" s="49">
        <f>IF(B48="","",IFERROR(INDEX('المشروعات'!$B$5:$B$304,MATCH(B48,'المشروعات'!$A$5:$A$304,0)),""))</f>
        <v/>
      </c>
      <c r="D48" s="47" t="n"/>
      <c r="E48" s="47" t="n"/>
      <c r="F48" s="41" t="n"/>
      <c r="G48" s="46">
        <f>IF(B48="","",SUMIFS($H$4:H47,$B$4:B47,B48))</f>
        <v/>
      </c>
      <c r="H48" s="46">
        <f>IF(B48="","",F48-G48)</f>
        <v/>
      </c>
      <c r="I48" s="46">
        <f>IF(B48="","",H48*S_Ret)</f>
        <v/>
      </c>
      <c r="J48" s="41" t="n"/>
      <c r="K48" s="41" t="n"/>
      <c r="L48" s="46">
        <f>IF(B48="","",H48-I48-N(J48)-N(K48))</f>
        <v/>
      </c>
      <c r="M48" s="46">
        <f>IF(B48="","",L48*S_VAT)</f>
        <v/>
      </c>
      <c r="N48" s="46">
        <f>IF(B48="","",L48+M48)</f>
        <v/>
      </c>
      <c r="O48" s="40" t="n"/>
      <c r="P48" s="46">
        <f>IF(A48="","",SUMIFS('سندات القبض'!$K$5:$K$304,'سندات القبض'!$F$5:$F$304,A48))</f>
        <v/>
      </c>
      <c r="Q48" s="46">
        <f>IF(A48="","",N48-P48)</f>
        <v/>
      </c>
      <c r="R48" s="49">
        <f>IF(A48="","",IF(P48&gt;=N48-0.01,"محصّل بالكامل",IF(P48&gt;0,"محصّل جزئياً","غير محصّل")))</f>
        <v/>
      </c>
    </row>
    <row r="49">
      <c r="A49" s="39">
        <f>IF(B49="","","IPC-"&amp;TEXT(ROW()-4,"0000"))</f>
        <v/>
      </c>
      <c r="B49" s="50" t="n"/>
      <c r="C49" s="49">
        <f>IF(B49="","",IFERROR(INDEX('المشروعات'!$B$5:$B$304,MATCH(B49,'المشروعات'!$A$5:$A$304,0)),""))</f>
        <v/>
      </c>
      <c r="D49" s="47" t="n"/>
      <c r="E49" s="47" t="n"/>
      <c r="F49" s="41" t="n"/>
      <c r="G49" s="46">
        <f>IF(B49="","",SUMIFS($H$4:H48,$B$4:B48,B49))</f>
        <v/>
      </c>
      <c r="H49" s="46">
        <f>IF(B49="","",F49-G49)</f>
        <v/>
      </c>
      <c r="I49" s="46">
        <f>IF(B49="","",H49*S_Ret)</f>
        <v/>
      </c>
      <c r="J49" s="41" t="n"/>
      <c r="K49" s="41" t="n"/>
      <c r="L49" s="46">
        <f>IF(B49="","",H49-I49-N(J49)-N(K49))</f>
        <v/>
      </c>
      <c r="M49" s="46">
        <f>IF(B49="","",L49*S_VAT)</f>
        <v/>
      </c>
      <c r="N49" s="46">
        <f>IF(B49="","",L49+M49)</f>
        <v/>
      </c>
      <c r="O49" s="40" t="n"/>
      <c r="P49" s="46">
        <f>IF(A49="","",SUMIFS('سندات القبض'!$K$5:$K$304,'سندات القبض'!$F$5:$F$304,A49))</f>
        <v/>
      </c>
      <c r="Q49" s="46">
        <f>IF(A49="","",N49-P49)</f>
        <v/>
      </c>
      <c r="R49" s="49">
        <f>IF(A49="","",IF(P49&gt;=N49-0.01,"محصّل بالكامل",IF(P49&gt;0,"محصّل جزئياً","غير محصّل")))</f>
        <v/>
      </c>
    </row>
    <row r="50">
      <c r="A50" s="39">
        <f>IF(B50="","","IPC-"&amp;TEXT(ROW()-4,"0000"))</f>
        <v/>
      </c>
      <c r="B50" s="50" t="n"/>
      <c r="C50" s="49">
        <f>IF(B50="","",IFERROR(INDEX('المشروعات'!$B$5:$B$304,MATCH(B50,'المشروعات'!$A$5:$A$304,0)),""))</f>
        <v/>
      </c>
      <c r="D50" s="47" t="n"/>
      <c r="E50" s="47" t="n"/>
      <c r="F50" s="41" t="n"/>
      <c r="G50" s="46">
        <f>IF(B50="","",SUMIFS($H$4:H49,$B$4:B49,B50))</f>
        <v/>
      </c>
      <c r="H50" s="46">
        <f>IF(B50="","",F50-G50)</f>
        <v/>
      </c>
      <c r="I50" s="46">
        <f>IF(B50="","",H50*S_Ret)</f>
        <v/>
      </c>
      <c r="J50" s="41" t="n"/>
      <c r="K50" s="41" t="n"/>
      <c r="L50" s="46">
        <f>IF(B50="","",H50-I50-N(J50)-N(K50))</f>
        <v/>
      </c>
      <c r="M50" s="46">
        <f>IF(B50="","",L50*S_VAT)</f>
        <v/>
      </c>
      <c r="N50" s="46">
        <f>IF(B50="","",L50+M50)</f>
        <v/>
      </c>
      <c r="O50" s="40" t="n"/>
      <c r="P50" s="46">
        <f>IF(A50="","",SUMIFS('سندات القبض'!$K$5:$K$304,'سندات القبض'!$F$5:$F$304,A50))</f>
        <v/>
      </c>
      <c r="Q50" s="46">
        <f>IF(A50="","",N50-P50)</f>
        <v/>
      </c>
      <c r="R50" s="49">
        <f>IF(A50="","",IF(P50&gt;=N50-0.01,"محصّل بالكامل",IF(P50&gt;0,"محصّل جزئياً","غير محصّل")))</f>
        <v/>
      </c>
    </row>
    <row r="51">
      <c r="A51" s="39">
        <f>IF(B51="","","IPC-"&amp;TEXT(ROW()-4,"0000"))</f>
        <v/>
      </c>
      <c r="B51" s="50" t="n"/>
      <c r="C51" s="49">
        <f>IF(B51="","",IFERROR(INDEX('المشروعات'!$B$5:$B$304,MATCH(B51,'المشروعات'!$A$5:$A$304,0)),""))</f>
        <v/>
      </c>
      <c r="D51" s="47" t="n"/>
      <c r="E51" s="47" t="n"/>
      <c r="F51" s="41" t="n"/>
      <c r="G51" s="46">
        <f>IF(B51="","",SUMIFS($H$4:H50,$B$4:B50,B51))</f>
        <v/>
      </c>
      <c r="H51" s="46">
        <f>IF(B51="","",F51-G51)</f>
        <v/>
      </c>
      <c r="I51" s="46">
        <f>IF(B51="","",H51*S_Ret)</f>
        <v/>
      </c>
      <c r="J51" s="41" t="n"/>
      <c r="K51" s="41" t="n"/>
      <c r="L51" s="46">
        <f>IF(B51="","",H51-I51-N(J51)-N(K51))</f>
        <v/>
      </c>
      <c r="M51" s="46">
        <f>IF(B51="","",L51*S_VAT)</f>
        <v/>
      </c>
      <c r="N51" s="46">
        <f>IF(B51="","",L51+M51)</f>
        <v/>
      </c>
      <c r="O51" s="40" t="n"/>
      <c r="P51" s="46">
        <f>IF(A51="","",SUMIFS('سندات القبض'!$K$5:$K$304,'سندات القبض'!$F$5:$F$304,A51))</f>
        <v/>
      </c>
      <c r="Q51" s="46">
        <f>IF(A51="","",N51-P51)</f>
        <v/>
      </c>
      <c r="R51" s="49">
        <f>IF(A51="","",IF(P51&gt;=N51-0.01,"محصّل بالكامل",IF(P51&gt;0,"محصّل جزئياً","غير محصّل")))</f>
        <v/>
      </c>
    </row>
    <row r="52">
      <c r="A52" s="39">
        <f>IF(B52="","","IPC-"&amp;TEXT(ROW()-4,"0000"))</f>
        <v/>
      </c>
      <c r="B52" s="50" t="n"/>
      <c r="C52" s="49">
        <f>IF(B52="","",IFERROR(INDEX('المشروعات'!$B$5:$B$304,MATCH(B52,'المشروعات'!$A$5:$A$304,0)),""))</f>
        <v/>
      </c>
      <c r="D52" s="47" t="n"/>
      <c r="E52" s="47" t="n"/>
      <c r="F52" s="41" t="n"/>
      <c r="G52" s="46">
        <f>IF(B52="","",SUMIFS($H$4:H51,$B$4:B51,B52))</f>
        <v/>
      </c>
      <c r="H52" s="46">
        <f>IF(B52="","",F52-G52)</f>
        <v/>
      </c>
      <c r="I52" s="46">
        <f>IF(B52="","",H52*S_Ret)</f>
        <v/>
      </c>
      <c r="J52" s="41" t="n"/>
      <c r="K52" s="41" t="n"/>
      <c r="L52" s="46">
        <f>IF(B52="","",H52-I52-N(J52)-N(K52))</f>
        <v/>
      </c>
      <c r="M52" s="46">
        <f>IF(B52="","",L52*S_VAT)</f>
        <v/>
      </c>
      <c r="N52" s="46">
        <f>IF(B52="","",L52+M52)</f>
        <v/>
      </c>
      <c r="O52" s="40" t="n"/>
      <c r="P52" s="46">
        <f>IF(A52="","",SUMIFS('سندات القبض'!$K$5:$K$304,'سندات القبض'!$F$5:$F$304,A52))</f>
        <v/>
      </c>
      <c r="Q52" s="46">
        <f>IF(A52="","",N52-P52)</f>
        <v/>
      </c>
      <c r="R52" s="49">
        <f>IF(A52="","",IF(P52&gt;=N52-0.01,"محصّل بالكامل",IF(P52&gt;0,"محصّل جزئياً","غير محصّل")))</f>
        <v/>
      </c>
    </row>
    <row r="53">
      <c r="A53" s="39">
        <f>IF(B53="","","IPC-"&amp;TEXT(ROW()-4,"0000"))</f>
        <v/>
      </c>
      <c r="B53" s="50" t="n"/>
      <c r="C53" s="49">
        <f>IF(B53="","",IFERROR(INDEX('المشروعات'!$B$5:$B$304,MATCH(B53,'المشروعات'!$A$5:$A$304,0)),""))</f>
        <v/>
      </c>
      <c r="D53" s="47" t="n"/>
      <c r="E53" s="47" t="n"/>
      <c r="F53" s="41" t="n"/>
      <c r="G53" s="46">
        <f>IF(B53="","",SUMIFS($H$4:H52,$B$4:B52,B53))</f>
        <v/>
      </c>
      <c r="H53" s="46">
        <f>IF(B53="","",F53-G53)</f>
        <v/>
      </c>
      <c r="I53" s="46">
        <f>IF(B53="","",H53*S_Ret)</f>
        <v/>
      </c>
      <c r="J53" s="41" t="n"/>
      <c r="K53" s="41" t="n"/>
      <c r="L53" s="46">
        <f>IF(B53="","",H53-I53-N(J53)-N(K53))</f>
        <v/>
      </c>
      <c r="M53" s="46">
        <f>IF(B53="","",L53*S_VAT)</f>
        <v/>
      </c>
      <c r="N53" s="46">
        <f>IF(B53="","",L53+M53)</f>
        <v/>
      </c>
      <c r="O53" s="40" t="n"/>
      <c r="P53" s="46">
        <f>IF(A53="","",SUMIFS('سندات القبض'!$K$5:$K$304,'سندات القبض'!$F$5:$F$304,A53))</f>
        <v/>
      </c>
      <c r="Q53" s="46">
        <f>IF(A53="","",N53-P53)</f>
        <v/>
      </c>
      <c r="R53" s="49">
        <f>IF(A53="","",IF(P53&gt;=N53-0.01,"محصّل بالكامل",IF(P53&gt;0,"محصّل جزئياً","غير محصّل")))</f>
        <v/>
      </c>
    </row>
    <row r="54">
      <c r="A54" s="39">
        <f>IF(B54="","","IPC-"&amp;TEXT(ROW()-4,"0000"))</f>
        <v/>
      </c>
      <c r="B54" s="50" t="n"/>
      <c r="C54" s="49">
        <f>IF(B54="","",IFERROR(INDEX('المشروعات'!$B$5:$B$304,MATCH(B54,'المشروعات'!$A$5:$A$304,0)),""))</f>
        <v/>
      </c>
      <c r="D54" s="47" t="n"/>
      <c r="E54" s="47" t="n"/>
      <c r="F54" s="41" t="n"/>
      <c r="G54" s="46">
        <f>IF(B54="","",SUMIFS($H$4:H53,$B$4:B53,B54))</f>
        <v/>
      </c>
      <c r="H54" s="46">
        <f>IF(B54="","",F54-G54)</f>
        <v/>
      </c>
      <c r="I54" s="46">
        <f>IF(B54="","",H54*S_Ret)</f>
        <v/>
      </c>
      <c r="J54" s="41" t="n"/>
      <c r="K54" s="41" t="n"/>
      <c r="L54" s="46">
        <f>IF(B54="","",H54-I54-N(J54)-N(K54))</f>
        <v/>
      </c>
      <c r="M54" s="46">
        <f>IF(B54="","",L54*S_VAT)</f>
        <v/>
      </c>
      <c r="N54" s="46">
        <f>IF(B54="","",L54+M54)</f>
        <v/>
      </c>
      <c r="O54" s="40" t="n"/>
      <c r="P54" s="46">
        <f>IF(A54="","",SUMIFS('سندات القبض'!$K$5:$K$304,'سندات القبض'!$F$5:$F$304,A54))</f>
        <v/>
      </c>
      <c r="Q54" s="46">
        <f>IF(A54="","",N54-P54)</f>
        <v/>
      </c>
      <c r="R54" s="49">
        <f>IF(A54="","",IF(P54&gt;=N54-0.01,"محصّل بالكامل",IF(P54&gt;0,"محصّل جزئياً","غير محصّل")))</f>
        <v/>
      </c>
    </row>
    <row r="55">
      <c r="A55" s="39">
        <f>IF(B55="","","IPC-"&amp;TEXT(ROW()-4,"0000"))</f>
        <v/>
      </c>
      <c r="B55" s="50" t="n"/>
      <c r="C55" s="49">
        <f>IF(B55="","",IFERROR(INDEX('المشروعات'!$B$5:$B$304,MATCH(B55,'المشروعات'!$A$5:$A$304,0)),""))</f>
        <v/>
      </c>
      <c r="D55" s="47" t="n"/>
      <c r="E55" s="47" t="n"/>
      <c r="F55" s="41" t="n"/>
      <c r="G55" s="46">
        <f>IF(B55="","",SUMIFS($H$4:H54,$B$4:B54,B55))</f>
        <v/>
      </c>
      <c r="H55" s="46">
        <f>IF(B55="","",F55-G55)</f>
        <v/>
      </c>
      <c r="I55" s="46">
        <f>IF(B55="","",H55*S_Ret)</f>
        <v/>
      </c>
      <c r="J55" s="41" t="n"/>
      <c r="K55" s="41" t="n"/>
      <c r="L55" s="46">
        <f>IF(B55="","",H55-I55-N(J55)-N(K55))</f>
        <v/>
      </c>
      <c r="M55" s="46">
        <f>IF(B55="","",L55*S_VAT)</f>
        <v/>
      </c>
      <c r="N55" s="46">
        <f>IF(B55="","",L55+M55)</f>
        <v/>
      </c>
      <c r="O55" s="40" t="n"/>
      <c r="P55" s="46">
        <f>IF(A55="","",SUMIFS('سندات القبض'!$K$5:$K$304,'سندات القبض'!$F$5:$F$304,A55))</f>
        <v/>
      </c>
      <c r="Q55" s="46">
        <f>IF(A55="","",N55-P55)</f>
        <v/>
      </c>
      <c r="R55" s="49">
        <f>IF(A55="","",IF(P55&gt;=N55-0.01,"محصّل بالكامل",IF(P55&gt;0,"محصّل جزئياً","غير محصّل")))</f>
        <v/>
      </c>
    </row>
    <row r="56">
      <c r="A56" s="39">
        <f>IF(B56="","","IPC-"&amp;TEXT(ROW()-4,"0000"))</f>
        <v/>
      </c>
      <c r="B56" s="50" t="n"/>
      <c r="C56" s="49">
        <f>IF(B56="","",IFERROR(INDEX('المشروعات'!$B$5:$B$304,MATCH(B56,'المشروعات'!$A$5:$A$304,0)),""))</f>
        <v/>
      </c>
      <c r="D56" s="47" t="n"/>
      <c r="E56" s="47" t="n"/>
      <c r="F56" s="41" t="n"/>
      <c r="G56" s="46">
        <f>IF(B56="","",SUMIFS($H$4:H55,$B$4:B55,B56))</f>
        <v/>
      </c>
      <c r="H56" s="46">
        <f>IF(B56="","",F56-G56)</f>
        <v/>
      </c>
      <c r="I56" s="46">
        <f>IF(B56="","",H56*S_Ret)</f>
        <v/>
      </c>
      <c r="J56" s="41" t="n"/>
      <c r="K56" s="41" t="n"/>
      <c r="L56" s="46">
        <f>IF(B56="","",H56-I56-N(J56)-N(K56))</f>
        <v/>
      </c>
      <c r="M56" s="46">
        <f>IF(B56="","",L56*S_VAT)</f>
        <v/>
      </c>
      <c r="N56" s="46">
        <f>IF(B56="","",L56+M56)</f>
        <v/>
      </c>
      <c r="O56" s="40" t="n"/>
      <c r="P56" s="46">
        <f>IF(A56="","",SUMIFS('سندات القبض'!$K$5:$K$304,'سندات القبض'!$F$5:$F$304,A56))</f>
        <v/>
      </c>
      <c r="Q56" s="46">
        <f>IF(A56="","",N56-P56)</f>
        <v/>
      </c>
      <c r="R56" s="49">
        <f>IF(A56="","",IF(P56&gt;=N56-0.01,"محصّل بالكامل",IF(P56&gt;0,"محصّل جزئياً","غير محصّل")))</f>
        <v/>
      </c>
    </row>
    <row r="57">
      <c r="A57" s="39">
        <f>IF(B57="","","IPC-"&amp;TEXT(ROW()-4,"0000"))</f>
        <v/>
      </c>
      <c r="B57" s="50" t="n"/>
      <c r="C57" s="49">
        <f>IF(B57="","",IFERROR(INDEX('المشروعات'!$B$5:$B$304,MATCH(B57,'المشروعات'!$A$5:$A$304,0)),""))</f>
        <v/>
      </c>
      <c r="D57" s="47" t="n"/>
      <c r="E57" s="47" t="n"/>
      <c r="F57" s="41" t="n"/>
      <c r="G57" s="46">
        <f>IF(B57="","",SUMIFS($H$4:H56,$B$4:B56,B57))</f>
        <v/>
      </c>
      <c r="H57" s="46">
        <f>IF(B57="","",F57-G57)</f>
        <v/>
      </c>
      <c r="I57" s="46">
        <f>IF(B57="","",H57*S_Ret)</f>
        <v/>
      </c>
      <c r="J57" s="41" t="n"/>
      <c r="K57" s="41" t="n"/>
      <c r="L57" s="46">
        <f>IF(B57="","",H57-I57-N(J57)-N(K57))</f>
        <v/>
      </c>
      <c r="M57" s="46">
        <f>IF(B57="","",L57*S_VAT)</f>
        <v/>
      </c>
      <c r="N57" s="46">
        <f>IF(B57="","",L57+M57)</f>
        <v/>
      </c>
      <c r="O57" s="40" t="n"/>
      <c r="P57" s="46">
        <f>IF(A57="","",SUMIFS('سندات القبض'!$K$5:$K$304,'سندات القبض'!$F$5:$F$304,A57))</f>
        <v/>
      </c>
      <c r="Q57" s="46">
        <f>IF(A57="","",N57-P57)</f>
        <v/>
      </c>
      <c r="R57" s="49">
        <f>IF(A57="","",IF(P57&gt;=N57-0.01,"محصّل بالكامل",IF(P57&gt;0,"محصّل جزئياً","غير محصّل")))</f>
        <v/>
      </c>
    </row>
    <row r="58">
      <c r="A58" s="39">
        <f>IF(B58="","","IPC-"&amp;TEXT(ROW()-4,"0000"))</f>
        <v/>
      </c>
      <c r="B58" s="50" t="n"/>
      <c r="C58" s="49">
        <f>IF(B58="","",IFERROR(INDEX('المشروعات'!$B$5:$B$304,MATCH(B58,'المشروعات'!$A$5:$A$304,0)),""))</f>
        <v/>
      </c>
      <c r="D58" s="47" t="n"/>
      <c r="E58" s="47" t="n"/>
      <c r="F58" s="41" t="n"/>
      <c r="G58" s="46">
        <f>IF(B58="","",SUMIFS($H$4:H57,$B$4:B57,B58))</f>
        <v/>
      </c>
      <c r="H58" s="46">
        <f>IF(B58="","",F58-G58)</f>
        <v/>
      </c>
      <c r="I58" s="46">
        <f>IF(B58="","",H58*S_Ret)</f>
        <v/>
      </c>
      <c r="J58" s="41" t="n"/>
      <c r="K58" s="41" t="n"/>
      <c r="L58" s="46">
        <f>IF(B58="","",H58-I58-N(J58)-N(K58))</f>
        <v/>
      </c>
      <c r="M58" s="46">
        <f>IF(B58="","",L58*S_VAT)</f>
        <v/>
      </c>
      <c r="N58" s="46">
        <f>IF(B58="","",L58+M58)</f>
        <v/>
      </c>
      <c r="O58" s="40" t="n"/>
      <c r="P58" s="46">
        <f>IF(A58="","",SUMIFS('سندات القبض'!$K$5:$K$304,'سندات القبض'!$F$5:$F$304,A58))</f>
        <v/>
      </c>
      <c r="Q58" s="46">
        <f>IF(A58="","",N58-P58)</f>
        <v/>
      </c>
      <c r="R58" s="49">
        <f>IF(A58="","",IF(P58&gt;=N58-0.01,"محصّل بالكامل",IF(P58&gt;0,"محصّل جزئياً","غير محصّل")))</f>
        <v/>
      </c>
    </row>
    <row r="59">
      <c r="A59" s="39">
        <f>IF(B59="","","IPC-"&amp;TEXT(ROW()-4,"0000"))</f>
        <v/>
      </c>
      <c r="B59" s="50" t="n"/>
      <c r="C59" s="49">
        <f>IF(B59="","",IFERROR(INDEX('المشروعات'!$B$5:$B$304,MATCH(B59,'المشروعات'!$A$5:$A$304,0)),""))</f>
        <v/>
      </c>
      <c r="D59" s="47" t="n"/>
      <c r="E59" s="47" t="n"/>
      <c r="F59" s="41" t="n"/>
      <c r="G59" s="46">
        <f>IF(B59="","",SUMIFS($H$4:H58,$B$4:B58,B59))</f>
        <v/>
      </c>
      <c r="H59" s="46">
        <f>IF(B59="","",F59-G59)</f>
        <v/>
      </c>
      <c r="I59" s="46">
        <f>IF(B59="","",H59*S_Ret)</f>
        <v/>
      </c>
      <c r="J59" s="41" t="n"/>
      <c r="K59" s="41" t="n"/>
      <c r="L59" s="46">
        <f>IF(B59="","",H59-I59-N(J59)-N(K59))</f>
        <v/>
      </c>
      <c r="M59" s="46">
        <f>IF(B59="","",L59*S_VAT)</f>
        <v/>
      </c>
      <c r="N59" s="46">
        <f>IF(B59="","",L59+M59)</f>
        <v/>
      </c>
      <c r="O59" s="40" t="n"/>
      <c r="P59" s="46">
        <f>IF(A59="","",SUMIFS('سندات القبض'!$K$5:$K$304,'سندات القبض'!$F$5:$F$304,A59))</f>
        <v/>
      </c>
      <c r="Q59" s="46">
        <f>IF(A59="","",N59-P59)</f>
        <v/>
      </c>
      <c r="R59" s="49">
        <f>IF(A59="","",IF(P59&gt;=N59-0.01,"محصّل بالكامل",IF(P59&gt;0,"محصّل جزئياً","غير محصّل")))</f>
        <v/>
      </c>
    </row>
    <row r="60">
      <c r="A60" s="39">
        <f>IF(B60="","","IPC-"&amp;TEXT(ROW()-4,"0000"))</f>
        <v/>
      </c>
      <c r="B60" s="50" t="n"/>
      <c r="C60" s="49">
        <f>IF(B60="","",IFERROR(INDEX('المشروعات'!$B$5:$B$304,MATCH(B60,'المشروعات'!$A$5:$A$304,0)),""))</f>
        <v/>
      </c>
      <c r="D60" s="47" t="n"/>
      <c r="E60" s="47" t="n"/>
      <c r="F60" s="41" t="n"/>
      <c r="G60" s="46">
        <f>IF(B60="","",SUMIFS($H$4:H59,$B$4:B59,B60))</f>
        <v/>
      </c>
      <c r="H60" s="46">
        <f>IF(B60="","",F60-G60)</f>
        <v/>
      </c>
      <c r="I60" s="46">
        <f>IF(B60="","",H60*S_Ret)</f>
        <v/>
      </c>
      <c r="J60" s="41" t="n"/>
      <c r="K60" s="41" t="n"/>
      <c r="L60" s="46">
        <f>IF(B60="","",H60-I60-N(J60)-N(K60))</f>
        <v/>
      </c>
      <c r="M60" s="46">
        <f>IF(B60="","",L60*S_VAT)</f>
        <v/>
      </c>
      <c r="N60" s="46">
        <f>IF(B60="","",L60+M60)</f>
        <v/>
      </c>
      <c r="O60" s="40" t="n"/>
      <c r="P60" s="46">
        <f>IF(A60="","",SUMIFS('سندات القبض'!$K$5:$K$304,'سندات القبض'!$F$5:$F$304,A60))</f>
        <v/>
      </c>
      <c r="Q60" s="46">
        <f>IF(A60="","",N60-P60)</f>
        <v/>
      </c>
      <c r="R60" s="49">
        <f>IF(A60="","",IF(P60&gt;=N60-0.01,"محصّل بالكامل",IF(P60&gt;0,"محصّل جزئياً","غير محصّل")))</f>
        <v/>
      </c>
    </row>
    <row r="61">
      <c r="A61" s="39">
        <f>IF(B61="","","IPC-"&amp;TEXT(ROW()-4,"0000"))</f>
        <v/>
      </c>
      <c r="B61" s="50" t="n"/>
      <c r="C61" s="49">
        <f>IF(B61="","",IFERROR(INDEX('المشروعات'!$B$5:$B$304,MATCH(B61,'المشروعات'!$A$5:$A$304,0)),""))</f>
        <v/>
      </c>
      <c r="D61" s="47" t="n"/>
      <c r="E61" s="47" t="n"/>
      <c r="F61" s="41" t="n"/>
      <c r="G61" s="46">
        <f>IF(B61="","",SUMIFS($H$4:H60,$B$4:B60,B61))</f>
        <v/>
      </c>
      <c r="H61" s="46">
        <f>IF(B61="","",F61-G61)</f>
        <v/>
      </c>
      <c r="I61" s="46">
        <f>IF(B61="","",H61*S_Ret)</f>
        <v/>
      </c>
      <c r="J61" s="41" t="n"/>
      <c r="K61" s="41" t="n"/>
      <c r="L61" s="46">
        <f>IF(B61="","",H61-I61-N(J61)-N(K61))</f>
        <v/>
      </c>
      <c r="M61" s="46">
        <f>IF(B61="","",L61*S_VAT)</f>
        <v/>
      </c>
      <c r="N61" s="46">
        <f>IF(B61="","",L61+M61)</f>
        <v/>
      </c>
      <c r="O61" s="40" t="n"/>
      <c r="P61" s="46">
        <f>IF(A61="","",SUMIFS('سندات القبض'!$K$5:$K$304,'سندات القبض'!$F$5:$F$304,A61))</f>
        <v/>
      </c>
      <c r="Q61" s="46">
        <f>IF(A61="","",N61-P61)</f>
        <v/>
      </c>
      <c r="R61" s="49">
        <f>IF(A61="","",IF(P61&gt;=N61-0.01,"محصّل بالكامل",IF(P61&gt;0,"محصّل جزئياً","غير محصّل")))</f>
        <v/>
      </c>
    </row>
    <row r="62">
      <c r="A62" s="39">
        <f>IF(B62="","","IPC-"&amp;TEXT(ROW()-4,"0000"))</f>
        <v/>
      </c>
      <c r="B62" s="50" t="n"/>
      <c r="C62" s="49">
        <f>IF(B62="","",IFERROR(INDEX('المشروعات'!$B$5:$B$304,MATCH(B62,'المشروعات'!$A$5:$A$304,0)),""))</f>
        <v/>
      </c>
      <c r="D62" s="47" t="n"/>
      <c r="E62" s="47" t="n"/>
      <c r="F62" s="41" t="n"/>
      <c r="G62" s="46">
        <f>IF(B62="","",SUMIFS($H$4:H61,$B$4:B61,B62))</f>
        <v/>
      </c>
      <c r="H62" s="46">
        <f>IF(B62="","",F62-G62)</f>
        <v/>
      </c>
      <c r="I62" s="46">
        <f>IF(B62="","",H62*S_Ret)</f>
        <v/>
      </c>
      <c r="J62" s="41" t="n"/>
      <c r="K62" s="41" t="n"/>
      <c r="L62" s="46">
        <f>IF(B62="","",H62-I62-N(J62)-N(K62))</f>
        <v/>
      </c>
      <c r="M62" s="46">
        <f>IF(B62="","",L62*S_VAT)</f>
        <v/>
      </c>
      <c r="N62" s="46">
        <f>IF(B62="","",L62+M62)</f>
        <v/>
      </c>
      <c r="O62" s="40" t="n"/>
      <c r="P62" s="46">
        <f>IF(A62="","",SUMIFS('سندات القبض'!$K$5:$K$304,'سندات القبض'!$F$5:$F$304,A62))</f>
        <v/>
      </c>
      <c r="Q62" s="46">
        <f>IF(A62="","",N62-P62)</f>
        <v/>
      </c>
      <c r="R62" s="49">
        <f>IF(A62="","",IF(P62&gt;=N62-0.01,"محصّل بالكامل",IF(P62&gt;0,"محصّل جزئياً","غير محصّل")))</f>
        <v/>
      </c>
    </row>
    <row r="63">
      <c r="A63" s="39">
        <f>IF(B63="","","IPC-"&amp;TEXT(ROW()-4,"0000"))</f>
        <v/>
      </c>
      <c r="B63" s="50" t="n"/>
      <c r="C63" s="49">
        <f>IF(B63="","",IFERROR(INDEX('المشروعات'!$B$5:$B$304,MATCH(B63,'المشروعات'!$A$5:$A$304,0)),""))</f>
        <v/>
      </c>
      <c r="D63" s="47" t="n"/>
      <c r="E63" s="47" t="n"/>
      <c r="F63" s="41" t="n"/>
      <c r="G63" s="46">
        <f>IF(B63="","",SUMIFS($H$4:H62,$B$4:B62,B63))</f>
        <v/>
      </c>
      <c r="H63" s="46">
        <f>IF(B63="","",F63-G63)</f>
        <v/>
      </c>
      <c r="I63" s="46">
        <f>IF(B63="","",H63*S_Ret)</f>
        <v/>
      </c>
      <c r="J63" s="41" t="n"/>
      <c r="K63" s="41" t="n"/>
      <c r="L63" s="46">
        <f>IF(B63="","",H63-I63-N(J63)-N(K63))</f>
        <v/>
      </c>
      <c r="M63" s="46">
        <f>IF(B63="","",L63*S_VAT)</f>
        <v/>
      </c>
      <c r="N63" s="46">
        <f>IF(B63="","",L63+M63)</f>
        <v/>
      </c>
      <c r="O63" s="40" t="n"/>
      <c r="P63" s="46">
        <f>IF(A63="","",SUMIFS('سندات القبض'!$K$5:$K$304,'سندات القبض'!$F$5:$F$304,A63))</f>
        <v/>
      </c>
      <c r="Q63" s="46">
        <f>IF(A63="","",N63-P63)</f>
        <v/>
      </c>
      <c r="R63" s="49">
        <f>IF(A63="","",IF(P63&gt;=N63-0.01,"محصّل بالكامل",IF(P63&gt;0,"محصّل جزئياً","غير محصّل")))</f>
        <v/>
      </c>
    </row>
    <row r="64">
      <c r="A64" s="39">
        <f>IF(B64="","","IPC-"&amp;TEXT(ROW()-4,"0000"))</f>
        <v/>
      </c>
      <c r="B64" s="50" t="n"/>
      <c r="C64" s="49">
        <f>IF(B64="","",IFERROR(INDEX('المشروعات'!$B$5:$B$304,MATCH(B64,'المشروعات'!$A$5:$A$304,0)),""))</f>
        <v/>
      </c>
      <c r="D64" s="47" t="n"/>
      <c r="E64" s="47" t="n"/>
      <c r="F64" s="41" t="n"/>
      <c r="G64" s="46">
        <f>IF(B64="","",SUMIFS($H$4:H63,$B$4:B63,B64))</f>
        <v/>
      </c>
      <c r="H64" s="46">
        <f>IF(B64="","",F64-G64)</f>
        <v/>
      </c>
      <c r="I64" s="46">
        <f>IF(B64="","",H64*S_Ret)</f>
        <v/>
      </c>
      <c r="J64" s="41" t="n"/>
      <c r="K64" s="41" t="n"/>
      <c r="L64" s="46">
        <f>IF(B64="","",H64-I64-N(J64)-N(K64))</f>
        <v/>
      </c>
      <c r="M64" s="46">
        <f>IF(B64="","",L64*S_VAT)</f>
        <v/>
      </c>
      <c r="N64" s="46">
        <f>IF(B64="","",L64+M64)</f>
        <v/>
      </c>
      <c r="O64" s="40" t="n"/>
      <c r="P64" s="46">
        <f>IF(A64="","",SUMIFS('سندات القبض'!$K$5:$K$304,'سندات القبض'!$F$5:$F$304,A64))</f>
        <v/>
      </c>
      <c r="Q64" s="46">
        <f>IF(A64="","",N64-P64)</f>
        <v/>
      </c>
      <c r="R64" s="49">
        <f>IF(A64="","",IF(P64&gt;=N64-0.01,"محصّل بالكامل",IF(P64&gt;0,"محصّل جزئياً","غير محصّل")))</f>
        <v/>
      </c>
    </row>
    <row r="65">
      <c r="A65" s="39">
        <f>IF(B65="","","IPC-"&amp;TEXT(ROW()-4,"0000"))</f>
        <v/>
      </c>
      <c r="B65" s="50" t="n"/>
      <c r="C65" s="49">
        <f>IF(B65="","",IFERROR(INDEX('المشروعات'!$B$5:$B$304,MATCH(B65,'المشروعات'!$A$5:$A$304,0)),""))</f>
        <v/>
      </c>
      <c r="D65" s="47" t="n"/>
      <c r="E65" s="47" t="n"/>
      <c r="F65" s="41" t="n"/>
      <c r="G65" s="46">
        <f>IF(B65="","",SUMIFS($H$4:H64,$B$4:B64,B65))</f>
        <v/>
      </c>
      <c r="H65" s="46">
        <f>IF(B65="","",F65-G65)</f>
        <v/>
      </c>
      <c r="I65" s="46">
        <f>IF(B65="","",H65*S_Ret)</f>
        <v/>
      </c>
      <c r="J65" s="41" t="n"/>
      <c r="K65" s="41" t="n"/>
      <c r="L65" s="46">
        <f>IF(B65="","",H65-I65-N(J65)-N(K65))</f>
        <v/>
      </c>
      <c r="M65" s="46">
        <f>IF(B65="","",L65*S_VAT)</f>
        <v/>
      </c>
      <c r="N65" s="46">
        <f>IF(B65="","",L65+M65)</f>
        <v/>
      </c>
      <c r="O65" s="40" t="n"/>
      <c r="P65" s="46">
        <f>IF(A65="","",SUMIFS('سندات القبض'!$K$5:$K$304,'سندات القبض'!$F$5:$F$304,A65))</f>
        <v/>
      </c>
      <c r="Q65" s="46">
        <f>IF(A65="","",N65-P65)</f>
        <v/>
      </c>
      <c r="R65" s="49">
        <f>IF(A65="","",IF(P65&gt;=N65-0.01,"محصّل بالكامل",IF(P65&gt;0,"محصّل جزئياً","غير محصّل")))</f>
        <v/>
      </c>
    </row>
    <row r="66">
      <c r="A66" s="39">
        <f>IF(B66="","","IPC-"&amp;TEXT(ROW()-4,"0000"))</f>
        <v/>
      </c>
      <c r="B66" s="50" t="n"/>
      <c r="C66" s="49">
        <f>IF(B66="","",IFERROR(INDEX('المشروعات'!$B$5:$B$304,MATCH(B66,'المشروعات'!$A$5:$A$304,0)),""))</f>
        <v/>
      </c>
      <c r="D66" s="47" t="n"/>
      <c r="E66" s="47" t="n"/>
      <c r="F66" s="41" t="n"/>
      <c r="G66" s="46">
        <f>IF(B66="","",SUMIFS($H$4:H65,$B$4:B65,B66))</f>
        <v/>
      </c>
      <c r="H66" s="46">
        <f>IF(B66="","",F66-G66)</f>
        <v/>
      </c>
      <c r="I66" s="46">
        <f>IF(B66="","",H66*S_Ret)</f>
        <v/>
      </c>
      <c r="J66" s="41" t="n"/>
      <c r="K66" s="41" t="n"/>
      <c r="L66" s="46">
        <f>IF(B66="","",H66-I66-N(J66)-N(K66))</f>
        <v/>
      </c>
      <c r="M66" s="46">
        <f>IF(B66="","",L66*S_VAT)</f>
        <v/>
      </c>
      <c r="N66" s="46">
        <f>IF(B66="","",L66+M66)</f>
        <v/>
      </c>
      <c r="O66" s="40" t="n"/>
      <c r="P66" s="46">
        <f>IF(A66="","",SUMIFS('سندات القبض'!$K$5:$K$304,'سندات القبض'!$F$5:$F$304,A66))</f>
        <v/>
      </c>
      <c r="Q66" s="46">
        <f>IF(A66="","",N66-P66)</f>
        <v/>
      </c>
      <c r="R66" s="49">
        <f>IF(A66="","",IF(P66&gt;=N66-0.01,"محصّل بالكامل",IF(P66&gt;0,"محصّل جزئياً","غير محصّل")))</f>
        <v/>
      </c>
    </row>
    <row r="67">
      <c r="A67" s="39">
        <f>IF(B67="","","IPC-"&amp;TEXT(ROW()-4,"0000"))</f>
        <v/>
      </c>
      <c r="B67" s="50" t="n"/>
      <c r="C67" s="49">
        <f>IF(B67="","",IFERROR(INDEX('المشروعات'!$B$5:$B$304,MATCH(B67,'المشروعات'!$A$5:$A$304,0)),""))</f>
        <v/>
      </c>
      <c r="D67" s="47" t="n"/>
      <c r="E67" s="47" t="n"/>
      <c r="F67" s="41" t="n"/>
      <c r="G67" s="46">
        <f>IF(B67="","",SUMIFS($H$4:H66,$B$4:B66,B67))</f>
        <v/>
      </c>
      <c r="H67" s="46">
        <f>IF(B67="","",F67-G67)</f>
        <v/>
      </c>
      <c r="I67" s="46">
        <f>IF(B67="","",H67*S_Ret)</f>
        <v/>
      </c>
      <c r="J67" s="41" t="n"/>
      <c r="K67" s="41" t="n"/>
      <c r="L67" s="46">
        <f>IF(B67="","",H67-I67-N(J67)-N(K67))</f>
        <v/>
      </c>
      <c r="M67" s="46">
        <f>IF(B67="","",L67*S_VAT)</f>
        <v/>
      </c>
      <c r="N67" s="46">
        <f>IF(B67="","",L67+M67)</f>
        <v/>
      </c>
      <c r="O67" s="40" t="n"/>
      <c r="P67" s="46">
        <f>IF(A67="","",SUMIFS('سندات القبض'!$K$5:$K$304,'سندات القبض'!$F$5:$F$304,A67))</f>
        <v/>
      </c>
      <c r="Q67" s="46">
        <f>IF(A67="","",N67-P67)</f>
        <v/>
      </c>
      <c r="R67" s="49">
        <f>IF(A67="","",IF(P67&gt;=N67-0.01,"محصّل بالكامل",IF(P67&gt;0,"محصّل جزئياً","غير محصّل")))</f>
        <v/>
      </c>
    </row>
    <row r="68">
      <c r="A68" s="39">
        <f>IF(B68="","","IPC-"&amp;TEXT(ROW()-4,"0000"))</f>
        <v/>
      </c>
      <c r="B68" s="50" t="n"/>
      <c r="C68" s="49">
        <f>IF(B68="","",IFERROR(INDEX('المشروعات'!$B$5:$B$304,MATCH(B68,'المشروعات'!$A$5:$A$304,0)),""))</f>
        <v/>
      </c>
      <c r="D68" s="47" t="n"/>
      <c r="E68" s="47" t="n"/>
      <c r="F68" s="41" t="n"/>
      <c r="G68" s="46">
        <f>IF(B68="","",SUMIFS($H$4:H67,$B$4:B67,B68))</f>
        <v/>
      </c>
      <c r="H68" s="46">
        <f>IF(B68="","",F68-G68)</f>
        <v/>
      </c>
      <c r="I68" s="46">
        <f>IF(B68="","",H68*S_Ret)</f>
        <v/>
      </c>
      <c r="J68" s="41" t="n"/>
      <c r="K68" s="41" t="n"/>
      <c r="L68" s="46">
        <f>IF(B68="","",H68-I68-N(J68)-N(K68))</f>
        <v/>
      </c>
      <c r="M68" s="46">
        <f>IF(B68="","",L68*S_VAT)</f>
        <v/>
      </c>
      <c r="N68" s="46">
        <f>IF(B68="","",L68+M68)</f>
        <v/>
      </c>
      <c r="O68" s="40" t="n"/>
      <c r="P68" s="46">
        <f>IF(A68="","",SUMIFS('سندات القبض'!$K$5:$K$304,'سندات القبض'!$F$5:$F$304,A68))</f>
        <v/>
      </c>
      <c r="Q68" s="46">
        <f>IF(A68="","",N68-P68)</f>
        <v/>
      </c>
      <c r="R68" s="49">
        <f>IF(A68="","",IF(P68&gt;=N68-0.01,"محصّل بالكامل",IF(P68&gt;0,"محصّل جزئياً","غير محصّل")))</f>
        <v/>
      </c>
    </row>
    <row r="69">
      <c r="A69" s="39">
        <f>IF(B69="","","IPC-"&amp;TEXT(ROW()-4,"0000"))</f>
        <v/>
      </c>
      <c r="B69" s="50" t="n"/>
      <c r="C69" s="49">
        <f>IF(B69="","",IFERROR(INDEX('المشروعات'!$B$5:$B$304,MATCH(B69,'المشروعات'!$A$5:$A$304,0)),""))</f>
        <v/>
      </c>
      <c r="D69" s="47" t="n"/>
      <c r="E69" s="47" t="n"/>
      <c r="F69" s="41" t="n"/>
      <c r="G69" s="46">
        <f>IF(B69="","",SUMIFS($H$4:H68,$B$4:B68,B69))</f>
        <v/>
      </c>
      <c r="H69" s="46">
        <f>IF(B69="","",F69-G69)</f>
        <v/>
      </c>
      <c r="I69" s="46">
        <f>IF(B69="","",H69*S_Ret)</f>
        <v/>
      </c>
      <c r="J69" s="41" t="n"/>
      <c r="K69" s="41" t="n"/>
      <c r="L69" s="46">
        <f>IF(B69="","",H69-I69-N(J69)-N(K69))</f>
        <v/>
      </c>
      <c r="M69" s="46">
        <f>IF(B69="","",L69*S_VAT)</f>
        <v/>
      </c>
      <c r="N69" s="46">
        <f>IF(B69="","",L69+M69)</f>
        <v/>
      </c>
      <c r="O69" s="40" t="n"/>
      <c r="P69" s="46">
        <f>IF(A69="","",SUMIFS('سندات القبض'!$K$5:$K$304,'سندات القبض'!$F$5:$F$304,A69))</f>
        <v/>
      </c>
      <c r="Q69" s="46">
        <f>IF(A69="","",N69-P69)</f>
        <v/>
      </c>
      <c r="R69" s="49">
        <f>IF(A69="","",IF(P69&gt;=N69-0.01,"محصّل بالكامل",IF(P69&gt;0,"محصّل جزئياً","غير محصّل")))</f>
        <v/>
      </c>
    </row>
    <row r="70">
      <c r="A70" s="39">
        <f>IF(B70="","","IPC-"&amp;TEXT(ROW()-4,"0000"))</f>
        <v/>
      </c>
      <c r="B70" s="50" t="n"/>
      <c r="C70" s="49">
        <f>IF(B70="","",IFERROR(INDEX('المشروعات'!$B$5:$B$304,MATCH(B70,'المشروعات'!$A$5:$A$304,0)),""))</f>
        <v/>
      </c>
      <c r="D70" s="47" t="n"/>
      <c r="E70" s="47" t="n"/>
      <c r="F70" s="41" t="n"/>
      <c r="G70" s="46">
        <f>IF(B70="","",SUMIFS($H$4:H69,$B$4:B69,B70))</f>
        <v/>
      </c>
      <c r="H70" s="46">
        <f>IF(B70="","",F70-G70)</f>
        <v/>
      </c>
      <c r="I70" s="46">
        <f>IF(B70="","",H70*S_Ret)</f>
        <v/>
      </c>
      <c r="J70" s="41" t="n"/>
      <c r="K70" s="41" t="n"/>
      <c r="L70" s="46">
        <f>IF(B70="","",H70-I70-N(J70)-N(K70))</f>
        <v/>
      </c>
      <c r="M70" s="46">
        <f>IF(B70="","",L70*S_VAT)</f>
        <v/>
      </c>
      <c r="N70" s="46">
        <f>IF(B70="","",L70+M70)</f>
        <v/>
      </c>
      <c r="O70" s="40" t="n"/>
      <c r="P70" s="46">
        <f>IF(A70="","",SUMIFS('سندات القبض'!$K$5:$K$304,'سندات القبض'!$F$5:$F$304,A70))</f>
        <v/>
      </c>
      <c r="Q70" s="46">
        <f>IF(A70="","",N70-P70)</f>
        <v/>
      </c>
      <c r="R70" s="49">
        <f>IF(A70="","",IF(P70&gt;=N70-0.01,"محصّل بالكامل",IF(P70&gt;0,"محصّل جزئياً","غير محصّل")))</f>
        <v/>
      </c>
    </row>
    <row r="71">
      <c r="A71" s="39">
        <f>IF(B71="","","IPC-"&amp;TEXT(ROW()-4,"0000"))</f>
        <v/>
      </c>
      <c r="B71" s="50" t="n"/>
      <c r="C71" s="49">
        <f>IF(B71="","",IFERROR(INDEX('المشروعات'!$B$5:$B$304,MATCH(B71,'المشروعات'!$A$5:$A$304,0)),""))</f>
        <v/>
      </c>
      <c r="D71" s="47" t="n"/>
      <c r="E71" s="47" t="n"/>
      <c r="F71" s="41" t="n"/>
      <c r="G71" s="46">
        <f>IF(B71="","",SUMIFS($H$4:H70,$B$4:B70,B71))</f>
        <v/>
      </c>
      <c r="H71" s="46">
        <f>IF(B71="","",F71-G71)</f>
        <v/>
      </c>
      <c r="I71" s="46">
        <f>IF(B71="","",H71*S_Ret)</f>
        <v/>
      </c>
      <c r="J71" s="41" t="n"/>
      <c r="K71" s="41" t="n"/>
      <c r="L71" s="46">
        <f>IF(B71="","",H71-I71-N(J71)-N(K71))</f>
        <v/>
      </c>
      <c r="M71" s="46">
        <f>IF(B71="","",L71*S_VAT)</f>
        <v/>
      </c>
      <c r="N71" s="46">
        <f>IF(B71="","",L71+M71)</f>
        <v/>
      </c>
      <c r="O71" s="40" t="n"/>
      <c r="P71" s="46">
        <f>IF(A71="","",SUMIFS('سندات القبض'!$K$5:$K$304,'سندات القبض'!$F$5:$F$304,A71))</f>
        <v/>
      </c>
      <c r="Q71" s="46">
        <f>IF(A71="","",N71-P71)</f>
        <v/>
      </c>
      <c r="R71" s="49">
        <f>IF(A71="","",IF(P71&gt;=N71-0.01,"محصّل بالكامل",IF(P71&gt;0,"محصّل جزئياً","غير محصّل")))</f>
        <v/>
      </c>
    </row>
    <row r="72">
      <c r="A72" s="39">
        <f>IF(B72="","","IPC-"&amp;TEXT(ROW()-4,"0000"))</f>
        <v/>
      </c>
      <c r="B72" s="50" t="n"/>
      <c r="C72" s="49">
        <f>IF(B72="","",IFERROR(INDEX('المشروعات'!$B$5:$B$304,MATCH(B72,'المشروعات'!$A$5:$A$304,0)),""))</f>
        <v/>
      </c>
      <c r="D72" s="47" t="n"/>
      <c r="E72" s="47" t="n"/>
      <c r="F72" s="41" t="n"/>
      <c r="G72" s="46">
        <f>IF(B72="","",SUMIFS($H$4:H71,$B$4:B71,B72))</f>
        <v/>
      </c>
      <c r="H72" s="46">
        <f>IF(B72="","",F72-G72)</f>
        <v/>
      </c>
      <c r="I72" s="46">
        <f>IF(B72="","",H72*S_Ret)</f>
        <v/>
      </c>
      <c r="J72" s="41" t="n"/>
      <c r="K72" s="41" t="n"/>
      <c r="L72" s="46">
        <f>IF(B72="","",H72-I72-N(J72)-N(K72))</f>
        <v/>
      </c>
      <c r="M72" s="46">
        <f>IF(B72="","",L72*S_VAT)</f>
        <v/>
      </c>
      <c r="N72" s="46">
        <f>IF(B72="","",L72+M72)</f>
        <v/>
      </c>
      <c r="O72" s="40" t="n"/>
      <c r="P72" s="46">
        <f>IF(A72="","",SUMIFS('سندات القبض'!$K$5:$K$304,'سندات القبض'!$F$5:$F$304,A72))</f>
        <v/>
      </c>
      <c r="Q72" s="46">
        <f>IF(A72="","",N72-P72)</f>
        <v/>
      </c>
      <c r="R72" s="49">
        <f>IF(A72="","",IF(P72&gt;=N72-0.01,"محصّل بالكامل",IF(P72&gt;0,"محصّل جزئياً","غير محصّل")))</f>
        <v/>
      </c>
    </row>
    <row r="73">
      <c r="A73" s="39">
        <f>IF(B73="","","IPC-"&amp;TEXT(ROW()-4,"0000"))</f>
        <v/>
      </c>
      <c r="B73" s="50" t="n"/>
      <c r="C73" s="49">
        <f>IF(B73="","",IFERROR(INDEX('المشروعات'!$B$5:$B$304,MATCH(B73,'المشروعات'!$A$5:$A$304,0)),""))</f>
        <v/>
      </c>
      <c r="D73" s="47" t="n"/>
      <c r="E73" s="47" t="n"/>
      <c r="F73" s="41" t="n"/>
      <c r="G73" s="46">
        <f>IF(B73="","",SUMIFS($H$4:H72,$B$4:B72,B73))</f>
        <v/>
      </c>
      <c r="H73" s="46">
        <f>IF(B73="","",F73-G73)</f>
        <v/>
      </c>
      <c r="I73" s="46">
        <f>IF(B73="","",H73*S_Ret)</f>
        <v/>
      </c>
      <c r="J73" s="41" t="n"/>
      <c r="K73" s="41" t="n"/>
      <c r="L73" s="46">
        <f>IF(B73="","",H73-I73-N(J73)-N(K73))</f>
        <v/>
      </c>
      <c r="M73" s="46">
        <f>IF(B73="","",L73*S_VAT)</f>
        <v/>
      </c>
      <c r="N73" s="46">
        <f>IF(B73="","",L73+M73)</f>
        <v/>
      </c>
      <c r="O73" s="40" t="n"/>
      <c r="P73" s="46">
        <f>IF(A73="","",SUMIFS('سندات القبض'!$K$5:$K$304,'سندات القبض'!$F$5:$F$304,A73))</f>
        <v/>
      </c>
      <c r="Q73" s="46">
        <f>IF(A73="","",N73-P73)</f>
        <v/>
      </c>
      <c r="R73" s="49">
        <f>IF(A73="","",IF(P73&gt;=N73-0.01,"محصّل بالكامل",IF(P73&gt;0,"محصّل جزئياً","غير محصّل")))</f>
        <v/>
      </c>
    </row>
    <row r="74">
      <c r="A74" s="39">
        <f>IF(B74="","","IPC-"&amp;TEXT(ROW()-4,"0000"))</f>
        <v/>
      </c>
      <c r="B74" s="50" t="n"/>
      <c r="C74" s="49">
        <f>IF(B74="","",IFERROR(INDEX('المشروعات'!$B$5:$B$304,MATCH(B74,'المشروعات'!$A$5:$A$304,0)),""))</f>
        <v/>
      </c>
      <c r="D74" s="47" t="n"/>
      <c r="E74" s="47" t="n"/>
      <c r="F74" s="41" t="n"/>
      <c r="G74" s="46">
        <f>IF(B74="","",SUMIFS($H$4:H73,$B$4:B73,B74))</f>
        <v/>
      </c>
      <c r="H74" s="46">
        <f>IF(B74="","",F74-G74)</f>
        <v/>
      </c>
      <c r="I74" s="46">
        <f>IF(B74="","",H74*S_Ret)</f>
        <v/>
      </c>
      <c r="J74" s="41" t="n"/>
      <c r="K74" s="41" t="n"/>
      <c r="L74" s="46">
        <f>IF(B74="","",H74-I74-N(J74)-N(K74))</f>
        <v/>
      </c>
      <c r="M74" s="46">
        <f>IF(B74="","",L74*S_VAT)</f>
        <v/>
      </c>
      <c r="N74" s="46">
        <f>IF(B74="","",L74+M74)</f>
        <v/>
      </c>
      <c r="O74" s="40" t="n"/>
      <c r="P74" s="46">
        <f>IF(A74="","",SUMIFS('سندات القبض'!$K$5:$K$304,'سندات القبض'!$F$5:$F$304,A74))</f>
        <v/>
      </c>
      <c r="Q74" s="46">
        <f>IF(A74="","",N74-P74)</f>
        <v/>
      </c>
      <c r="R74" s="49">
        <f>IF(A74="","",IF(P74&gt;=N74-0.01,"محصّل بالكامل",IF(P74&gt;0,"محصّل جزئياً","غير محصّل")))</f>
        <v/>
      </c>
    </row>
    <row r="75">
      <c r="A75" s="39">
        <f>IF(B75="","","IPC-"&amp;TEXT(ROW()-4,"0000"))</f>
        <v/>
      </c>
      <c r="B75" s="50" t="n"/>
      <c r="C75" s="49">
        <f>IF(B75="","",IFERROR(INDEX('المشروعات'!$B$5:$B$304,MATCH(B75,'المشروعات'!$A$5:$A$304,0)),""))</f>
        <v/>
      </c>
      <c r="D75" s="47" t="n"/>
      <c r="E75" s="47" t="n"/>
      <c r="F75" s="41" t="n"/>
      <c r="G75" s="46">
        <f>IF(B75="","",SUMIFS($H$4:H74,$B$4:B74,B75))</f>
        <v/>
      </c>
      <c r="H75" s="46">
        <f>IF(B75="","",F75-G75)</f>
        <v/>
      </c>
      <c r="I75" s="46">
        <f>IF(B75="","",H75*S_Ret)</f>
        <v/>
      </c>
      <c r="J75" s="41" t="n"/>
      <c r="K75" s="41" t="n"/>
      <c r="L75" s="46">
        <f>IF(B75="","",H75-I75-N(J75)-N(K75))</f>
        <v/>
      </c>
      <c r="M75" s="46">
        <f>IF(B75="","",L75*S_VAT)</f>
        <v/>
      </c>
      <c r="N75" s="46">
        <f>IF(B75="","",L75+M75)</f>
        <v/>
      </c>
      <c r="O75" s="40" t="n"/>
      <c r="P75" s="46">
        <f>IF(A75="","",SUMIFS('سندات القبض'!$K$5:$K$304,'سندات القبض'!$F$5:$F$304,A75))</f>
        <v/>
      </c>
      <c r="Q75" s="46">
        <f>IF(A75="","",N75-P75)</f>
        <v/>
      </c>
      <c r="R75" s="49">
        <f>IF(A75="","",IF(P75&gt;=N75-0.01,"محصّل بالكامل",IF(P75&gt;0,"محصّل جزئياً","غير محصّل")))</f>
        <v/>
      </c>
    </row>
    <row r="76">
      <c r="A76" s="39">
        <f>IF(B76="","","IPC-"&amp;TEXT(ROW()-4,"0000"))</f>
        <v/>
      </c>
      <c r="B76" s="50" t="n"/>
      <c r="C76" s="49">
        <f>IF(B76="","",IFERROR(INDEX('المشروعات'!$B$5:$B$304,MATCH(B76,'المشروعات'!$A$5:$A$304,0)),""))</f>
        <v/>
      </c>
      <c r="D76" s="47" t="n"/>
      <c r="E76" s="47" t="n"/>
      <c r="F76" s="41" t="n"/>
      <c r="G76" s="46">
        <f>IF(B76="","",SUMIFS($H$4:H75,$B$4:B75,B76))</f>
        <v/>
      </c>
      <c r="H76" s="46">
        <f>IF(B76="","",F76-G76)</f>
        <v/>
      </c>
      <c r="I76" s="46">
        <f>IF(B76="","",H76*S_Ret)</f>
        <v/>
      </c>
      <c r="J76" s="41" t="n"/>
      <c r="K76" s="41" t="n"/>
      <c r="L76" s="46">
        <f>IF(B76="","",H76-I76-N(J76)-N(K76))</f>
        <v/>
      </c>
      <c r="M76" s="46">
        <f>IF(B76="","",L76*S_VAT)</f>
        <v/>
      </c>
      <c r="N76" s="46">
        <f>IF(B76="","",L76+M76)</f>
        <v/>
      </c>
      <c r="O76" s="40" t="n"/>
      <c r="P76" s="46">
        <f>IF(A76="","",SUMIFS('سندات القبض'!$K$5:$K$304,'سندات القبض'!$F$5:$F$304,A76))</f>
        <v/>
      </c>
      <c r="Q76" s="46">
        <f>IF(A76="","",N76-P76)</f>
        <v/>
      </c>
      <c r="R76" s="49">
        <f>IF(A76="","",IF(P76&gt;=N76-0.01,"محصّل بالكامل",IF(P76&gt;0,"محصّل جزئياً","غير محصّل")))</f>
        <v/>
      </c>
    </row>
    <row r="77">
      <c r="A77" s="39">
        <f>IF(B77="","","IPC-"&amp;TEXT(ROW()-4,"0000"))</f>
        <v/>
      </c>
      <c r="B77" s="50" t="n"/>
      <c r="C77" s="49">
        <f>IF(B77="","",IFERROR(INDEX('المشروعات'!$B$5:$B$304,MATCH(B77,'المشروعات'!$A$5:$A$304,0)),""))</f>
        <v/>
      </c>
      <c r="D77" s="47" t="n"/>
      <c r="E77" s="47" t="n"/>
      <c r="F77" s="41" t="n"/>
      <c r="G77" s="46">
        <f>IF(B77="","",SUMIFS($H$4:H76,$B$4:B76,B77))</f>
        <v/>
      </c>
      <c r="H77" s="46">
        <f>IF(B77="","",F77-G77)</f>
        <v/>
      </c>
      <c r="I77" s="46">
        <f>IF(B77="","",H77*S_Ret)</f>
        <v/>
      </c>
      <c r="J77" s="41" t="n"/>
      <c r="K77" s="41" t="n"/>
      <c r="L77" s="46">
        <f>IF(B77="","",H77-I77-N(J77)-N(K77))</f>
        <v/>
      </c>
      <c r="M77" s="46">
        <f>IF(B77="","",L77*S_VAT)</f>
        <v/>
      </c>
      <c r="N77" s="46">
        <f>IF(B77="","",L77+M77)</f>
        <v/>
      </c>
      <c r="O77" s="40" t="n"/>
      <c r="P77" s="46">
        <f>IF(A77="","",SUMIFS('سندات القبض'!$K$5:$K$304,'سندات القبض'!$F$5:$F$304,A77))</f>
        <v/>
      </c>
      <c r="Q77" s="46">
        <f>IF(A77="","",N77-P77)</f>
        <v/>
      </c>
      <c r="R77" s="49">
        <f>IF(A77="","",IF(P77&gt;=N77-0.01,"محصّل بالكامل",IF(P77&gt;0,"محصّل جزئياً","غير محصّل")))</f>
        <v/>
      </c>
    </row>
    <row r="78">
      <c r="A78" s="39">
        <f>IF(B78="","","IPC-"&amp;TEXT(ROW()-4,"0000"))</f>
        <v/>
      </c>
      <c r="B78" s="50" t="n"/>
      <c r="C78" s="49">
        <f>IF(B78="","",IFERROR(INDEX('المشروعات'!$B$5:$B$304,MATCH(B78,'المشروعات'!$A$5:$A$304,0)),""))</f>
        <v/>
      </c>
      <c r="D78" s="47" t="n"/>
      <c r="E78" s="47" t="n"/>
      <c r="F78" s="41" t="n"/>
      <c r="G78" s="46">
        <f>IF(B78="","",SUMIFS($H$4:H77,$B$4:B77,B78))</f>
        <v/>
      </c>
      <c r="H78" s="46">
        <f>IF(B78="","",F78-G78)</f>
        <v/>
      </c>
      <c r="I78" s="46">
        <f>IF(B78="","",H78*S_Ret)</f>
        <v/>
      </c>
      <c r="J78" s="41" t="n"/>
      <c r="K78" s="41" t="n"/>
      <c r="L78" s="46">
        <f>IF(B78="","",H78-I78-N(J78)-N(K78))</f>
        <v/>
      </c>
      <c r="M78" s="46">
        <f>IF(B78="","",L78*S_VAT)</f>
        <v/>
      </c>
      <c r="N78" s="46">
        <f>IF(B78="","",L78+M78)</f>
        <v/>
      </c>
      <c r="O78" s="40" t="n"/>
      <c r="P78" s="46">
        <f>IF(A78="","",SUMIFS('سندات القبض'!$K$5:$K$304,'سندات القبض'!$F$5:$F$304,A78))</f>
        <v/>
      </c>
      <c r="Q78" s="46">
        <f>IF(A78="","",N78-P78)</f>
        <v/>
      </c>
      <c r="R78" s="49">
        <f>IF(A78="","",IF(P78&gt;=N78-0.01,"محصّل بالكامل",IF(P78&gt;0,"محصّل جزئياً","غير محصّل")))</f>
        <v/>
      </c>
    </row>
    <row r="79">
      <c r="A79" s="39">
        <f>IF(B79="","","IPC-"&amp;TEXT(ROW()-4,"0000"))</f>
        <v/>
      </c>
      <c r="B79" s="50" t="n"/>
      <c r="C79" s="49">
        <f>IF(B79="","",IFERROR(INDEX('المشروعات'!$B$5:$B$304,MATCH(B79,'المشروعات'!$A$5:$A$304,0)),""))</f>
        <v/>
      </c>
      <c r="D79" s="47" t="n"/>
      <c r="E79" s="47" t="n"/>
      <c r="F79" s="41" t="n"/>
      <c r="G79" s="46">
        <f>IF(B79="","",SUMIFS($H$4:H78,$B$4:B78,B79))</f>
        <v/>
      </c>
      <c r="H79" s="46">
        <f>IF(B79="","",F79-G79)</f>
        <v/>
      </c>
      <c r="I79" s="46">
        <f>IF(B79="","",H79*S_Ret)</f>
        <v/>
      </c>
      <c r="J79" s="41" t="n"/>
      <c r="K79" s="41" t="n"/>
      <c r="L79" s="46">
        <f>IF(B79="","",H79-I79-N(J79)-N(K79))</f>
        <v/>
      </c>
      <c r="M79" s="46">
        <f>IF(B79="","",L79*S_VAT)</f>
        <v/>
      </c>
      <c r="N79" s="46">
        <f>IF(B79="","",L79+M79)</f>
        <v/>
      </c>
      <c r="O79" s="40" t="n"/>
      <c r="P79" s="46">
        <f>IF(A79="","",SUMIFS('سندات القبض'!$K$5:$K$304,'سندات القبض'!$F$5:$F$304,A79))</f>
        <v/>
      </c>
      <c r="Q79" s="46">
        <f>IF(A79="","",N79-P79)</f>
        <v/>
      </c>
      <c r="R79" s="49">
        <f>IF(A79="","",IF(P79&gt;=N79-0.01,"محصّل بالكامل",IF(P79&gt;0,"محصّل جزئياً","غير محصّل")))</f>
        <v/>
      </c>
    </row>
    <row r="80">
      <c r="A80" s="39">
        <f>IF(B80="","","IPC-"&amp;TEXT(ROW()-4,"0000"))</f>
        <v/>
      </c>
      <c r="B80" s="50" t="n"/>
      <c r="C80" s="49">
        <f>IF(B80="","",IFERROR(INDEX('المشروعات'!$B$5:$B$304,MATCH(B80,'المشروعات'!$A$5:$A$304,0)),""))</f>
        <v/>
      </c>
      <c r="D80" s="47" t="n"/>
      <c r="E80" s="47" t="n"/>
      <c r="F80" s="41" t="n"/>
      <c r="G80" s="46">
        <f>IF(B80="","",SUMIFS($H$4:H79,$B$4:B79,B80))</f>
        <v/>
      </c>
      <c r="H80" s="46">
        <f>IF(B80="","",F80-G80)</f>
        <v/>
      </c>
      <c r="I80" s="46">
        <f>IF(B80="","",H80*S_Ret)</f>
        <v/>
      </c>
      <c r="J80" s="41" t="n"/>
      <c r="K80" s="41" t="n"/>
      <c r="L80" s="46">
        <f>IF(B80="","",H80-I80-N(J80)-N(K80))</f>
        <v/>
      </c>
      <c r="M80" s="46">
        <f>IF(B80="","",L80*S_VAT)</f>
        <v/>
      </c>
      <c r="N80" s="46">
        <f>IF(B80="","",L80+M80)</f>
        <v/>
      </c>
      <c r="O80" s="40" t="n"/>
      <c r="P80" s="46">
        <f>IF(A80="","",SUMIFS('سندات القبض'!$K$5:$K$304,'سندات القبض'!$F$5:$F$304,A80))</f>
        <v/>
      </c>
      <c r="Q80" s="46">
        <f>IF(A80="","",N80-P80)</f>
        <v/>
      </c>
      <c r="R80" s="49">
        <f>IF(A80="","",IF(P80&gt;=N80-0.01,"محصّل بالكامل",IF(P80&gt;0,"محصّل جزئياً","غير محصّل")))</f>
        <v/>
      </c>
    </row>
    <row r="81">
      <c r="A81" s="39">
        <f>IF(B81="","","IPC-"&amp;TEXT(ROW()-4,"0000"))</f>
        <v/>
      </c>
      <c r="B81" s="50" t="n"/>
      <c r="C81" s="49">
        <f>IF(B81="","",IFERROR(INDEX('المشروعات'!$B$5:$B$304,MATCH(B81,'المشروعات'!$A$5:$A$304,0)),""))</f>
        <v/>
      </c>
      <c r="D81" s="47" t="n"/>
      <c r="E81" s="47" t="n"/>
      <c r="F81" s="41" t="n"/>
      <c r="G81" s="46">
        <f>IF(B81="","",SUMIFS($H$4:H80,$B$4:B80,B81))</f>
        <v/>
      </c>
      <c r="H81" s="46">
        <f>IF(B81="","",F81-G81)</f>
        <v/>
      </c>
      <c r="I81" s="46">
        <f>IF(B81="","",H81*S_Ret)</f>
        <v/>
      </c>
      <c r="J81" s="41" t="n"/>
      <c r="K81" s="41" t="n"/>
      <c r="L81" s="46">
        <f>IF(B81="","",H81-I81-N(J81)-N(K81))</f>
        <v/>
      </c>
      <c r="M81" s="46">
        <f>IF(B81="","",L81*S_VAT)</f>
        <v/>
      </c>
      <c r="N81" s="46">
        <f>IF(B81="","",L81+M81)</f>
        <v/>
      </c>
      <c r="O81" s="40" t="n"/>
      <c r="P81" s="46">
        <f>IF(A81="","",SUMIFS('سندات القبض'!$K$5:$K$304,'سندات القبض'!$F$5:$F$304,A81))</f>
        <v/>
      </c>
      <c r="Q81" s="46">
        <f>IF(A81="","",N81-P81)</f>
        <v/>
      </c>
      <c r="R81" s="49">
        <f>IF(A81="","",IF(P81&gt;=N81-0.01,"محصّل بالكامل",IF(P81&gt;0,"محصّل جزئياً","غير محصّل")))</f>
        <v/>
      </c>
    </row>
    <row r="82">
      <c r="A82" s="39">
        <f>IF(B82="","","IPC-"&amp;TEXT(ROW()-4,"0000"))</f>
        <v/>
      </c>
      <c r="B82" s="50" t="n"/>
      <c r="C82" s="49">
        <f>IF(B82="","",IFERROR(INDEX('المشروعات'!$B$5:$B$304,MATCH(B82,'المشروعات'!$A$5:$A$304,0)),""))</f>
        <v/>
      </c>
      <c r="D82" s="47" t="n"/>
      <c r="E82" s="47" t="n"/>
      <c r="F82" s="41" t="n"/>
      <c r="G82" s="46">
        <f>IF(B82="","",SUMIFS($H$4:H81,$B$4:B81,B82))</f>
        <v/>
      </c>
      <c r="H82" s="46">
        <f>IF(B82="","",F82-G82)</f>
        <v/>
      </c>
      <c r="I82" s="46">
        <f>IF(B82="","",H82*S_Ret)</f>
        <v/>
      </c>
      <c r="J82" s="41" t="n"/>
      <c r="K82" s="41" t="n"/>
      <c r="L82" s="46">
        <f>IF(B82="","",H82-I82-N(J82)-N(K82))</f>
        <v/>
      </c>
      <c r="M82" s="46">
        <f>IF(B82="","",L82*S_VAT)</f>
        <v/>
      </c>
      <c r="N82" s="46">
        <f>IF(B82="","",L82+M82)</f>
        <v/>
      </c>
      <c r="O82" s="40" t="n"/>
      <c r="P82" s="46">
        <f>IF(A82="","",SUMIFS('سندات القبض'!$K$5:$K$304,'سندات القبض'!$F$5:$F$304,A82))</f>
        <v/>
      </c>
      <c r="Q82" s="46">
        <f>IF(A82="","",N82-P82)</f>
        <v/>
      </c>
      <c r="R82" s="49">
        <f>IF(A82="","",IF(P82&gt;=N82-0.01,"محصّل بالكامل",IF(P82&gt;0,"محصّل جزئياً","غير محصّل")))</f>
        <v/>
      </c>
    </row>
    <row r="83">
      <c r="A83" s="39">
        <f>IF(B83="","","IPC-"&amp;TEXT(ROW()-4,"0000"))</f>
        <v/>
      </c>
      <c r="B83" s="50" t="n"/>
      <c r="C83" s="49">
        <f>IF(B83="","",IFERROR(INDEX('المشروعات'!$B$5:$B$304,MATCH(B83,'المشروعات'!$A$5:$A$304,0)),""))</f>
        <v/>
      </c>
      <c r="D83" s="47" t="n"/>
      <c r="E83" s="47" t="n"/>
      <c r="F83" s="41" t="n"/>
      <c r="G83" s="46">
        <f>IF(B83="","",SUMIFS($H$4:H82,$B$4:B82,B83))</f>
        <v/>
      </c>
      <c r="H83" s="46">
        <f>IF(B83="","",F83-G83)</f>
        <v/>
      </c>
      <c r="I83" s="46">
        <f>IF(B83="","",H83*S_Ret)</f>
        <v/>
      </c>
      <c r="J83" s="41" t="n"/>
      <c r="K83" s="41" t="n"/>
      <c r="L83" s="46">
        <f>IF(B83="","",H83-I83-N(J83)-N(K83))</f>
        <v/>
      </c>
      <c r="M83" s="46">
        <f>IF(B83="","",L83*S_VAT)</f>
        <v/>
      </c>
      <c r="N83" s="46">
        <f>IF(B83="","",L83+M83)</f>
        <v/>
      </c>
      <c r="O83" s="40" t="n"/>
      <c r="P83" s="46">
        <f>IF(A83="","",SUMIFS('سندات القبض'!$K$5:$K$304,'سندات القبض'!$F$5:$F$304,A83))</f>
        <v/>
      </c>
      <c r="Q83" s="46">
        <f>IF(A83="","",N83-P83)</f>
        <v/>
      </c>
      <c r="R83" s="49">
        <f>IF(A83="","",IF(P83&gt;=N83-0.01,"محصّل بالكامل",IF(P83&gt;0,"محصّل جزئياً","غير محصّل")))</f>
        <v/>
      </c>
    </row>
    <row r="84">
      <c r="A84" s="39">
        <f>IF(B84="","","IPC-"&amp;TEXT(ROW()-4,"0000"))</f>
        <v/>
      </c>
      <c r="B84" s="50" t="n"/>
      <c r="C84" s="49">
        <f>IF(B84="","",IFERROR(INDEX('المشروعات'!$B$5:$B$304,MATCH(B84,'المشروعات'!$A$5:$A$304,0)),""))</f>
        <v/>
      </c>
      <c r="D84" s="47" t="n"/>
      <c r="E84" s="47" t="n"/>
      <c r="F84" s="41" t="n"/>
      <c r="G84" s="46">
        <f>IF(B84="","",SUMIFS($H$4:H83,$B$4:B83,B84))</f>
        <v/>
      </c>
      <c r="H84" s="46">
        <f>IF(B84="","",F84-G84)</f>
        <v/>
      </c>
      <c r="I84" s="46">
        <f>IF(B84="","",H84*S_Ret)</f>
        <v/>
      </c>
      <c r="J84" s="41" t="n"/>
      <c r="K84" s="41" t="n"/>
      <c r="L84" s="46">
        <f>IF(B84="","",H84-I84-N(J84)-N(K84))</f>
        <v/>
      </c>
      <c r="M84" s="46">
        <f>IF(B84="","",L84*S_VAT)</f>
        <v/>
      </c>
      <c r="N84" s="46">
        <f>IF(B84="","",L84+M84)</f>
        <v/>
      </c>
      <c r="O84" s="40" t="n"/>
      <c r="P84" s="46">
        <f>IF(A84="","",SUMIFS('سندات القبض'!$K$5:$K$304,'سندات القبض'!$F$5:$F$304,A84))</f>
        <v/>
      </c>
      <c r="Q84" s="46">
        <f>IF(A84="","",N84-P84)</f>
        <v/>
      </c>
      <c r="R84" s="49">
        <f>IF(A84="","",IF(P84&gt;=N84-0.01,"محصّل بالكامل",IF(P84&gt;0,"محصّل جزئياً","غير محصّل")))</f>
        <v/>
      </c>
    </row>
    <row r="85">
      <c r="A85" s="39">
        <f>IF(B85="","","IPC-"&amp;TEXT(ROW()-4,"0000"))</f>
        <v/>
      </c>
      <c r="B85" s="50" t="n"/>
      <c r="C85" s="49">
        <f>IF(B85="","",IFERROR(INDEX('المشروعات'!$B$5:$B$304,MATCH(B85,'المشروعات'!$A$5:$A$304,0)),""))</f>
        <v/>
      </c>
      <c r="D85" s="47" t="n"/>
      <c r="E85" s="47" t="n"/>
      <c r="F85" s="41" t="n"/>
      <c r="G85" s="46">
        <f>IF(B85="","",SUMIFS($H$4:H84,$B$4:B84,B85))</f>
        <v/>
      </c>
      <c r="H85" s="46">
        <f>IF(B85="","",F85-G85)</f>
        <v/>
      </c>
      <c r="I85" s="46">
        <f>IF(B85="","",H85*S_Ret)</f>
        <v/>
      </c>
      <c r="J85" s="41" t="n"/>
      <c r="K85" s="41" t="n"/>
      <c r="L85" s="46">
        <f>IF(B85="","",H85-I85-N(J85)-N(K85))</f>
        <v/>
      </c>
      <c r="M85" s="46">
        <f>IF(B85="","",L85*S_VAT)</f>
        <v/>
      </c>
      <c r="N85" s="46">
        <f>IF(B85="","",L85+M85)</f>
        <v/>
      </c>
      <c r="O85" s="40" t="n"/>
      <c r="P85" s="46">
        <f>IF(A85="","",SUMIFS('سندات القبض'!$K$5:$K$304,'سندات القبض'!$F$5:$F$304,A85))</f>
        <v/>
      </c>
      <c r="Q85" s="46">
        <f>IF(A85="","",N85-P85)</f>
        <v/>
      </c>
      <c r="R85" s="49">
        <f>IF(A85="","",IF(P85&gt;=N85-0.01,"محصّل بالكامل",IF(P85&gt;0,"محصّل جزئياً","غير محصّل")))</f>
        <v/>
      </c>
    </row>
    <row r="86">
      <c r="A86" s="39">
        <f>IF(B86="","","IPC-"&amp;TEXT(ROW()-4,"0000"))</f>
        <v/>
      </c>
      <c r="B86" s="50" t="n"/>
      <c r="C86" s="49">
        <f>IF(B86="","",IFERROR(INDEX('المشروعات'!$B$5:$B$304,MATCH(B86,'المشروعات'!$A$5:$A$304,0)),""))</f>
        <v/>
      </c>
      <c r="D86" s="47" t="n"/>
      <c r="E86" s="47" t="n"/>
      <c r="F86" s="41" t="n"/>
      <c r="G86" s="46">
        <f>IF(B86="","",SUMIFS($H$4:H85,$B$4:B85,B86))</f>
        <v/>
      </c>
      <c r="H86" s="46">
        <f>IF(B86="","",F86-G86)</f>
        <v/>
      </c>
      <c r="I86" s="46">
        <f>IF(B86="","",H86*S_Ret)</f>
        <v/>
      </c>
      <c r="J86" s="41" t="n"/>
      <c r="K86" s="41" t="n"/>
      <c r="L86" s="46">
        <f>IF(B86="","",H86-I86-N(J86)-N(K86))</f>
        <v/>
      </c>
      <c r="M86" s="46">
        <f>IF(B86="","",L86*S_VAT)</f>
        <v/>
      </c>
      <c r="N86" s="46">
        <f>IF(B86="","",L86+M86)</f>
        <v/>
      </c>
      <c r="O86" s="40" t="n"/>
      <c r="P86" s="46">
        <f>IF(A86="","",SUMIFS('سندات القبض'!$K$5:$K$304,'سندات القبض'!$F$5:$F$304,A86))</f>
        <v/>
      </c>
      <c r="Q86" s="46">
        <f>IF(A86="","",N86-P86)</f>
        <v/>
      </c>
      <c r="R86" s="49">
        <f>IF(A86="","",IF(P86&gt;=N86-0.01,"محصّل بالكامل",IF(P86&gt;0,"محصّل جزئياً","غير محصّل")))</f>
        <v/>
      </c>
    </row>
    <row r="87">
      <c r="A87" s="39">
        <f>IF(B87="","","IPC-"&amp;TEXT(ROW()-4,"0000"))</f>
        <v/>
      </c>
      <c r="B87" s="50" t="n"/>
      <c r="C87" s="49">
        <f>IF(B87="","",IFERROR(INDEX('المشروعات'!$B$5:$B$304,MATCH(B87,'المشروعات'!$A$5:$A$304,0)),""))</f>
        <v/>
      </c>
      <c r="D87" s="47" t="n"/>
      <c r="E87" s="47" t="n"/>
      <c r="F87" s="41" t="n"/>
      <c r="G87" s="46">
        <f>IF(B87="","",SUMIFS($H$4:H86,$B$4:B86,B87))</f>
        <v/>
      </c>
      <c r="H87" s="46">
        <f>IF(B87="","",F87-G87)</f>
        <v/>
      </c>
      <c r="I87" s="46">
        <f>IF(B87="","",H87*S_Ret)</f>
        <v/>
      </c>
      <c r="J87" s="41" t="n"/>
      <c r="K87" s="41" t="n"/>
      <c r="L87" s="46">
        <f>IF(B87="","",H87-I87-N(J87)-N(K87))</f>
        <v/>
      </c>
      <c r="M87" s="46">
        <f>IF(B87="","",L87*S_VAT)</f>
        <v/>
      </c>
      <c r="N87" s="46">
        <f>IF(B87="","",L87+M87)</f>
        <v/>
      </c>
      <c r="O87" s="40" t="n"/>
      <c r="P87" s="46">
        <f>IF(A87="","",SUMIFS('سندات القبض'!$K$5:$K$304,'سندات القبض'!$F$5:$F$304,A87))</f>
        <v/>
      </c>
      <c r="Q87" s="46">
        <f>IF(A87="","",N87-P87)</f>
        <v/>
      </c>
      <c r="R87" s="49">
        <f>IF(A87="","",IF(P87&gt;=N87-0.01,"محصّل بالكامل",IF(P87&gt;0,"محصّل جزئياً","غير محصّل")))</f>
        <v/>
      </c>
    </row>
    <row r="88">
      <c r="A88" s="39">
        <f>IF(B88="","","IPC-"&amp;TEXT(ROW()-4,"0000"))</f>
        <v/>
      </c>
      <c r="B88" s="50" t="n"/>
      <c r="C88" s="49">
        <f>IF(B88="","",IFERROR(INDEX('المشروعات'!$B$5:$B$304,MATCH(B88,'المشروعات'!$A$5:$A$304,0)),""))</f>
        <v/>
      </c>
      <c r="D88" s="47" t="n"/>
      <c r="E88" s="47" t="n"/>
      <c r="F88" s="41" t="n"/>
      <c r="G88" s="46">
        <f>IF(B88="","",SUMIFS($H$4:H87,$B$4:B87,B88))</f>
        <v/>
      </c>
      <c r="H88" s="46">
        <f>IF(B88="","",F88-G88)</f>
        <v/>
      </c>
      <c r="I88" s="46">
        <f>IF(B88="","",H88*S_Ret)</f>
        <v/>
      </c>
      <c r="J88" s="41" t="n"/>
      <c r="K88" s="41" t="n"/>
      <c r="L88" s="46">
        <f>IF(B88="","",H88-I88-N(J88)-N(K88))</f>
        <v/>
      </c>
      <c r="M88" s="46">
        <f>IF(B88="","",L88*S_VAT)</f>
        <v/>
      </c>
      <c r="N88" s="46">
        <f>IF(B88="","",L88+M88)</f>
        <v/>
      </c>
      <c r="O88" s="40" t="n"/>
      <c r="P88" s="46">
        <f>IF(A88="","",SUMIFS('سندات القبض'!$K$5:$K$304,'سندات القبض'!$F$5:$F$304,A88))</f>
        <v/>
      </c>
      <c r="Q88" s="46">
        <f>IF(A88="","",N88-P88)</f>
        <v/>
      </c>
      <c r="R88" s="49">
        <f>IF(A88="","",IF(P88&gt;=N88-0.01,"محصّل بالكامل",IF(P88&gt;0,"محصّل جزئياً","غير محصّل")))</f>
        <v/>
      </c>
    </row>
    <row r="89">
      <c r="A89" s="39">
        <f>IF(B89="","","IPC-"&amp;TEXT(ROW()-4,"0000"))</f>
        <v/>
      </c>
      <c r="B89" s="50" t="n"/>
      <c r="C89" s="49">
        <f>IF(B89="","",IFERROR(INDEX('المشروعات'!$B$5:$B$304,MATCH(B89,'المشروعات'!$A$5:$A$304,0)),""))</f>
        <v/>
      </c>
      <c r="D89" s="47" t="n"/>
      <c r="E89" s="47" t="n"/>
      <c r="F89" s="41" t="n"/>
      <c r="G89" s="46">
        <f>IF(B89="","",SUMIFS($H$4:H88,$B$4:B88,B89))</f>
        <v/>
      </c>
      <c r="H89" s="46">
        <f>IF(B89="","",F89-G89)</f>
        <v/>
      </c>
      <c r="I89" s="46">
        <f>IF(B89="","",H89*S_Ret)</f>
        <v/>
      </c>
      <c r="J89" s="41" t="n"/>
      <c r="K89" s="41" t="n"/>
      <c r="L89" s="46">
        <f>IF(B89="","",H89-I89-N(J89)-N(K89))</f>
        <v/>
      </c>
      <c r="M89" s="46">
        <f>IF(B89="","",L89*S_VAT)</f>
        <v/>
      </c>
      <c r="N89" s="46">
        <f>IF(B89="","",L89+M89)</f>
        <v/>
      </c>
      <c r="O89" s="40" t="n"/>
      <c r="P89" s="46">
        <f>IF(A89="","",SUMIFS('سندات القبض'!$K$5:$K$304,'سندات القبض'!$F$5:$F$304,A89))</f>
        <v/>
      </c>
      <c r="Q89" s="46">
        <f>IF(A89="","",N89-P89)</f>
        <v/>
      </c>
      <c r="R89" s="49">
        <f>IF(A89="","",IF(P89&gt;=N89-0.01,"محصّل بالكامل",IF(P89&gt;0,"محصّل جزئياً","غير محصّل")))</f>
        <v/>
      </c>
    </row>
    <row r="90">
      <c r="A90" s="39">
        <f>IF(B90="","","IPC-"&amp;TEXT(ROW()-4,"0000"))</f>
        <v/>
      </c>
      <c r="B90" s="50" t="n"/>
      <c r="C90" s="49">
        <f>IF(B90="","",IFERROR(INDEX('المشروعات'!$B$5:$B$304,MATCH(B90,'المشروعات'!$A$5:$A$304,0)),""))</f>
        <v/>
      </c>
      <c r="D90" s="47" t="n"/>
      <c r="E90" s="47" t="n"/>
      <c r="F90" s="41" t="n"/>
      <c r="G90" s="46">
        <f>IF(B90="","",SUMIFS($H$4:H89,$B$4:B89,B90))</f>
        <v/>
      </c>
      <c r="H90" s="46">
        <f>IF(B90="","",F90-G90)</f>
        <v/>
      </c>
      <c r="I90" s="46">
        <f>IF(B90="","",H90*S_Ret)</f>
        <v/>
      </c>
      <c r="J90" s="41" t="n"/>
      <c r="K90" s="41" t="n"/>
      <c r="L90" s="46">
        <f>IF(B90="","",H90-I90-N(J90)-N(K90))</f>
        <v/>
      </c>
      <c r="M90" s="46">
        <f>IF(B90="","",L90*S_VAT)</f>
        <v/>
      </c>
      <c r="N90" s="46">
        <f>IF(B90="","",L90+M90)</f>
        <v/>
      </c>
      <c r="O90" s="40" t="n"/>
      <c r="P90" s="46">
        <f>IF(A90="","",SUMIFS('سندات القبض'!$K$5:$K$304,'سندات القبض'!$F$5:$F$304,A90))</f>
        <v/>
      </c>
      <c r="Q90" s="46">
        <f>IF(A90="","",N90-P90)</f>
        <v/>
      </c>
      <c r="R90" s="49">
        <f>IF(A90="","",IF(P90&gt;=N90-0.01,"محصّل بالكامل",IF(P90&gt;0,"محصّل جزئياً","غير محصّل")))</f>
        <v/>
      </c>
    </row>
    <row r="91">
      <c r="A91" s="39">
        <f>IF(B91="","","IPC-"&amp;TEXT(ROW()-4,"0000"))</f>
        <v/>
      </c>
      <c r="B91" s="50" t="n"/>
      <c r="C91" s="49">
        <f>IF(B91="","",IFERROR(INDEX('المشروعات'!$B$5:$B$304,MATCH(B91,'المشروعات'!$A$5:$A$304,0)),""))</f>
        <v/>
      </c>
      <c r="D91" s="47" t="n"/>
      <c r="E91" s="47" t="n"/>
      <c r="F91" s="41" t="n"/>
      <c r="G91" s="46">
        <f>IF(B91="","",SUMIFS($H$4:H90,$B$4:B90,B91))</f>
        <v/>
      </c>
      <c r="H91" s="46">
        <f>IF(B91="","",F91-G91)</f>
        <v/>
      </c>
      <c r="I91" s="46">
        <f>IF(B91="","",H91*S_Ret)</f>
        <v/>
      </c>
      <c r="J91" s="41" t="n"/>
      <c r="K91" s="41" t="n"/>
      <c r="L91" s="46">
        <f>IF(B91="","",H91-I91-N(J91)-N(K91))</f>
        <v/>
      </c>
      <c r="M91" s="46">
        <f>IF(B91="","",L91*S_VAT)</f>
        <v/>
      </c>
      <c r="N91" s="46">
        <f>IF(B91="","",L91+M91)</f>
        <v/>
      </c>
      <c r="O91" s="40" t="n"/>
      <c r="P91" s="46">
        <f>IF(A91="","",SUMIFS('سندات القبض'!$K$5:$K$304,'سندات القبض'!$F$5:$F$304,A91))</f>
        <v/>
      </c>
      <c r="Q91" s="46">
        <f>IF(A91="","",N91-P91)</f>
        <v/>
      </c>
      <c r="R91" s="49">
        <f>IF(A91="","",IF(P91&gt;=N91-0.01,"محصّل بالكامل",IF(P91&gt;0,"محصّل جزئياً","غير محصّل")))</f>
        <v/>
      </c>
    </row>
    <row r="92">
      <c r="A92" s="39">
        <f>IF(B92="","","IPC-"&amp;TEXT(ROW()-4,"0000"))</f>
        <v/>
      </c>
      <c r="B92" s="50" t="n"/>
      <c r="C92" s="49">
        <f>IF(B92="","",IFERROR(INDEX('المشروعات'!$B$5:$B$304,MATCH(B92,'المشروعات'!$A$5:$A$304,0)),""))</f>
        <v/>
      </c>
      <c r="D92" s="47" t="n"/>
      <c r="E92" s="47" t="n"/>
      <c r="F92" s="41" t="n"/>
      <c r="G92" s="46">
        <f>IF(B92="","",SUMIFS($H$4:H91,$B$4:B91,B92))</f>
        <v/>
      </c>
      <c r="H92" s="46">
        <f>IF(B92="","",F92-G92)</f>
        <v/>
      </c>
      <c r="I92" s="46">
        <f>IF(B92="","",H92*S_Ret)</f>
        <v/>
      </c>
      <c r="J92" s="41" t="n"/>
      <c r="K92" s="41" t="n"/>
      <c r="L92" s="46">
        <f>IF(B92="","",H92-I92-N(J92)-N(K92))</f>
        <v/>
      </c>
      <c r="M92" s="46">
        <f>IF(B92="","",L92*S_VAT)</f>
        <v/>
      </c>
      <c r="N92" s="46">
        <f>IF(B92="","",L92+M92)</f>
        <v/>
      </c>
      <c r="O92" s="40" t="n"/>
      <c r="P92" s="46">
        <f>IF(A92="","",SUMIFS('سندات القبض'!$K$5:$K$304,'سندات القبض'!$F$5:$F$304,A92))</f>
        <v/>
      </c>
      <c r="Q92" s="46">
        <f>IF(A92="","",N92-P92)</f>
        <v/>
      </c>
      <c r="R92" s="49">
        <f>IF(A92="","",IF(P92&gt;=N92-0.01,"محصّل بالكامل",IF(P92&gt;0,"محصّل جزئياً","غير محصّل")))</f>
        <v/>
      </c>
    </row>
    <row r="93">
      <c r="A93" s="39">
        <f>IF(B93="","","IPC-"&amp;TEXT(ROW()-4,"0000"))</f>
        <v/>
      </c>
      <c r="B93" s="50" t="n"/>
      <c r="C93" s="49">
        <f>IF(B93="","",IFERROR(INDEX('المشروعات'!$B$5:$B$304,MATCH(B93,'المشروعات'!$A$5:$A$304,0)),""))</f>
        <v/>
      </c>
      <c r="D93" s="47" t="n"/>
      <c r="E93" s="47" t="n"/>
      <c r="F93" s="41" t="n"/>
      <c r="G93" s="46">
        <f>IF(B93="","",SUMIFS($H$4:H92,$B$4:B92,B93))</f>
        <v/>
      </c>
      <c r="H93" s="46">
        <f>IF(B93="","",F93-G93)</f>
        <v/>
      </c>
      <c r="I93" s="46">
        <f>IF(B93="","",H93*S_Ret)</f>
        <v/>
      </c>
      <c r="J93" s="41" t="n"/>
      <c r="K93" s="41" t="n"/>
      <c r="L93" s="46">
        <f>IF(B93="","",H93-I93-N(J93)-N(K93))</f>
        <v/>
      </c>
      <c r="M93" s="46">
        <f>IF(B93="","",L93*S_VAT)</f>
        <v/>
      </c>
      <c r="N93" s="46">
        <f>IF(B93="","",L93+M93)</f>
        <v/>
      </c>
      <c r="O93" s="40" t="n"/>
      <c r="P93" s="46">
        <f>IF(A93="","",SUMIFS('سندات القبض'!$K$5:$K$304,'سندات القبض'!$F$5:$F$304,A93))</f>
        <v/>
      </c>
      <c r="Q93" s="46">
        <f>IF(A93="","",N93-P93)</f>
        <v/>
      </c>
      <c r="R93" s="49">
        <f>IF(A93="","",IF(P93&gt;=N93-0.01,"محصّل بالكامل",IF(P93&gt;0,"محصّل جزئياً","غير محصّل")))</f>
        <v/>
      </c>
    </row>
    <row r="94">
      <c r="A94" s="39">
        <f>IF(B94="","","IPC-"&amp;TEXT(ROW()-4,"0000"))</f>
        <v/>
      </c>
      <c r="B94" s="50" t="n"/>
      <c r="C94" s="49">
        <f>IF(B94="","",IFERROR(INDEX('المشروعات'!$B$5:$B$304,MATCH(B94,'المشروعات'!$A$5:$A$304,0)),""))</f>
        <v/>
      </c>
      <c r="D94" s="47" t="n"/>
      <c r="E94" s="47" t="n"/>
      <c r="F94" s="41" t="n"/>
      <c r="G94" s="46">
        <f>IF(B94="","",SUMIFS($H$4:H93,$B$4:B93,B94))</f>
        <v/>
      </c>
      <c r="H94" s="46">
        <f>IF(B94="","",F94-G94)</f>
        <v/>
      </c>
      <c r="I94" s="46">
        <f>IF(B94="","",H94*S_Ret)</f>
        <v/>
      </c>
      <c r="J94" s="41" t="n"/>
      <c r="K94" s="41" t="n"/>
      <c r="L94" s="46">
        <f>IF(B94="","",H94-I94-N(J94)-N(K94))</f>
        <v/>
      </c>
      <c r="M94" s="46">
        <f>IF(B94="","",L94*S_VAT)</f>
        <v/>
      </c>
      <c r="N94" s="46">
        <f>IF(B94="","",L94+M94)</f>
        <v/>
      </c>
      <c r="O94" s="40" t="n"/>
      <c r="P94" s="46">
        <f>IF(A94="","",SUMIFS('سندات القبض'!$K$5:$K$304,'سندات القبض'!$F$5:$F$304,A94))</f>
        <v/>
      </c>
      <c r="Q94" s="46">
        <f>IF(A94="","",N94-P94)</f>
        <v/>
      </c>
      <c r="R94" s="49">
        <f>IF(A94="","",IF(P94&gt;=N94-0.01,"محصّل بالكامل",IF(P94&gt;0,"محصّل جزئياً","غير محصّل")))</f>
        <v/>
      </c>
    </row>
    <row r="95">
      <c r="A95" s="39">
        <f>IF(B95="","","IPC-"&amp;TEXT(ROW()-4,"0000"))</f>
        <v/>
      </c>
      <c r="B95" s="50" t="n"/>
      <c r="C95" s="49">
        <f>IF(B95="","",IFERROR(INDEX('المشروعات'!$B$5:$B$304,MATCH(B95,'المشروعات'!$A$5:$A$304,0)),""))</f>
        <v/>
      </c>
      <c r="D95" s="47" t="n"/>
      <c r="E95" s="47" t="n"/>
      <c r="F95" s="41" t="n"/>
      <c r="G95" s="46">
        <f>IF(B95="","",SUMIFS($H$4:H94,$B$4:B94,B95))</f>
        <v/>
      </c>
      <c r="H95" s="46">
        <f>IF(B95="","",F95-G95)</f>
        <v/>
      </c>
      <c r="I95" s="46">
        <f>IF(B95="","",H95*S_Ret)</f>
        <v/>
      </c>
      <c r="J95" s="41" t="n"/>
      <c r="K95" s="41" t="n"/>
      <c r="L95" s="46">
        <f>IF(B95="","",H95-I95-N(J95)-N(K95))</f>
        <v/>
      </c>
      <c r="M95" s="46">
        <f>IF(B95="","",L95*S_VAT)</f>
        <v/>
      </c>
      <c r="N95" s="46">
        <f>IF(B95="","",L95+M95)</f>
        <v/>
      </c>
      <c r="O95" s="40" t="n"/>
      <c r="P95" s="46">
        <f>IF(A95="","",SUMIFS('سندات القبض'!$K$5:$K$304,'سندات القبض'!$F$5:$F$304,A95))</f>
        <v/>
      </c>
      <c r="Q95" s="46">
        <f>IF(A95="","",N95-P95)</f>
        <v/>
      </c>
      <c r="R95" s="49">
        <f>IF(A95="","",IF(P95&gt;=N95-0.01,"محصّل بالكامل",IF(P95&gt;0,"محصّل جزئياً","غير محصّل")))</f>
        <v/>
      </c>
    </row>
    <row r="96">
      <c r="A96" s="39">
        <f>IF(B96="","","IPC-"&amp;TEXT(ROW()-4,"0000"))</f>
        <v/>
      </c>
      <c r="B96" s="50" t="n"/>
      <c r="C96" s="49">
        <f>IF(B96="","",IFERROR(INDEX('المشروعات'!$B$5:$B$304,MATCH(B96,'المشروعات'!$A$5:$A$304,0)),""))</f>
        <v/>
      </c>
      <c r="D96" s="47" t="n"/>
      <c r="E96" s="47" t="n"/>
      <c r="F96" s="41" t="n"/>
      <c r="G96" s="46">
        <f>IF(B96="","",SUMIFS($H$4:H95,$B$4:B95,B96))</f>
        <v/>
      </c>
      <c r="H96" s="46">
        <f>IF(B96="","",F96-G96)</f>
        <v/>
      </c>
      <c r="I96" s="46">
        <f>IF(B96="","",H96*S_Ret)</f>
        <v/>
      </c>
      <c r="J96" s="41" t="n"/>
      <c r="K96" s="41" t="n"/>
      <c r="L96" s="46">
        <f>IF(B96="","",H96-I96-N(J96)-N(K96))</f>
        <v/>
      </c>
      <c r="M96" s="46">
        <f>IF(B96="","",L96*S_VAT)</f>
        <v/>
      </c>
      <c r="N96" s="46">
        <f>IF(B96="","",L96+M96)</f>
        <v/>
      </c>
      <c r="O96" s="40" t="n"/>
      <c r="P96" s="46">
        <f>IF(A96="","",SUMIFS('سندات القبض'!$K$5:$K$304,'سندات القبض'!$F$5:$F$304,A96))</f>
        <v/>
      </c>
      <c r="Q96" s="46">
        <f>IF(A96="","",N96-P96)</f>
        <v/>
      </c>
      <c r="R96" s="49">
        <f>IF(A96="","",IF(P96&gt;=N96-0.01,"محصّل بالكامل",IF(P96&gt;0,"محصّل جزئياً","غير محصّل")))</f>
        <v/>
      </c>
    </row>
    <row r="97">
      <c r="A97" s="39">
        <f>IF(B97="","","IPC-"&amp;TEXT(ROW()-4,"0000"))</f>
        <v/>
      </c>
      <c r="B97" s="50" t="n"/>
      <c r="C97" s="49">
        <f>IF(B97="","",IFERROR(INDEX('المشروعات'!$B$5:$B$304,MATCH(B97,'المشروعات'!$A$5:$A$304,0)),""))</f>
        <v/>
      </c>
      <c r="D97" s="47" t="n"/>
      <c r="E97" s="47" t="n"/>
      <c r="F97" s="41" t="n"/>
      <c r="G97" s="46">
        <f>IF(B97="","",SUMIFS($H$4:H96,$B$4:B96,B97))</f>
        <v/>
      </c>
      <c r="H97" s="46">
        <f>IF(B97="","",F97-G97)</f>
        <v/>
      </c>
      <c r="I97" s="46">
        <f>IF(B97="","",H97*S_Ret)</f>
        <v/>
      </c>
      <c r="J97" s="41" t="n"/>
      <c r="K97" s="41" t="n"/>
      <c r="L97" s="46">
        <f>IF(B97="","",H97-I97-N(J97)-N(K97))</f>
        <v/>
      </c>
      <c r="M97" s="46">
        <f>IF(B97="","",L97*S_VAT)</f>
        <v/>
      </c>
      <c r="N97" s="46">
        <f>IF(B97="","",L97+M97)</f>
        <v/>
      </c>
      <c r="O97" s="40" t="n"/>
      <c r="P97" s="46">
        <f>IF(A97="","",SUMIFS('سندات القبض'!$K$5:$K$304,'سندات القبض'!$F$5:$F$304,A97))</f>
        <v/>
      </c>
      <c r="Q97" s="46">
        <f>IF(A97="","",N97-P97)</f>
        <v/>
      </c>
      <c r="R97" s="49">
        <f>IF(A97="","",IF(P97&gt;=N97-0.01,"محصّل بالكامل",IF(P97&gt;0,"محصّل جزئياً","غير محصّل")))</f>
        <v/>
      </c>
    </row>
    <row r="98">
      <c r="A98" s="39">
        <f>IF(B98="","","IPC-"&amp;TEXT(ROW()-4,"0000"))</f>
        <v/>
      </c>
      <c r="B98" s="50" t="n"/>
      <c r="C98" s="49">
        <f>IF(B98="","",IFERROR(INDEX('المشروعات'!$B$5:$B$304,MATCH(B98,'المشروعات'!$A$5:$A$304,0)),""))</f>
        <v/>
      </c>
      <c r="D98" s="47" t="n"/>
      <c r="E98" s="47" t="n"/>
      <c r="F98" s="41" t="n"/>
      <c r="G98" s="46">
        <f>IF(B98="","",SUMIFS($H$4:H97,$B$4:B97,B98))</f>
        <v/>
      </c>
      <c r="H98" s="46">
        <f>IF(B98="","",F98-G98)</f>
        <v/>
      </c>
      <c r="I98" s="46">
        <f>IF(B98="","",H98*S_Ret)</f>
        <v/>
      </c>
      <c r="J98" s="41" t="n"/>
      <c r="K98" s="41" t="n"/>
      <c r="L98" s="46">
        <f>IF(B98="","",H98-I98-N(J98)-N(K98))</f>
        <v/>
      </c>
      <c r="M98" s="46">
        <f>IF(B98="","",L98*S_VAT)</f>
        <v/>
      </c>
      <c r="N98" s="46">
        <f>IF(B98="","",L98+M98)</f>
        <v/>
      </c>
      <c r="O98" s="40" t="n"/>
      <c r="P98" s="46">
        <f>IF(A98="","",SUMIFS('سندات القبض'!$K$5:$K$304,'سندات القبض'!$F$5:$F$304,A98))</f>
        <v/>
      </c>
      <c r="Q98" s="46">
        <f>IF(A98="","",N98-P98)</f>
        <v/>
      </c>
      <c r="R98" s="49">
        <f>IF(A98="","",IF(P98&gt;=N98-0.01,"محصّل بالكامل",IF(P98&gt;0,"محصّل جزئياً","غير محصّل")))</f>
        <v/>
      </c>
    </row>
    <row r="99">
      <c r="A99" s="39">
        <f>IF(B99="","","IPC-"&amp;TEXT(ROW()-4,"0000"))</f>
        <v/>
      </c>
      <c r="B99" s="50" t="n"/>
      <c r="C99" s="49">
        <f>IF(B99="","",IFERROR(INDEX('المشروعات'!$B$5:$B$304,MATCH(B99,'المشروعات'!$A$5:$A$304,0)),""))</f>
        <v/>
      </c>
      <c r="D99" s="47" t="n"/>
      <c r="E99" s="47" t="n"/>
      <c r="F99" s="41" t="n"/>
      <c r="G99" s="46">
        <f>IF(B99="","",SUMIFS($H$4:H98,$B$4:B98,B99))</f>
        <v/>
      </c>
      <c r="H99" s="46">
        <f>IF(B99="","",F99-G99)</f>
        <v/>
      </c>
      <c r="I99" s="46">
        <f>IF(B99="","",H99*S_Ret)</f>
        <v/>
      </c>
      <c r="J99" s="41" t="n"/>
      <c r="K99" s="41" t="n"/>
      <c r="L99" s="46">
        <f>IF(B99="","",H99-I99-N(J99)-N(K99))</f>
        <v/>
      </c>
      <c r="M99" s="46">
        <f>IF(B99="","",L99*S_VAT)</f>
        <v/>
      </c>
      <c r="N99" s="46">
        <f>IF(B99="","",L99+M99)</f>
        <v/>
      </c>
      <c r="O99" s="40" t="n"/>
      <c r="P99" s="46">
        <f>IF(A99="","",SUMIFS('سندات القبض'!$K$5:$K$304,'سندات القبض'!$F$5:$F$304,A99))</f>
        <v/>
      </c>
      <c r="Q99" s="46">
        <f>IF(A99="","",N99-P99)</f>
        <v/>
      </c>
      <c r="R99" s="49">
        <f>IF(A99="","",IF(P99&gt;=N99-0.01,"محصّل بالكامل",IF(P99&gt;0,"محصّل جزئياً","غير محصّل")))</f>
        <v/>
      </c>
    </row>
    <row r="100">
      <c r="A100" s="39">
        <f>IF(B100="","","IPC-"&amp;TEXT(ROW()-4,"0000"))</f>
        <v/>
      </c>
      <c r="B100" s="50" t="n"/>
      <c r="C100" s="49">
        <f>IF(B100="","",IFERROR(INDEX('المشروعات'!$B$5:$B$304,MATCH(B100,'المشروعات'!$A$5:$A$304,0)),""))</f>
        <v/>
      </c>
      <c r="D100" s="47" t="n"/>
      <c r="E100" s="47" t="n"/>
      <c r="F100" s="41" t="n"/>
      <c r="G100" s="46">
        <f>IF(B100="","",SUMIFS($H$4:H99,$B$4:B99,B100))</f>
        <v/>
      </c>
      <c r="H100" s="46">
        <f>IF(B100="","",F100-G100)</f>
        <v/>
      </c>
      <c r="I100" s="46">
        <f>IF(B100="","",H100*S_Ret)</f>
        <v/>
      </c>
      <c r="J100" s="41" t="n"/>
      <c r="K100" s="41" t="n"/>
      <c r="L100" s="46">
        <f>IF(B100="","",H100-I100-N(J100)-N(K100))</f>
        <v/>
      </c>
      <c r="M100" s="46">
        <f>IF(B100="","",L100*S_VAT)</f>
        <v/>
      </c>
      <c r="N100" s="46">
        <f>IF(B100="","",L100+M100)</f>
        <v/>
      </c>
      <c r="O100" s="40" t="n"/>
      <c r="P100" s="46">
        <f>IF(A100="","",SUMIFS('سندات القبض'!$K$5:$K$304,'سندات القبض'!$F$5:$F$304,A100))</f>
        <v/>
      </c>
      <c r="Q100" s="46">
        <f>IF(A100="","",N100-P100)</f>
        <v/>
      </c>
      <c r="R100" s="49">
        <f>IF(A100="","",IF(P100&gt;=N100-0.01,"محصّل بالكامل",IF(P100&gt;0,"محصّل جزئياً","غير محصّل")))</f>
        <v/>
      </c>
    </row>
    <row r="101">
      <c r="A101" s="39">
        <f>IF(B101="","","IPC-"&amp;TEXT(ROW()-4,"0000"))</f>
        <v/>
      </c>
      <c r="B101" s="50" t="n"/>
      <c r="C101" s="49">
        <f>IF(B101="","",IFERROR(INDEX('المشروعات'!$B$5:$B$304,MATCH(B101,'المشروعات'!$A$5:$A$304,0)),""))</f>
        <v/>
      </c>
      <c r="D101" s="47" t="n"/>
      <c r="E101" s="47" t="n"/>
      <c r="F101" s="41" t="n"/>
      <c r="G101" s="46">
        <f>IF(B101="","",SUMIFS($H$4:H100,$B$4:B100,B101))</f>
        <v/>
      </c>
      <c r="H101" s="46">
        <f>IF(B101="","",F101-G101)</f>
        <v/>
      </c>
      <c r="I101" s="46">
        <f>IF(B101="","",H101*S_Ret)</f>
        <v/>
      </c>
      <c r="J101" s="41" t="n"/>
      <c r="K101" s="41" t="n"/>
      <c r="L101" s="46">
        <f>IF(B101="","",H101-I101-N(J101)-N(K101))</f>
        <v/>
      </c>
      <c r="M101" s="46">
        <f>IF(B101="","",L101*S_VAT)</f>
        <v/>
      </c>
      <c r="N101" s="46">
        <f>IF(B101="","",L101+M101)</f>
        <v/>
      </c>
      <c r="O101" s="40" t="n"/>
      <c r="P101" s="46">
        <f>IF(A101="","",SUMIFS('سندات القبض'!$K$5:$K$304,'سندات القبض'!$F$5:$F$304,A101))</f>
        <v/>
      </c>
      <c r="Q101" s="46">
        <f>IF(A101="","",N101-P101)</f>
        <v/>
      </c>
      <c r="R101" s="49">
        <f>IF(A101="","",IF(P101&gt;=N101-0.01,"محصّل بالكامل",IF(P101&gt;0,"محصّل جزئياً","غير محصّل")))</f>
        <v/>
      </c>
    </row>
    <row r="102">
      <c r="A102" s="39">
        <f>IF(B102="","","IPC-"&amp;TEXT(ROW()-4,"0000"))</f>
        <v/>
      </c>
      <c r="B102" s="50" t="n"/>
      <c r="C102" s="49">
        <f>IF(B102="","",IFERROR(INDEX('المشروعات'!$B$5:$B$304,MATCH(B102,'المشروعات'!$A$5:$A$304,0)),""))</f>
        <v/>
      </c>
      <c r="D102" s="47" t="n"/>
      <c r="E102" s="47" t="n"/>
      <c r="F102" s="41" t="n"/>
      <c r="G102" s="46">
        <f>IF(B102="","",SUMIFS($H$4:H101,$B$4:B101,B102))</f>
        <v/>
      </c>
      <c r="H102" s="46">
        <f>IF(B102="","",F102-G102)</f>
        <v/>
      </c>
      <c r="I102" s="46">
        <f>IF(B102="","",H102*S_Ret)</f>
        <v/>
      </c>
      <c r="J102" s="41" t="n"/>
      <c r="K102" s="41" t="n"/>
      <c r="L102" s="46">
        <f>IF(B102="","",H102-I102-N(J102)-N(K102))</f>
        <v/>
      </c>
      <c r="M102" s="46">
        <f>IF(B102="","",L102*S_VAT)</f>
        <v/>
      </c>
      <c r="N102" s="46">
        <f>IF(B102="","",L102+M102)</f>
        <v/>
      </c>
      <c r="O102" s="40" t="n"/>
      <c r="P102" s="46">
        <f>IF(A102="","",SUMIFS('سندات القبض'!$K$5:$K$304,'سندات القبض'!$F$5:$F$304,A102))</f>
        <v/>
      </c>
      <c r="Q102" s="46">
        <f>IF(A102="","",N102-P102)</f>
        <v/>
      </c>
      <c r="R102" s="49">
        <f>IF(A102="","",IF(P102&gt;=N102-0.01,"محصّل بالكامل",IF(P102&gt;0,"محصّل جزئياً","غير محصّل")))</f>
        <v/>
      </c>
    </row>
    <row r="103">
      <c r="A103" s="39">
        <f>IF(B103="","","IPC-"&amp;TEXT(ROW()-4,"0000"))</f>
        <v/>
      </c>
      <c r="B103" s="50" t="n"/>
      <c r="C103" s="49">
        <f>IF(B103="","",IFERROR(INDEX('المشروعات'!$B$5:$B$304,MATCH(B103,'المشروعات'!$A$5:$A$304,0)),""))</f>
        <v/>
      </c>
      <c r="D103" s="47" t="n"/>
      <c r="E103" s="47" t="n"/>
      <c r="F103" s="41" t="n"/>
      <c r="G103" s="46">
        <f>IF(B103="","",SUMIFS($H$4:H102,$B$4:B102,B103))</f>
        <v/>
      </c>
      <c r="H103" s="46">
        <f>IF(B103="","",F103-G103)</f>
        <v/>
      </c>
      <c r="I103" s="46">
        <f>IF(B103="","",H103*S_Ret)</f>
        <v/>
      </c>
      <c r="J103" s="41" t="n"/>
      <c r="K103" s="41" t="n"/>
      <c r="L103" s="46">
        <f>IF(B103="","",H103-I103-N(J103)-N(K103))</f>
        <v/>
      </c>
      <c r="M103" s="46">
        <f>IF(B103="","",L103*S_VAT)</f>
        <v/>
      </c>
      <c r="N103" s="46">
        <f>IF(B103="","",L103+M103)</f>
        <v/>
      </c>
      <c r="O103" s="40" t="n"/>
      <c r="P103" s="46">
        <f>IF(A103="","",SUMIFS('سندات القبض'!$K$5:$K$304,'سندات القبض'!$F$5:$F$304,A103))</f>
        <v/>
      </c>
      <c r="Q103" s="46">
        <f>IF(A103="","",N103-P103)</f>
        <v/>
      </c>
      <c r="R103" s="49">
        <f>IF(A103="","",IF(P103&gt;=N103-0.01,"محصّل بالكامل",IF(P103&gt;0,"محصّل جزئياً","غير محصّل")))</f>
        <v/>
      </c>
    </row>
    <row r="104">
      <c r="A104" s="39">
        <f>IF(B104="","","IPC-"&amp;TEXT(ROW()-4,"0000"))</f>
        <v/>
      </c>
      <c r="B104" s="50" t="n"/>
      <c r="C104" s="49">
        <f>IF(B104="","",IFERROR(INDEX('المشروعات'!$B$5:$B$304,MATCH(B104,'المشروعات'!$A$5:$A$304,0)),""))</f>
        <v/>
      </c>
      <c r="D104" s="47" t="n"/>
      <c r="E104" s="47" t="n"/>
      <c r="F104" s="41" t="n"/>
      <c r="G104" s="46">
        <f>IF(B104="","",SUMIFS($H$4:H103,$B$4:B103,B104))</f>
        <v/>
      </c>
      <c r="H104" s="46">
        <f>IF(B104="","",F104-G104)</f>
        <v/>
      </c>
      <c r="I104" s="46">
        <f>IF(B104="","",H104*S_Ret)</f>
        <v/>
      </c>
      <c r="J104" s="41" t="n"/>
      <c r="K104" s="41" t="n"/>
      <c r="L104" s="46">
        <f>IF(B104="","",H104-I104-N(J104)-N(K104))</f>
        <v/>
      </c>
      <c r="M104" s="46">
        <f>IF(B104="","",L104*S_VAT)</f>
        <v/>
      </c>
      <c r="N104" s="46">
        <f>IF(B104="","",L104+M104)</f>
        <v/>
      </c>
      <c r="O104" s="40" t="n"/>
      <c r="P104" s="46">
        <f>IF(A104="","",SUMIFS('سندات القبض'!$K$5:$K$304,'سندات القبض'!$F$5:$F$304,A104))</f>
        <v/>
      </c>
      <c r="Q104" s="46">
        <f>IF(A104="","",N104-P104)</f>
        <v/>
      </c>
      <c r="R104" s="49">
        <f>IF(A104="","",IF(P104&gt;=N104-0.01,"محصّل بالكامل",IF(P104&gt;0,"محصّل جزئياً","غير محصّل")))</f>
        <v/>
      </c>
    </row>
    <row r="105">
      <c r="A105" s="39">
        <f>IF(B105="","","IPC-"&amp;TEXT(ROW()-4,"0000"))</f>
        <v/>
      </c>
      <c r="B105" s="50" t="n"/>
      <c r="C105" s="49">
        <f>IF(B105="","",IFERROR(INDEX('المشروعات'!$B$5:$B$304,MATCH(B105,'المشروعات'!$A$5:$A$304,0)),""))</f>
        <v/>
      </c>
      <c r="D105" s="47" t="n"/>
      <c r="E105" s="47" t="n"/>
      <c r="F105" s="41" t="n"/>
      <c r="G105" s="46">
        <f>IF(B105="","",SUMIFS($H$4:H104,$B$4:B104,B105))</f>
        <v/>
      </c>
      <c r="H105" s="46">
        <f>IF(B105="","",F105-G105)</f>
        <v/>
      </c>
      <c r="I105" s="46">
        <f>IF(B105="","",H105*S_Ret)</f>
        <v/>
      </c>
      <c r="J105" s="41" t="n"/>
      <c r="K105" s="41" t="n"/>
      <c r="L105" s="46">
        <f>IF(B105="","",H105-I105-N(J105)-N(K105))</f>
        <v/>
      </c>
      <c r="M105" s="46">
        <f>IF(B105="","",L105*S_VAT)</f>
        <v/>
      </c>
      <c r="N105" s="46">
        <f>IF(B105="","",L105+M105)</f>
        <v/>
      </c>
      <c r="O105" s="40" t="n"/>
      <c r="P105" s="46">
        <f>IF(A105="","",SUMIFS('سندات القبض'!$K$5:$K$304,'سندات القبض'!$F$5:$F$304,A105))</f>
        <v/>
      </c>
      <c r="Q105" s="46">
        <f>IF(A105="","",N105-P105)</f>
        <v/>
      </c>
      <c r="R105" s="49">
        <f>IF(A105="","",IF(P105&gt;=N105-0.01,"محصّل بالكامل",IF(P105&gt;0,"محصّل جزئياً","غير محصّل")))</f>
        <v/>
      </c>
    </row>
    <row r="106">
      <c r="A106" s="39">
        <f>IF(B106="","","IPC-"&amp;TEXT(ROW()-4,"0000"))</f>
        <v/>
      </c>
      <c r="B106" s="50" t="n"/>
      <c r="C106" s="49">
        <f>IF(B106="","",IFERROR(INDEX('المشروعات'!$B$5:$B$304,MATCH(B106,'المشروعات'!$A$5:$A$304,0)),""))</f>
        <v/>
      </c>
      <c r="D106" s="47" t="n"/>
      <c r="E106" s="47" t="n"/>
      <c r="F106" s="41" t="n"/>
      <c r="G106" s="46">
        <f>IF(B106="","",SUMIFS($H$4:H105,$B$4:B105,B106))</f>
        <v/>
      </c>
      <c r="H106" s="46">
        <f>IF(B106="","",F106-G106)</f>
        <v/>
      </c>
      <c r="I106" s="46">
        <f>IF(B106="","",H106*S_Ret)</f>
        <v/>
      </c>
      <c r="J106" s="41" t="n"/>
      <c r="K106" s="41" t="n"/>
      <c r="L106" s="46">
        <f>IF(B106="","",H106-I106-N(J106)-N(K106))</f>
        <v/>
      </c>
      <c r="M106" s="46">
        <f>IF(B106="","",L106*S_VAT)</f>
        <v/>
      </c>
      <c r="N106" s="46">
        <f>IF(B106="","",L106+M106)</f>
        <v/>
      </c>
      <c r="O106" s="40" t="n"/>
      <c r="P106" s="46">
        <f>IF(A106="","",SUMIFS('سندات القبض'!$K$5:$K$304,'سندات القبض'!$F$5:$F$304,A106))</f>
        <v/>
      </c>
      <c r="Q106" s="46">
        <f>IF(A106="","",N106-P106)</f>
        <v/>
      </c>
      <c r="R106" s="49">
        <f>IF(A106="","",IF(P106&gt;=N106-0.01,"محصّل بالكامل",IF(P106&gt;0,"محصّل جزئياً","غير محصّل")))</f>
        <v/>
      </c>
    </row>
    <row r="107">
      <c r="A107" s="39">
        <f>IF(B107="","","IPC-"&amp;TEXT(ROW()-4,"0000"))</f>
        <v/>
      </c>
      <c r="B107" s="50" t="n"/>
      <c r="C107" s="49">
        <f>IF(B107="","",IFERROR(INDEX('المشروعات'!$B$5:$B$304,MATCH(B107,'المشروعات'!$A$5:$A$304,0)),""))</f>
        <v/>
      </c>
      <c r="D107" s="47" t="n"/>
      <c r="E107" s="47" t="n"/>
      <c r="F107" s="41" t="n"/>
      <c r="G107" s="46">
        <f>IF(B107="","",SUMIFS($H$4:H106,$B$4:B106,B107))</f>
        <v/>
      </c>
      <c r="H107" s="46">
        <f>IF(B107="","",F107-G107)</f>
        <v/>
      </c>
      <c r="I107" s="46">
        <f>IF(B107="","",H107*S_Ret)</f>
        <v/>
      </c>
      <c r="J107" s="41" t="n"/>
      <c r="K107" s="41" t="n"/>
      <c r="L107" s="46">
        <f>IF(B107="","",H107-I107-N(J107)-N(K107))</f>
        <v/>
      </c>
      <c r="M107" s="46">
        <f>IF(B107="","",L107*S_VAT)</f>
        <v/>
      </c>
      <c r="N107" s="46">
        <f>IF(B107="","",L107+M107)</f>
        <v/>
      </c>
      <c r="O107" s="40" t="n"/>
      <c r="P107" s="46">
        <f>IF(A107="","",SUMIFS('سندات القبض'!$K$5:$K$304,'سندات القبض'!$F$5:$F$304,A107))</f>
        <v/>
      </c>
      <c r="Q107" s="46">
        <f>IF(A107="","",N107-P107)</f>
        <v/>
      </c>
      <c r="R107" s="49">
        <f>IF(A107="","",IF(P107&gt;=N107-0.01,"محصّل بالكامل",IF(P107&gt;0,"محصّل جزئياً","غير محصّل")))</f>
        <v/>
      </c>
    </row>
    <row r="108">
      <c r="A108" s="39">
        <f>IF(B108="","","IPC-"&amp;TEXT(ROW()-4,"0000"))</f>
        <v/>
      </c>
      <c r="B108" s="50" t="n"/>
      <c r="C108" s="49">
        <f>IF(B108="","",IFERROR(INDEX('المشروعات'!$B$5:$B$304,MATCH(B108,'المشروعات'!$A$5:$A$304,0)),""))</f>
        <v/>
      </c>
      <c r="D108" s="47" t="n"/>
      <c r="E108" s="47" t="n"/>
      <c r="F108" s="41" t="n"/>
      <c r="G108" s="46">
        <f>IF(B108="","",SUMIFS($H$4:H107,$B$4:B107,B108))</f>
        <v/>
      </c>
      <c r="H108" s="46">
        <f>IF(B108="","",F108-G108)</f>
        <v/>
      </c>
      <c r="I108" s="46">
        <f>IF(B108="","",H108*S_Ret)</f>
        <v/>
      </c>
      <c r="J108" s="41" t="n"/>
      <c r="K108" s="41" t="n"/>
      <c r="L108" s="46">
        <f>IF(B108="","",H108-I108-N(J108)-N(K108))</f>
        <v/>
      </c>
      <c r="M108" s="46">
        <f>IF(B108="","",L108*S_VAT)</f>
        <v/>
      </c>
      <c r="N108" s="46">
        <f>IF(B108="","",L108+M108)</f>
        <v/>
      </c>
      <c r="O108" s="40" t="n"/>
      <c r="P108" s="46">
        <f>IF(A108="","",SUMIFS('سندات القبض'!$K$5:$K$304,'سندات القبض'!$F$5:$F$304,A108))</f>
        <v/>
      </c>
      <c r="Q108" s="46">
        <f>IF(A108="","",N108-P108)</f>
        <v/>
      </c>
      <c r="R108" s="49">
        <f>IF(A108="","",IF(P108&gt;=N108-0.01,"محصّل بالكامل",IF(P108&gt;0,"محصّل جزئياً","غير محصّل")))</f>
        <v/>
      </c>
    </row>
    <row r="109">
      <c r="A109" s="39">
        <f>IF(B109="","","IPC-"&amp;TEXT(ROW()-4,"0000"))</f>
        <v/>
      </c>
      <c r="B109" s="50" t="n"/>
      <c r="C109" s="49">
        <f>IF(B109="","",IFERROR(INDEX('المشروعات'!$B$5:$B$304,MATCH(B109,'المشروعات'!$A$5:$A$304,0)),""))</f>
        <v/>
      </c>
      <c r="D109" s="47" t="n"/>
      <c r="E109" s="47" t="n"/>
      <c r="F109" s="41" t="n"/>
      <c r="G109" s="46">
        <f>IF(B109="","",SUMIFS($H$4:H108,$B$4:B108,B109))</f>
        <v/>
      </c>
      <c r="H109" s="46">
        <f>IF(B109="","",F109-G109)</f>
        <v/>
      </c>
      <c r="I109" s="46">
        <f>IF(B109="","",H109*S_Ret)</f>
        <v/>
      </c>
      <c r="J109" s="41" t="n"/>
      <c r="K109" s="41" t="n"/>
      <c r="L109" s="46">
        <f>IF(B109="","",H109-I109-N(J109)-N(K109))</f>
        <v/>
      </c>
      <c r="M109" s="46">
        <f>IF(B109="","",L109*S_VAT)</f>
        <v/>
      </c>
      <c r="N109" s="46">
        <f>IF(B109="","",L109+M109)</f>
        <v/>
      </c>
      <c r="O109" s="40" t="n"/>
      <c r="P109" s="46">
        <f>IF(A109="","",SUMIFS('سندات القبض'!$K$5:$K$304,'سندات القبض'!$F$5:$F$304,A109))</f>
        <v/>
      </c>
      <c r="Q109" s="46">
        <f>IF(A109="","",N109-P109)</f>
        <v/>
      </c>
      <c r="R109" s="49">
        <f>IF(A109="","",IF(P109&gt;=N109-0.01,"محصّل بالكامل",IF(P109&gt;0,"محصّل جزئياً","غير محصّل")))</f>
        <v/>
      </c>
    </row>
    <row r="110">
      <c r="A110" s="39">
        <f>IF(B110="","","IPC-"&amp;TEXT(ROW()-4,"0000"))</f>
        <v/>
      </c>
      <c r="B110" s="50" t="n"/>
      <c r="C110" s="49">
        <f>IF(B110="","",IFERROR(INDEX('المشروعات'!$B$5:$B$304,MATCH(B110,'المشروعات'!$A$5:$A$304,0)),""))</f>
        <v/>
      </c>
      <c r="D110" s="47" t="n"/>
      <c r="E110" s="47" t="n"/>
      <c r="F110" s="41" t="n"/>
      <c r="G110" s="46">
        <f>IF(B110="","",SUMIFS($H$4:H109,$B$4:B109,B110))</f>
        <v/>
      </c>
      <c r="H110" s="46">
        <f>IF(B110="","",F110-G110)</f>
        <v/>
      </c>
      <c r="I110" s="46">
        <f>IF(B110="","",H110*S_Ret)</f>
        <v/>
      </c>
      <c r="J110" s="41" t="n"/>
      <c r="K110" s="41" t="n"/>
      <c r="L110" s="46">
        <f>IF(B110="","",H110-I110-N(J110)-N(K110))</f>
        <v/>
      </c>
      <c r="M110" s="46">
        <f>IF(B110="","",L110*S_VAT)</f>
        <v/>
      </c>
      <c r="N110" s="46">
        <f>IF(B110="","",L110+M110)</f>
        <v/>
      </c>
      <c r="O110" s="40" t="n"/>
      <c r="P110" s="46">
        <f>IF(A110="","",SUMIFS('سندات القبض'!$K$5:$K$304,'سندات القبض'!$F$5:$F$304,A110))</f>
        <v/>
      </c>
      <c r="Q110" s="46">
        <f>IF(A110="","",N110-P110)</f>
        <v/>
      </c>
      <c r="R110" s="49">
        <f>IF(A110="","",IF(P110&gt;=N110-0.01,"محصّل بالكامل",IF(P110&gt;0,"محصّل جزئياً","غير محصّل")))</f>
        <v/>
      </c>
    </row>
    <row r="111">
      <c r="A111" s="39">
        <f>IF(B111="","","IPC-"&amp;TEXT(ROW()-4,"0000"))</f>
        <v/>
      </c>
      <c r="B111" s="50" t="n"/>
      <c r="C111" s="49">
        <f>IF(B111="","",IFERROR(INDEX('المشروعات'!$B$5:$B$304,MATCH(B111,'المشروعات'!$A$5:$A$304,0)),""))</f>
        <v/>
      </c>
      <c r="D111" s="47" t="n"/>
      <c r="E111" s="47" t="n"/>
      <c r="F111" s="41" t="n"/>
      <c r="G111" s="46">
        <f>IF(B111="","",SUMIFS($H$4:H110,$B$4:B110,B111))</f>
        <v/>
      </c>
      <c r="H111" s="46">
        <f>IF(B111="","",F111-G111)</f>
        <v/>
      </c>
      <c r="I111" s="46">
        <f>IF(B111="","",H111*S_Ret)</f>
        <v/>
      </c>
      <c r="J111" s="41" t="n"/>
      <c r="K111" s="41" t="n"/>
      <c r="L111" s="46">
        <f>IF(B111="","",H111-I111-N(J111)-N(K111))</f>
        <v/>
      </c>
      <c r="M111" s="46">
        <f>IF(B111="","",L111*S_VAT)</f>
        <v/>
      </c>
      <c r="N111" s="46">
        <f>IF(B111="","",L111+M111)</f>
        <v/>
      </c>
      <c r="O111" s="40" t="n"/>
      <c r="P111" s="46">
        <f>IF(A111="","",SUMIFS('سندات القبض'!$K$5:$K$304,'سندات القبض'!$F$5:$F$304,A111))</f>
        <v/>
      </c>
      <c r="Q111" s="46">
        <f>IF(A111="","",N111-P111)</f>
        <v/>
      </c>
      <c r="R111" s="49">
        <f>IF(A111="","",IF(P111&gt;=N111-0.01,"محصّل بالكامل",IF(P111&gt;0,"محصّل جزئياً","غير محصّل")))</f>
        <v/>
      </c>
    </row>
    <row r="112">
      <c r="A112" s="39">
        <f>IF(B112="","","IPC-"&amp;TEXT(ROW()-4,"0000"))</f>
        <v/>
      </c>
      <c r="B112" s="50" t="n"/>
      <c r="C112" s="49">
        <f>IF(B112="","",IFERROR(INDEX('المشروعات'!$B$5:$B$304,MATCH(B112,'المشروعات'!$A$5:$A$304,0)),""))</f>
        <v/>
      </c>
      <c r="D112" s="47" t="n"/>
      <c r="E112" s="47" t="n"/>
      <c r="F112" s="41" t="n"/>
      <c r="G112" s="46">
        <f>IF(B112="","",SUMIFS($H$4:H111,$B$4:B111,B112))</f>
        <v/>
      </c>
      <c r="H112" s="46">
        <f>IF(B112="","",F112-G112)</f>
        <v/>
      </c>
      <c r="I112" s="46">
        <f>IF(B112="","",H112*S_Ret)</f>
        <v/>
      </c>
      <c r="J112" s="41" t="n"/>
      <c r="K112" s="41" t="n"/>
      <c r="L112" s="46">
        <f>IF(B112="","",H112-I112-N(J112)-N(K112))</f>
        <v/>
      </c>
      <c r="M112" s="46">
        <f>IF(B112="","",L112*S_VAT)</f>
        <v/>
      </c>
      <c r="N112" s="46">
        <f>IF(B112="","",L112+M112)</f>
        <v/>
      </c>
      <c r="O112" s="40" t="n"/>
      <c r="P112" s="46">
        <f>IF(A112="","",SUMIFS('سندات القبض'!$K$5:$K$304,'سندات القبض'!$F$5:$F$304,A112))</f>
        <v/>
      </c>
      <c r="Q112" s="46">
        <f>IF(A112="","",N112-P112)</f>
        <v/>
      </c>
      <c r="R112" s="49">
        <f>IF(A112="","",IF(P112&gt;=N112-0.01,"محصّل بالكامل",IF(P112&gt;0,"محصّل جزئياً","غير محصّل")))</f>
        <v/>
      </c>
    </row>
    <row r="113">
      <c r="A113" s="39">
        <f>IF(B113="","","IPC-"&amp;TEXT(ROW()-4,"0000"))</f>
        <v/>
      </c>
      <c r="B113" s="50" t="n"/>
      <c r="C113" s="49">
        <f>IF(B113="","",IFERROR(INDEX('المشروعات'!$B$5:$B$304,MATCH(B113,'المشروعات'!$A$5:$A$304,0)),""))</f>
        <v/>
      </c>
      <c r="D113" s="47" t="n"/>
      <c r="E113" s="47" t="n"/>
      <c r="F113" s="41" t="n"/>
      <c r="G113" s="46">
        <f>IF(B113="","",SUMIFS($H$4:H112,$B$4:B112,B113))</f>
        <v/>
      </c>
      <c r="H113" s="46">
        <f>IF(B113="","",F113-G113)</f>
        <v/>
      </c>
      <c r="I113" s="46">
        <f>IF(B113="","",H113*S_Ret)</f>
        <v/>
      </c>
      <c r="J113" s="41" t="n"/>
      <c r="K113" s="41" t="n"/>
      <c r="L113" s="46">
        <f>IF(B113="","",H113-I113-N(J113)-N(K113))</f>
        <v/>
      </c>
      <c r="M113" s="46">
        <f>IF(B113="","",L113*S_VAT)</f>
        <v/>
      </c>
      <c r="N113" s="46">
        <f>IF(B113="","",L113+M113)</f>
        <v/>
      </c>
      <c r="O113" s="40" t="n"/>
      <c r="P113" s="46">
        <f>IF(A113="","",SUMIFS('سندات القبض'!$K$5:$K$304,'سندات القبض'!$F$5:$F$304,A113))</f>
        <v/>
      </c>
      <c r="Q113" s="46">
        <f>IF(A113="","",N113-P113)</f>
        <v/>
      </c>
      <c r="R113" s="49">
        <f>IF(A113="","",IF(P113&gt;=N113-0.01,"محصّل بالكامل",IF(P113&gt;0,"محصّل جزئياً","غير محصّل")))</f>
        <v/>
      </c>
    </row>
    <row r="114">
      <c r="A114" s="39">
        <f>IF(B114="","","IPC-"&amp;TEXT(ROW()-4,"0000"))</f>
        <v/>
      </c>
      <c r="B114" s="50" t="n"/>
      <c r="C114" s="49">
        <f>IF(B114="","",IFERROR(INDEX('المشروعات'!$B$5:$B$304,MATCH(B114,'المشروعات'!$A$5:$A$304,0)),""))</f>
        <v/>
      </c>
      <c r="D114" s="47" t="n"/>
      <c r="E114" s="47" t="n"/>
      <c r="F114" s="41" t="n"/>
      <c r="G114" s="46">
        <f>IF(B114="","",SUMIFS($H$4:H113,$B$4:B113,B114))</f>
        <v/>
      </c>
      <c r="H114" s="46">
        <f>IF(B114="","",F114-G114)</f>
        <v/>
      </c>
      <c r="I114" s="46">
        <f>IF(B114="","",H114*S_Ret)</f>
        <v/>
      </c>
      <c r="J114" s="41" t="n"/>
      <c r="K114" s="41" t="n"/>
      <c r="L114" s="46">
        <f>IF(B114="","",H114-I114-N(J114)-N(K114))</f>
        <v/>
      </c>
      <c r="M114" s="46">
        <f>IF(B114="","",L114*S_VAT)</f>
        <v/>
      </c>
      <c r="N114" s="46">
        <f>IF(B114="","",L114+M114)</f>
        <v/>
      </c>
      <c r="O114" s="40" t="n"/>
      <c r="P114" s="46">
        <f>IF(A114="","",SUMIFS('سندات القبض'!$K$5:$K$304,'سندات القبض'!$F$5:$F$304,A114))</f>
        <v/>
      </c>
      <c r="Q114" s="46">
        <f>IF(A114="","",N114-P114)</f>
        <v/>
      </c>
      <c r="R114" s="49">
        <f>IF(A114="","",IF(P114&gt;=N114-0.01,"محصّل بالكامل",IF(P114&gt;0,"محصّل جزئياً","غير محصّل")))</f>
        <v/>
      </c>
    </row>
    <row r="115">
      <c r="A115" s="39">
        <f>IF(B115="","","IPC-"&amp;TEXT(ROW()-4,"0000"))</f>
        <v/>
      </c>
      <c r="B115" s="50" t="n"/>
      <c r="C115" s="49">
        <f>IF(B115="","",IFERROR(INDEX('المشروعات'!$B$5:$B$304,MATCH(B115,'المشروعات'!$A$5:$A$304,0)),""))</f>
        <v/>
      </c>
      <c r="D115" s="47" t="n"/>
      <c r="E115" s="47" t="n"/>
      <c r="F115" s="41" t="n"/>
      <c r="G115" s="46">
        <f>IF(B115="","",SUMIFS($H$4:H114,$B$4:B114,B115))</f>
        <v/>
      </c>
      <c r="H115" s="46">
        <f>IF(B115="","",F115-G115)</f>
        <v/>
      </c>
      <c r="I115" s="46">
        <f>IF(B115="","",H115*S_Ret)</f>
        <v/>
      </c>
      <c r="J115" s="41" t="n"/>
      <c r="K115" s="41" t="n"/>
      <c r="L115" s="46">
        <f>IF(B115="","",H115-I115-N(J115)-N(K115))</f>
        <v/>
      </c>
      <c r="M115" s="46">
        <f>IF(B115="","",L115*S_VAT)</f>
        <v/>
      </c>
      <c r="N115" s="46">
        <f>IF(B115="","",L115+M115)</f>
        <v/>
      </c>
      <c r="O115" s="40" t="n"/>
      <c r="P115" s="46">
        <f>IF(A115="","",SUMIFS('سندات القبض'!$K$5:$K$304,'سندات القبض'!$F$5:$F$304,A115))</f>
        <v/>
      </c>
      <c r="Q115" s="46">
        <f>IF(A115="","",N115-P115)</f>
        <v/>
      </c>
      <c r="R115" s="49">
        <f>IF(A115="","",IF(P115&gt;=N115-0.01,"محصّل بالكامل",IF(P115&gt;0,"محصّل جزئياً","غير محصّل")))</f>
        <v/>
      </c>
    </row>
    <row r="116">
      <c r="A116" s="39">
        <f>IF(B116="","","IPC-"&amp;TEXT(ROW()-4,"0000"))</f>
        <v/>
      </c>
      <c r="B116" s="50" t="n"/>
      <c r="C116" s="49">
        <f>IF(B116="","",IFERROR(INDEX('المشروعات'!$B$5:$B$304,MATCH(B116,'المشروعات'!$A$5:$A$304,0)),""))</f>
        <v/>
      </c>
      <c r="D116" s="47" t="n"/>
      <c r="E116" s="47" t="n"/>
      <c r="F116" s="41" t="n"/>
      <c r="G116" s="46">
        <f>IF(B116="","",SUMIFS($H$4:H115,$B$4:B115,B116))</f>
        <v/>
      </c>
      <c r="H116" s="46">
        <f>IF(B116="","",F116-G116)</f>
        <v/>
      </c>
      <c r="I116" s="46">
        <f>IF(B116="","",H116*S_Ret)</f>
        <v/>
      </c>
      <c r="J116" s="41" t="n"/>
      <c r="K116" s="41" t="n"/>
      <c r="L116" s="46">
        <f>IF(B116="","",H116-I116-N(J116)-N(K116))</f>
        <v/>
      </c>
      <c r="M116" s="46">
        <f>IF(B116="","",L116*S_VAT)</f>
        <v/>
      </c>
      <c r="N116" s="46">
        <f>IF(B116="","",L116+M116)</f>
        <v/>
      </c>
      <c r="O116" s="40" t="n"/>
      <c r="P116" s="46">
        <f>IF(A116="","",SUMIFS('سندات القبض'!$K$5:$K$304,'سندات القبض'!$F$5:$F$304,A116))</f>
        <v/>
      </c>
      <c r="Q116" s="46">
        <f>IF(A116="","",N116-P116)</f>
        <v/>
      </c>
      <c r="R116" s="49">
        <f>IF(A116="","",IF(P116&gt;=N116-0.01,"محصّل بالكامل",IF(P116&gt;0,"محصّل جزئياً","غير محصّل")))</f>
        <v/>
      </c>
    </row>
    <row r="117">
      <c r="A117" s="39">
        <f>IF(B117="","","IPC-"&amp;TEXT(ROW()-4,"0000"))</f>
        <v/>
      </c>
      <c r="B117" s="50" t="n"/>
      <c r="C117" s="49">
        <f>IF(B117="","",IFERROR(INDEX('المشروعات'!$B$5:$B$304,MATCH(B117,'المشروعات'!$A$5:$A$304,0)),""))</f>
        <v/>
      </c>
      <c r="D117" s="47" t="n"/>
      <c r="E117" s="47" t="n"/>
      <c r="F117" s="41" t="n"/>
      <c r="G117" s="46">
        <f>IF(B117="","",SUMIFS($H$4:H116,$B$4:B116,B117))</f>
        <v/>
      </c>
      <c r="H117" s="46">
        <f>IF(B117="","",F117-G117)</f>
        <v/>
      </c>
      <c r="I117" s="46">
        <f>IF(B117="","",H117*S_Ret)</f>
        <v/>
      </c>
      <c r="J117" s="41" t="n"/>
      <c r="K117" s="41" t="n"/>
      <c r="L117" s="46">
        <f>IF(B117="","",H117-I117-N(J117)-N(K117))</f>
        <v/>
      </c>
      <c r="M117" s="46">
        <f>IF(B117="","",L117*S_VAT)</f>
        <v/>
      </c>
      <c r="N117" s="46">
        <f>IF(B117="","",L117+M117)</f>
        <v/>
      </c>
      <c r="O117" s="40" t="n"/>
      <c r="P117" s="46">
        <f>IF(A117="","",SUMIFS('سندات القبض'!$K$5:$K$304,'سندات القبض'!$F$5:$F$304,A117))</f>
        <v/>
      </c>
      <c r="Q117" s="46">
        <f>IF(A117="","",N117-P117)</f>
        <v/>
      </c>
      <c r="R117" s="49">
        <f>IF(A117="","",IF(P117&gt;=N117-0.01,"محصّل بالكامل",IF(P117&gt;0,"محصّل جزئياً","غير محصّل")))</f>
        <v/>
      </c>
    </row>
    <row r="118">
      <c r="A118" s="39">
        <f>IF(B118="","","IPC-"&amp;TEXT(ROW()-4,"0000"))</f>
        <v/>
      </c>
      <c r="B118" s="50" t="n"/>
      <c r="C118" s="49">
        <f>IF(B118="","",IFERROR(INDEX('المشروعات'!$B$5:$B$304,MATCH(B118,'المشروعات'!$A$5:$A$304,0)),""))</f>
        <v/>
      </c>
      <c r="D118" s="47" t="n"/>
      <c r="E118" s="47" t="n"/>
      <c r="F118" s="41" t="n"/>
      <c r="G118" s="46">
        <f>IF(B118="","",SUMIFS($H$4:H117,$B$4:B117,B118))</f>
        <v/>
      </c>
      <c r="H118" s="46">
        <f>IF(B118="","",F118-G118)</f>
        <v/>
      </c>
      <c r="I118" s="46">
        <f>IF(B118="","",H118*S_Ret)</f>
        <v/>
      </c>
      <c r="J118" s="41" t="n"/>
      <c r="K118" s="41" t="n"/>
      <c r="L118" s="46">
        <f>IF(B118="","",H118-I118-N(J118)-N(K118))</f>
        <v/>
      </c>
      <c r="M118" s="46">
        <f>IF(B118="","",L118*S_VAT)</f>
        <v/>
      </c>
      <c r="N118" s="46">
        <f>IF(B118="","",L118+M118)</f>
        <v/>
      </c>
      <c r="O118" s="40" t="n"/>
      <c r="P118" s="46">
        <f>IF(A118="","",SUMIFS('سندات القبض'!$K$5:$K$304,'سندات القبض'!$F$5:$F$304,A118))</f>
        <v/>
      </c>
      <c r="Q118" s="46">
        <f>IF(A118="","",N118-P118)</f>
        <v/>
      </c>
      <c r="R118" s="49">
        <f>IF(A118="","",IF(P118&gt;=N118-0.01,"محصّل بالكامل",IF(P118&gt;0,"محصّل جزئياً","غير محصّل")))</f>
        <v/>
      </c>
    </row>
    <row r="119">
      <c r="A119" s="39">
        <f>IF(B119="","","IPC-"&amp;TEXT(ROW()-4,"0000"))</f>
        <v/>
      </c>
      <c r="B119" s="50" t="n"/>
      <c r="C119" s="49">
        <f>IF(B119="","",IFERROR(INDEX('المشروعات'!$B$5:$B$304,MATCH(B119,'المشروعات'!$A$5:$A$304,0)),""))</f>
        <v/>
      </c>
      <c r="D119" s="47" t="n"/>
      <c r="E119" s="47" t="n"/>
      <c r="F119" s="41" t="n"/>
      <c r="G119" s="46">
        <f>IF(B119="","",SUMIFS($H$4:H118,$B$4:B118,B119))</f>
        <v/>
      </c>
      <c r="H119" s="46">
        <f>IF(B119="","",F119-G119)</f>
        <v/>
      </c>
      <c r="I119" s="46">
        <f>IF(B119="","",H119*S_Ret)</f>
        <v/>
      </c>
      <c r="J119" s="41" t="n"/>
      <c r="K119" s="41" t="n"/>
      <c r="L119" s="46">
        <f>IF(B119="","",H119-I119-N(J119)-N(K119))</f>
        <v/>
      </c>
      <c r="M119" s="46">
        <f>IF(B119="","",L119*S_VAT)</f>
        <v/>
      </c>
      <c r="N119" s="46">
        <f>IF(B119="","",L119+M119)</f>
        <v/>
      </c>
      <c r="O119" s="40" t="n"/>
      <c r="P119" s="46">
        <f>IF(A119="","",SUMIFS('سندات القبض'!$K$5:$K$304,'سندات القبض'!$F$5:$F$304,A119))</f>
        <v/>
      </c>
      <c r="Q119" s="46">
        <f>IF(A119="","",N119-P119)</f>
        <v/>
      </c>
      <c r="R119" s="49">
        <f>IF(A119="","",IF(P119&gt;=N119-0.01,"محصّل بالكامل",IF(P119&gt;0,"محصّل جزئياً","غير محصّل")))</f>
        <v/>
      </c>
    </row>
    <row r="120">
      <c r="A120" s="39">
        <f>IF(B120="","","IPC-"&amp;TEXT(ROW()-4,"0000"))</f>
        <v/>
      </c>
      <c r="B120" s="50" t="n"/>
      <c r="C120" s="49">
        <f>IF(B120="","",IFERROR(INDEX('المشروعات'!$B$5:$B$304,MATCH(B120,'المشروعات'!$A$5:$A$304,0)),""))</f>
        <v/>
      </c>
      <c r="D120" s="47" t="n"/>
      <c r="E120" s="47" t="n"/>
      <c r="F120" s="41" t="n"/>
      <c r="G120" s="46">
        <f>IF(B120="","",SUMIFS($H$4:H119,$B$4:B119,B120))</f>
        <v/>
      </c>
      <c r="H120" s="46">
        <f>IF(B120="","",F120-G120)</f>
        <v/>
      </c>
      <c r="I120" s="46">
        <f>IF(B120="","",H120*S_Ret)</f>
        <v/>
      </c>
      <c r="J120" s="41" t="n"/>
      <c r="K120" s="41" t="n"/>
      <c r="L120" s="46">
        <f>IF(B120="","",H120-I120-N(J120)-N(K120))</f>
        <v/>
      </c>
      <c r="M120" s="46">
        <f>IF(B120="","",L120*S_VAT)</f>
        <v/>
      </c>
      <c r="N120" s="46">
        <f>IF(B120="","",L120+M120)</f>
        <v/>
      </c>
      <c r="O120" s="40" t="n"/>
      <c r="P120" s="46">
        <f>IF(A120="","",SUMIFS('سندات القبض'!$K$5:$K$304,'سندات القبض'!$F$5:$F$304,A120))</f>
        <v/>
      </c>
      <c r="Q120" s="46">
        <f>IF(A120="","",N120-P120)</f>
        <v/>
      </c>
      <c r="R120" s="49">
        <f>IF(A120="","",IF(P120&gt;=N120-0.01,"محصّل بالكامل",IF(P120&gt;0,"محصّل جزئياً","غير محصّل")))</f>
        <v/>
      </c>
    </row>
    <row r="121">
      <c r="A121" s="39">
        <f>IF(B121="","","IPC-"&amp;TEXT(ROW()-4,"0000"))</f>
        <v/>
      </c>
      <c r="B121" s="50" t="n"/>
      <c r="C121" s="49">
        <f>IF(B121="","",IFERROR(INDEX('المشروعات'!$B$5:$B$304,MATCH(B121,'المشروعات'!$A$5:$A$304,0)),""))</f>
        <v/>
      </c>
      <c r="D121" s="47" t="n"/>
      <c r="E121" s="47" t="n"/>
      <c r="F121" s="41" t="n"/>
      <c r="G121" s="46">
        <f>IF(B121="","",SUMIFS($H$4:H120,$B$4:B120,B121))</f>
        <v/>
      </c>
      <c r="H121" s="46">
        <f>IF(B121="","",F121-G121)</f>
        <v/>
      </c>
      <c r="I121" s="46">
        <f>IF(B121="","",H121*S_Ret)</f>
        <v/>
      </c>
      <c r="J121" s="41" t="n"/>
      <c r="K121" s="41" t="n"/>
      <c r="L121" s="46">
        <f>IF(B121="","",H121-I121-N(J121)-N(K121))</f>
        <v/>
      </c>
      <c r="M121" s="46">
        <f>IF(B121="","",L121*S_VAT)</f>
        <v/>
      </c>
      <c r="N121" s="46">
        <f>IF(B121="","",L121+M121)</f>
        <v/>
      </c>
      <c r="O121" s="40" t="n"/>
      <c r="P121" s="46">
        <f>IF(A121="","",SUMIFS('سندات القبض'!$K$5:$K$304,'سندات القبض'!$F$5:$F$304,A121))</f>
        <v/>
      </c>
      <c r="Q121" s="46">
        <f>IF(A121="","",N121-P121)</f>
        <v/>
      </c>
      <c r="R121" s="49">
        <f>IF(A121="","",IF(P121&gt;=N121-0.01,"محصّل بالكامل",IF(P121&gt;0,"محصّل جزئياً","غير محصّل")))</f>
        <v/>
      </c>
    </row>
    <row r="122">
      <c r="A122" s="39">
        <f>IF(B122="","","IPC-"&amp;TEXT(ROW()-4,"0000"))</f>
        <v/>
      </c>
      <c r="B122" s="50" t="n"/>
      <c r="C122" s="49">
        <f>IF(B122="","",IFERROR(INDEX('المشروعات'!$B$5:$B$304,MATCH(B122,'المشروعات'!$A$5:$A$304,0)),""))</f>
        <v/>
      </c>
      <c r="D122" s="47" t="n"/>
      <c r="E122" s="47" t="n"/>
      <c r="F122" s="41" t="n"/>
      <c r="G122" s="46">
        <f>IF(B122="","",SUMIFS($H$4:H121,$B$4:B121,B122))</f>
        <v/>
      </c>
      <c r="H122" s="46">
        <f>IF(B122="","",F122-G122)</f>
        <v/>
      </c>
      <c r="I122" s="46">
        <f>IF(B122="","",H122*S_Ret)</f>
        <v/>
      </c>
      <c r="J122" s="41" t="n"/>
      <c r="K122" s="41" t="n"/>
      <c r="L122" s="46">
        <f>IF(B122="","",H122-I122-N(J122)-N(K122))</f>
        <v/>
      </c>
      <c r="M122" s="46">
        <f>IF(B122="","",L122*S_VAT)</f>
        <v/>
      </c>
      <c r="N122" s="46">
        <f>IF(B122="","",L122+M122)</f>
        <v/>
      </c>
      <c r="O122" s="40" t="n"/>
      <c r="P122" s="46">
        <f>IF(A122="","",SUMIFS('سندات القبض'!$K$5:$K$304,'سندات القبض'!$F$5:$F$304,A122))</f>
        <v/>
      </c>
      <c r="Q122" s="46">
        <f>IF(A122="","",N122-P122)</f>
        <v/>
      </c>
      <c r="R122" s="49">
        <f>IF(A122="","",IF(P122&gt;=N122-0.01,"محصّل بالكامل",IF(P122&gt;0,"محصّل جزئياً","غير محصّل")))</f>
        <v/>
      </c>
    </row>
    <row r="123">
      <c r="A123" s="39">
        <f>IF(B123="","","IPC-"&amp;TEXT(ROW()-4,"0000"))</f>
        <v/>
      </c>
      <c r="B123" s="50" t="n"/>
      <c r="C123" s="49">
        <f>IF(B123="","",IFERROR(INDEX('المشروعات'!$B$5:$B$304,MATCH(B123,'المشروعات'!$A$5:$A$304,0)),""))</f>
        <v/>
      </c>
      <c r="D123" s="47" t="n"/>
      <c r="E123" s="47" t="n"/>
      <c r="F123" s="41" t="n"/>
      <c r="G123" s="46">
        <f>IF(B123="","",SUMIFS($H$4:H122,$B$4:B122,B123))</f>
        <v/>
      </c>
      <c r="H123" s="46">
        <f>IF(B123="","",F123-G123)</f>
        <v/>
      </c>
      <c r="I123" s="46">
        <f>IF(B123="","",H123*S_Ret)</f>
        <v/>
      </c>
      <c r="J123" s="41" t="n"/>
      <c r="K123" s="41" t="n"/>
      <c r="L123" s="46">
        <f>IF(B123="","",H123-I123-N(J123)-N(K123))</f>
        <v/>
      </c>
      <c r="M123" s="46">
        <f>IF(B123="","",L123*S_VAT)</f>
        <v/>
      </c>
      <c r="N123" s="46">
        <f>IF(B123="","",L123+M123)</f>
        <v/>
      </c>
      <c r="O123" s="40" t="n"/>
      <c r="P123" s="46">
        <f>IF(A123="","",SUMIFS('سندات القبض'!$K$5:$K$304,'سندات القبض'!$F$5:$F$304,A123))</f>
        <v/>
      </c>
      <c r="Q123" s="46">
        <f>IF(A123="","",N123-P123)</f>
        <v/>
      </c>
      <c r="R123" s="49">
        <f>IF(A123="","",IF(P123&gt;=N123-0.01,"محصّل بالكامل",IF(P123&gt;0,"محصّل جزئياً","غير محصّل")))</f>
        <v/>
      </c>
    </row>
    <row r="124">
      <c r="A124" s="39">
        <f>IF(B124="","","IPC-"&amp;TEXT(ROW()-4,"0000"))</f>
        <v/>
      </c>
      <c r="B124" s="50" t="n"/>
      <c r="C124" s="49">
        <f>IF(B124="","",IFERROR(INDEX('المشروعات'!$B$5:$B$304,MATCH(B124,'المشروعات'!$A$5:$A$304,0)),""))</f>
        <v/>
      </c>
      <c r="D124" s="47" t="n"/>
      <c r="E124" s="47" t="n"/>
      <c r="F124" s="41" t="n"/>
      <c r="G124" s="46">
        <f>IF(B124="","",SUMIFS($H$4:H123,$B$4:B123,B124))</f>
        <v/>
      </c>
      <c r="H124" s="46">
        <f>IF(B124="","",F124-G124)</f>
        <v/>
      </c>
      <c r="I124" s="46">
        <f>IF(B124="","",H124*S_Ret)</f>
        <v/>
      </c>
      <c r="J124" s="41" t="n"/>
      <c r="K124" s="41" t="n"/>
      <c r="L124" s="46">
        <f>IF(B124="","",H124-I124-N(J124)-N(K124))</f>
        <v/>
      </c>
      <c r="M124" s="46">
        <f>IF(B124="","",L124*S_VAT)</f>
        <v/>
      </c>
      <c r="N124" s="46">
        <f>IF(B124="","",L124+M124)</f>
        <v/>
      </c>
      <c r="O124" s="40" t="n"/>
      <c r="P124" s="46">
        <f>IF(A124="","",SUMIFS('سندات القبض'!$K$5:$K$304,'سندات القبض'!$F$5:$F$304,A124))</f>
        <v/>
      </c>
      <c r="Q124" s="46">
        <f>IF(A124="","",N124-P124)</f>
        <v/>
      </c>
      <c r="R124" s="49">
        <f>IF(A124="","",IF(P124&gt;=N124-0.01,"محصّل بالكامل",IF(P124&gt;0,"محصّل جزئياً","غير محصّل")))</f>
        <v/>
      </c>
    </row>
    <row r="125">
      <c r="A125" s="39">
        <f>IF(B125="","","IPC-"&amp;TEXT(ROW()-4,"0000"))</f>
        <v/>
      </c>
      <c r="B125" s="50" t="n"/>
      <c r="C125" s="49">
        <f>IF(B125="","",IFERROR(INDEX('المشروعات'!$B$5:$B$304,MATCH(B125,'المشروعات'!$A$5:$A$304,0)),""))</f>
        <v/>
      </c>
      <c r="D125" s="47" t="n"/>
      <c r="E125" s="47" t="n"/>
      <c r="F125" s="41" t="n"/>
      <c r="G125" s="46">
        <f>IF(B125="","",SUMIFS($H$4:H124,$B$4:B124,B125))</f>
        <v/>
      </c>
      <c r="H125" s="46">
        <f>IF(B125="","",F125-G125)</f>
        <v/>
      </c>
      <c r="I125" s="46">
        <f>IF(B125="","",H125*S_Ret)</f>
        <v/>
      </c>
      <c r="J125" s="41" t="n"/>
      <c r="K125" s="41" t="n"/>
      <c r="L125" s="46">
        <f>IF(B125="","",H125-I125-N(J125)-N(K125))</f>
        <v/>
      </c>
      <c r="M125" s="46">
        <f>IF(B125="","",L125*S_VAT)</f>
        <v/>
      </c>
      <c r="N125" s="46">
        <f>IF(B125="","",L125+M125)</f>
        <v/>
      </c>
      <c r="O125" s="40" t="n"/>
      <c r="P125" s="46">
        <f>IF(A125="","",SUMIFS('سندات القبض'!$K$5:$K$304,'سندات القبض'!$F$5:$F$304,A125))</f>
        <v/>
      </c>
      <c r="Q125" s="46">
        <f>IF(A125="","",N125-P125)</f>
        <v/>
      </c>
      <c r="R125" s="49">
        <f>IF(A125="","",IF(P125&gt;=N125-0.01,"محصّل بالكامل",IF(P125&gt;0,"محصّل جزئياً","غير محصّل")))</f>
        <v/>
      </c>
    </row>
    <row r="126">
      <c r="A126" s="39">
        <f>IF(B126="","","IPC-"&amp;TEXT(ROW()-4,"0000"))</f>
        <v/>
      </c>
      <c r="B126" s="50" t="n"/>
      <c r="C126" s="49">
        <f>IF(B126="","",IFERROR(INDEX('المشروعات'!$B$5:$B$304,MATCH(B126,'المشروعات'!$A$5:$A$304,0)),""))</f>
        <v/>
      </c>
      <c r="D126" s="47" t="n"/>
      <c r="E126" s="47" t="n"/>
      <c r="F126" s="41" t="n"/>
      <c r="G126" s="46">
        <f>IF(B126="","",SUMIFS($H$4:H125,$B$4:B125,B126))</f>
        <v/>
      </c>
      <c r="H126" s="46">
        <f>IF(B126="","",F126-G126)</f>
        <v/>
      </c>
      <c r="I126" s="46">
        <f>IF(B126="","",H126*S_Ret)</f>
        <v/>
      </c>
      <c r="J126" s="41" t="n"/>
      <c r="K126" s="41" t="n"/>
      <c r="L126" s="46">
        <f>IF(B126="","",H126-I126-N(J126)-N(K126))</f>
        <v/>
      </c>
      <c r="M126" s="46">
        <f>IF(B126="","",L126*S_VAT)</f>
        <v/>
      </c>
      <c r="N126" s="46">
        <f>IF(B126="","",L126+M126)</f>
        <v/>
      </c>
      <c r="O126" s="40" t="n"/>
      <c r="P126" s="46">
        <f>IF(A126="","",SUMIFS('سندات القبض'!$K$5:$K$304,'سندات القبض'!$F$5:$F$304,A126))</f>
        <v/>
      </c>
      <c r="Q126" s="46">
        <f>IF(A126="","",N126-P126)</f>
        <v/>
      </c>
      <c r="R126" s="49">
        <f>IF(A126="","",IF(P126&gt;=N126-0.01,"محصّل بالكامل",IF(P126&gt;0,"محصّل جزئياً","غير محصّل")))</f>
        <v/>
      </c>
    </row>
    <row r="127">
      <c r="A127" s="39">
        <f>IF(B127="","","IPC-"&amp;TEXT(ROW()-4,"0000"))</f>
        <v/>
      </c>
      <c r="B127" s="50" t="n"/>
      <c r="C127" s="49">
        <f>IF(B127="","",IFERROR(INDEX('المشروعات'!$B$5:$B$304,MATCH(B127,'المشروعات'!$A$5:$A$304,0)),""))</f>
        <v/>
      </c>
      <c r="D127" s="47" t="n"/>
      <c r="E127" s="47" t="n"/>
      <c r="F127" s="41" t="n"/>
      <c r="G127" s="46">
        <f>IF(B127="","",SUMIFS($H$4:H126,$B$4:B126,B127))</f>
        <v/>
      </c>
      <c r="H127" s="46">
        <f>IF(B127="","",F127-G127)</f>
        <v/>
      </c>
      <c r="I127" s="46">
        <f>IF(B127="","",H127*S_Ret)</f>
        <v/>
      </c>
      <c r="J127" s="41" t="n"/>
      <c r="K127" s="41" t="n"/>
      <c r="L127" s="46">
        <f>IF(B127="","",H127-I127-N(J127)-N(K127))</f>
        <v/>
      </c>
      <c r="M127" s="46">
        <f>IF(B127="","",L127*S_VAT)</f>
        <v/>
      </c>
      <c r="N127" s="46">
        <f>IF(B127="","",L127+M127)</f>
        <v/>
      </c>
      <c r="O127" s="40" t="n"/>
      <c r="P127" s="46">
        <f>IF(A127="","",SUMIFS('سندات القبض'!$K$5:$K$304,'سندات القبض'!$F$5:$F$304,A127))</f>
        <v/>
      </c>
      <c r="Q127" s="46">
        <f>IF(A127="","",N127-P127)</f>
        <v/>
      </c>
      <c r="R127" s="49">
        <f>IF(A127="","",IF(P127&gt;=N127-0.01,"محصّل بالكامل",IF(P127&gt;0,"محصّل جزئياً","غير محصّل")))</f>
        <v/>
      </c>
    </row>
    <row r="128">
      <c r="A128" s="39">
        <f>IF(B128="","","IPC-"&amp;TEXT(ROW()-4,"0000"))</f>
        <v/>
      </c>
      <c r="B128" s="50" t="n"/>
      <c r="C128" s="49">
        <f>IF(B128="","",IFERROR(INDEX('المشروعات'!$B$5:$B$304,MATCH(B128,'المشروعات'!$A$5:$A$304,0)),""))</f>
        <v/>
      </c>
      <c r="D128" s="47" t="n"/>
      <c r="E128" s="47" t="n"/>
      <c r="F128" s="41" t="n"/>
      <c r="G128" s="46">
        <f>IF(B128="","",SUMIFS($H$4:H127,$B$4:B127,B128))</f>
        <v/>
      </c>
      <c r="H128" s="46">
        <f>IF(B128="","",F128-G128)</f>
        <v/>
      </c>
      <c r="I128" s="46">
        <f>IF(B128="","",H128*S_Ret)</f>
        <v/>
      </c>
      <c r="J128" s="41" t="n"/>
      <c r="K128" s="41" t="n"/>
      <c r="L128" s="46">
        <f>IF(B128="","",H128-I128-N(J128)-N(K128))</f>
        <v/>
      </c>
      <c r="M128" s="46">
        <f>IF(B128="","",L128*S_VAT)</f>
        <v/>
      </c>
      <c r="N128" s="46">
        <f>IF(B128="","",L128+M128)</f>
        <v/>
      </c>
      <c r="O128" s="40" t="n"/>
      <c r="P128" s="46">
        <f>IF(A128="","",SUMIFS('سندات القبض'!$K$5:$K$304,'سندات القبض'!$F$5:$F$304,A128))</f>
        <v/>
      </c>
      <c r="Q128" s="46">
        <f>IF(A128="","",N128-P128)</f>
        <v/>
      </c>
      <c r="R128" s="49">
        <f>IF(A128="","",IF(P128&gt;=N128-0.01,"محصّل بالكامل",IF(P128&gt;0,"محصّل جزئياً","غير محصّل")))</f>
        <v/>
      </c>
    </row>
    <row r="129">
      <c r="A129" s="39">
        <f>IF(B129="","","IPC-"&amp;TEXT(ROW()-4,"0000"))</f>
        <v/>
      </c>
      <c r="B129" s="50" t="n"/>
      <c r="C129" s="49">
        <f>IF(B129="","",IFERROR(INDEX('المشروعات'!$B$5:$B$304,MATCH(B129,'المشروعات'!$A$5:$A$304,0)),""))</f>
        <v/>
      </c>
      <c r="D129" s="47" t="n"/>
      <c r="E129" s="47" t="n"/>
      <c r="F129" s="41" t="n"/>
      <c r="G129" s="46">
        <f>IF(B129="","",SUMIFS($H$4:H128,$B$4:B128,B129))</f>
        <v/>
      </c>
      <c r="H129" s="46">
        <f>IF(B129="","",F129-G129)</f>
        <v/>
      </c>
      <c r="I129" s="46">
        <f>IF(B129="","",H129*S_Ret)</f>
        <v/>
      </c>
      <c r="J129" s="41" t="n"/>
      <c r="K129" s="41" t="n"/>
      <c r="L129" s="46">
        <f>IF(B129="","",H129-I129-N(J129)-N(K129))</f>
        <v/>
      </c>
      <c r="M129" s="46">
        <f>IF(B129="","",L129*S_VAT)</f>
        <v/>
      </c>
      <c r="N129" s="46">
        <f>IF(B129="","",L129+M129)</f>
        <v/>
      </c>
      <c r="O129" s="40" t="n"/>
      <c r="P129" s="46">
        <f>IF(A129="","",SUMIFS('سندات القبض'!$K$5:$K$304,'سندات القبض'!$F$5:$F$304,A129))</f>
        <v/>
      </c>
      <c r="Q129" s="46">
        <f>IF(A129="","",N129-P129)</f>
        <v/>
      </c>
      <c r="R129" s="49">
        <f>IF(A129="","",IF(P129&gt;=N129-0.01,"محصّل بالكامل",IF(P129&gt;0,"محصّل جزئياً","غير محصّل")))</f>
        <v/>
      </c>
    </row>
    <row r="130">
      <c r="A130" s="39">
        <f>IF(B130="","","IPC-"&amp;TEXT(ROW()-4,"0000"))</f>
        <v/>
      </c>
      <c r="B130" s="50" t="n"/>
      <c r="C130" s="49">
        <f>IF(B130="","",IFERROR(INDEX('المشروعات'!$B$5:$B$304,MATCH(B130,'المشروعات'!$A$5:$A$304,0)),""))</f>
        <v/>
      </c>
      <c r="D130" s="47" t="n"/>
      <c r="E130" s="47" t="n"/>
      <c r="F130" s="41" t="n"/>
      <c r="G130" s="46">
        <f>IF(B130="","",SUMIFS($H$4:H129,$B$4:B129,B130))</f>
        <v/>
      </c>
      <c r="H130" s="46">
        <f>IF(B130="","",F130-G130)</f>
        <v/>
      </c>
      <c r="I130" s="46">
        <f>IF(B130="","",H130*S_Ret)</f>
        <v/>
      </c>
      <c r="J130" s="41" t="n"/>
      <c r="K130" s="41" t="n"/>
      <c r="L130" s="46">
        <f>IF(B130="","",H130-I130-N(J130)-N(K130))</f>
        <v/>
      </c>
      <c r="M130" s="46">
        <f>IF(B130="","",L130*S_VAT)</f>
        <v/>
      </c>
      <c r="N130" s="46">
        <f>IF(B130="","",L130+M130)</f>
        <v/>
      </c>
      <c r="O130" s="40" t="n"/>
      <c r="P130" s="46">
        <f>IF(A130="","",SUMIFS('سندات القبض'!$K$5:$K$304,'سندات القبض'!$F$5:$F$304,A130))</f>
        <v/>
      </c>
      <c r="Q130" s="46">
        <f>IF(A130="","",N130-P130)</f>
        <v/>
      </c>
      <c r="R130" s="49">
        <f>IF(A130="","",IF(P130&gt;=N130-0.01,"محصّل بالكامل",IF(P130&gt;0,"محصّل جزئياً","غير محصّل")))</f>
        <v/>
      </c>
    </row>
    <row r="131">
      <c r="A131" s="39">
        <f>IF(B131="","","IPC-"&amp;TEXT(ROW()-4,"0000"))</f>
        <v/>
      </c>
      <c r="B131" s="50" t="n"/>
      <c r="C131" s="49">
        <f>IF(B131="","",IFERROR(INDEX('المشروعات'!$B$5:$B$304,MATCH(B131,'المشروعات'!$A$5:$A$304,0)),""))</f>
        <v/>
      </c>
      <c r="D131" s="47" t="n"/>
      <c r="E131" s="47" t="n"/>
      <c r="F131" s="41" t="n"/>
      <c r="G131" s="46">
        <f>IF(B131="","",SUMIFS($H$4:H130,$B$4:B130,B131))</f>
        <v/>
      </c>
      <c r="H131" s="46">
        <f>IF(B131="","",F131-G131)</f>
        <v/>
      </c>
      <c r="I131" s="46">
        <f>IF(B131="","",H131*S_Ret)</f>
        <v/>
      </c>
      <c r="J131" s="41" t="n"/>
      <c r="K131" s="41" t="n"/>
      <c r="L131" s="46">
        <f>IF(B131="","",H131-I131-N(J131)-N(K131))</f>
        <v/>
      </c>
      <c r="M131" s="46">
        <f>IF(B131="","",L131*S_VAT)</f>
        <v/>
      </c>
      <c r="N131" s="46">
        <f>IF(B131="","",L131+M131)</f>
        <v/>
      </c>
      <c r="O131" s="40" t="n"/>
      <c r="P131" s="46">
        <f>IF(A131="","",SUMIFS('سندات القبض'!$K$5:$K$304,'سندات القبض'!$F$5:$F$304,A131))</f>
        <v/>
      </c>
      <c r="Q131" s="46">
        <f>IF(A131="","",N131-P131)</f>
        <v/>
      </c>
      <c r="R131" s="49">
        <f>IF(A131="","",IF(P131&gt;=N131-0.01,"محصّل بالكامل",IF(P131&gt;0,"محصّل جزئياً","غير محصّل")))</f>
        <v/>
      </c>
    </row>
    <row r="132">
      <c r="A132" s="39">
        <f>IF(B132="","","IPC-"&amp;TEXT(ROW()-4,"0000"))</f>
        <v/>
      </c>
      <c r="B132" s="50" t="n"/>
      <c r="C132" s="49">
        <f>IF(B132="","",IFERROR(INDEX('المشروعات'!$B$5:$B$304,MATCH(B132,'المشروعات'!$A$5:$A$304,0)),""))</f>
        <v/>
      </c>
      <c r="D132" s="47" t="n"/>
      <c r="E132" s="47" t="n"/>
      <c r="F132" s="41" t="n"/>
      <c r="G132" s="46">
        <f>IF(B132="","",SUMIFS($H$4:H131,$B$4:B131,B132))</f>
        <v/>
      </c>
      <c r="H132" s="46">
        <f>IF(B132="","",F132-G132)</f>
        <v/>
      </c>
      <c r="I132" s="46">
        <f>IF(B132="","",H132*S_Ret)</f>
        <v/>
      </c>
      <c r="J132" s="41" t="n"/>
      <c r="K132" s="41" t="n"/>
      <c r="L132" s="46">
        <f>IF(B132="","",H132-I132-N(J132)-N(K132))</f>
        <v/>
      </c>
      <c r="M132" s="46">
        <f>IF(B132="","",L132*S_VAT)</f>
        <v/>
      </c>
      <c r="N132" s="46">
        <f>IF(B132="","",L132+M132)</f>
        <v/>
      </c>
      <c r="O132" s="40" t="n"/>
      <c r="P132" s="46">
        <f>IF(A132="","",SUMIFS('سندات القبض'!$K$5:$K$304,'سندات القبض'!$F$5:$F$304,A132))</f>
        <v/>
      </c>
      <c r="Q132" s="46">
        <f>IF(A132="","",N132-P132)</f>
        <v/>
      </c>
      <c r="R132" s="49">
        <f>IF(A132="","",IF(P132&gt;=N132-0.01,"محصّل بالكامل",IF(P132&gt;0,"محصّل جزئياً","غير محصّل")))</f>
        <v/>
      </c>
    </row>
    <row r="133">
      <c r="A133" s="39">
        <f>IF(B133="","","IPC-"&amp;TEXT(ROW()-4,"0000"))</f>
        <v/>
      </c>
      <c r="B133" s="50" t="n"/>
      <c r="C133" s="49">
        <f>IF(B133="","",IFERROR(INDEX('المشروعات'!$B$5:$B$304,MATCH(B133,'المشروعات'!$A$5:$A$304,0)),""))</f>
        <v/>
      </c>
      <c r="D133" s="47" t="n"/>
      <c r="E133" s="47" t="n"/>
      <c r="F133" s="41" t="n"/>
      <c r="G133" s="46">
        <f>IF(B133="","",SUMIFS($H$4:H132,$B$4:B132,B133))</f>
        <v/>
      </c>
      <c r="H133" s="46">
        <f>IF(B133="","",F133-G133)</f>
        <v/>
      </c>
      <c r="I133" s="46">
        <f>IF(B133="","",H133*S_Ret)</f>
        <v/>
      </c>
      <c r="J133" s="41" t="n"/>
      <c r="K133" s="41" t="n"/>
      <c r="L133" s="46">
        <f>IF(B133="","",H133-I133-N(J133)-N(K133))</f>
        <v/>
      </c>
      <c r="M133" s="46">
        <f>IF(B133="","",L133*S_VAT)</f>
        <v/>
      </c>
      <c r="N133" s="46">
        <f>IF(B133="","",L133+M133)</f>
        <v/>
      </c>
      <c r="O133" s="40" t="n"/>
      <c r="P133" s="46">
        <f>IF(A133="","",SUMIFS('سندات القبض'!$K$5:$K$304,'سندات القبض'!$F$5:$F$304,A133))</f>
        <v/>
      </c>
      <c r="Q133" s="46">
        <f>IF(A133="","",N133-P133)</f>
        <v/>
      </c>
      <c r="R133" s="49">
        <f>IF(A133="","",IF(P133&gt;=N133-0.01,"محصّل بالكامل",IF(P133&gt;0,"محصّل جزئياً","غير محصّل")))</f>
        <v/>
      </c>
    </row>
    <row r="134">
      <c r="A134" s="39">
        <f>IF(B134="","","IPC-"&amp;TEXT(ROW()-4,"0000"))</f>
        <v/>
      </c>
      <c r="B134" s="50" t="n"/>
      <c r="C134" s="49">
        <f>IF(B134="","",IFERROR(INDEX('المشروعات'!$B$5:$B$304,MATCH(B134,'المشروعات'!$A$5:$A$304,0)),""))</f>
        <v/>
      </c>
      <c r="D134" s="47" t="n"/>
      <c r="E134" s="47" t="n"/>
      <c r="F134" s="41" t="n"/>
      <c r="G134" s="46">
        <f>IF(B134="","",SUMIFS($H$4:H133,$B$4:B133,B134))</f>
        <v/>
      </c>
      <c r="H134" s="46">
        <f>IF(B134="","",F134-G134)</f>
        <v/>
      </c>
      <c r="I134" s="46">
        <f>IF(B134="","",H134*S_Ret)</f>
        <v/>
      </c>
      <c r="J134" s="41" t="n"/>
      <c r="K134" s="41" t="n"/>
      <c r="L134" s="46">
        <f>IF(B134="","",H134-I134-N(J134)-N(K134))</f>
        <v/>
      </c>
      <c r="M134" s="46">
        <f>IF(B134="","",L134*S_VAT)</f>
        <v/>
      </c>
      <c r="N134" s="46">
        <f>IF(B134="","",L134+M134)</f>
        <v/>
      </c>
      <c r="O134" s="40" t="n"/>
      <c r="P134" s="46">
        <f>IF(A134="","",SUMIFS('سندات القبض'!$K$5:$K$304,'سندات القبض'!$F$5:$F$304,A134))</f>
        <v/>
      </c>
      <c r="Q134" s="46">
        <f>IF(A134="","",N134-P134)</f>
        <v/>
      </c>
      <c r="R134" s="49">
        <f>IF(A134="","",IF(P134&gt;=N134-0.01,"محصّل بالكامل",IF(P134&gt;0,"محصّل جزئياً","غير محصّل")))</f>
        <v/>
      </c>
    </row>
    <row r="135">
      <c r="A135" s="39">
        <f>IF(B135="","","IPC-"&amp;TEXT(ROW()-4,"0000"))</f>
        <v/>
      </c>
      <c r="B135" s="50" t="n"/>
      <c r="C135" s="49">
        <f>IF(B135="","",IFERROR(INDEX('المشروعات'!$B$5:$B$304,MATCH(B135,'المشروعات'!$A$5:$A$304,0)),""))</f>
        <v/>
      </c>
      <c r="D135" s="47" t="n"/>
      <c r="E135" s="47" t="n"/>
      <c r="F135" s="41" t="n"/>
      <c r="G135" s="46">
        <f>IF(B135="","",SUMIFS($H$4:H134,$B$4:B134,B135))</f>
        <v/>
      </c>
      <c r="H135" s="46">
        <f>IF(B135="","",F135-G135)</f>
        <v/>
      </c>
      <c r="I135" s="46">
        <f>IF(B135="","",H135*S_Ret)</f>
        <v/>
      </c>
      <c r="J135" s="41" t="n"/>
      <c r="K135" s="41" t="n"/>
      <c r="L135" s="46">
        <f>IF(B135="","",H135-I135-N(J135)-N(K135))</f>
        <v/>
      </c>
      <c r="M135" s="46">
        <f>IF(B135="","",L135*S_VAT)</f>
        <v/>
      </c>
      <c r="N135" s="46">
        <f>IF(B135="","",L135+M135)</f>
        <v/>
      </c>
      <c r="O135" s="40" t="n"/>
      <c r="P135" s="46">
        <f>IF(A135="","",SUMIFS('سندات القبض'!$K$5:$K$304,'سندات القبض'!$F$5:$F$304,A135))</f>
        <v/>
      </c>
      <c r="Q135" s="46">
        <f>IF(A135="","",N135-P135)</f>
        <v/>
      </c>
      <c r="R135" s="49">
        <f>IF(A135="","",IF(P135&gt;=N135-0.01,"محصّل بالكامل",IF(P135&gt;0,"محصّل جزئياً","غير محصّل")))</f>
        <v/>
      </c>
    </row>
    <row r="136">
      <c r="A136" s="39">
        <f>IF(B136="","","IPC-"&amp;TEXT(ROW()-4,"0000"))</f>
        <v/>
      </c>
      <c r="B136" s="50" t="n"/>
      <c r="C136" s="49">
        <f>IF(B136="","",IFERROR(INDEX('المشروعات'!$B$5:$B$304,MATCH(B136,'المشروعات'!$A$5:$A$304,0)),""))</f>
        <v/>
      </c>
      <c r="D136" s="47" t="n"/>
      <c r="E136" s="47" t="n"/>
      <c r="F136" s="41" t="n"/>
      <c r="G136" s="46">
        <f>IF(B136="","",SUMIFS($H$4:H135,$B$4:B135,B136))</f>
        <v/>
      </c>
      <c r="H136" s="46">
        <f>IF(B136="","",F136-G136)</f>
        <v/>
      </c>
      <c r="I136" s="46">
        <f>IF(B136="","",H136*S_Ret)</f>
        <v/>
      </c>
      <c r="J136" s="41" t="n"/>
      <c r="K136" s="41" t="n"/>
      <c r="L136" s="46">
        <f>IF(B136="","",H136-I136-N(J136)-N(K136))</f>
        <v/>
      </c>
      <c r="M136" s="46">
        <f>IF(B136="","",L136*S_VAT)</f>
        <v/>
      </c>
      <c r="N136" s="46">
        <f>IF(B136="","",L136+M136)</f>
        <v/>
      </c>
      <c r="O136" s="40" t="n"/>
      <c r="P136" s="46">
        <f>IF(A136="","",SUMIFS('سندات القبض'!$K$5:$K$304,'سندات القبض'!$F$5:$F$304,A136))</f>
        <v/>
      </c>
      <c r="Q136" s="46">
        <f>IF(A136="","",N136-P136)</f>
        <v/>
      </c>
      <c r="R136" s="49">
        <f>IF(A136="","",IF(P136&gt;=N136-0.01,"محصّل بالكامل",IF(P136&gt;0,"محصّل جزئياً","غير محصّل")))</f>
        <v/>
      </c>
    </row>
    <row r="137">
      <c r="A137" s="39">
        <f>IF(B137="","","IPC-"&amp;TEXT(ROW()-4,"0000"))</f>
        <v/>
      </c>
      <c r="B137" s="50" t="n"/>
      <c r="C137" s="49">
        <f>IF(B137="","",IFERROR(INDEX('المشروعات'!$B$5:$B$304,MATCH(B137,'المشروعات'!$A$5:$A$304,0)),""))</f>
        <v/>
      </c>
      <c r="D137" s="47" t="n"/>
      <c r="E137" s="47" t="n"/>
      <c r="F137" s="41" t="n"/>
      <c r="G137" s="46">
        <f>IF(B137="","",SUMIFS($H$4:H136,$B$4:B136,B137))</f>
        <v/>
      </c>
      <c r="H137" s="46">
        <f>IF(B137="","",F137-G137)</f>
        <v/>
      </c>
      <c r="I137" s="46">
        <f>IF(B137="","",H137*S_Ret)</f>
        <v/>
      </c>
      <c r="J137" s="41" t="n"/>
      <c r="K137" s="41" t="n"/>
      <c r="L137" s="46">
        <f>IF(B137="","",H137-I137-N(J137)-N(K137))</f>
        <v/>
      </c>
      <c r="M137" s="46">
        <f>IF(B137="","",L137*S_VAT)</f>
        <v/>
      </c>
      <c r="N137" s="46">
        <f>IF(B137="","",L137+M137)</f>
        <v/>
      </c>
      <c r="O137" s="40" t="n"/>
      <c r="P137" s="46">
        <f>IF(A137="","",SUMIFS('سندات القبض'!$K$5:$K$304,'سندات القبض'!$F$5:$F$304,A137))</f>
        <v/>
      </c>
      <c r="Q137" s="46">
        <f>IF(A137="","",N137-P137)</f>
        <v/>
      </c>
      <c r="R137" s="49">
        <f>IF(A137="","",IF(P137&gt;=N137-0.01,"محصّل بالكامل",IF(P137&gt;0,"محصّل جزئياً","غير محصّل")))</f>
        <v/>
      </c>
    </row>
    <row r="138">
      <c r="A138" s="39">
        <f>IF(B138="","","IPC-"&amp;TEXT(ROW()-4,"0000"))</f>
        <v/>
      </c>
      <c r="B138" s="50" t="n"/>
      <c r="C138" s="49">
        <f>IF(B138="","",IFERROR(INDEX('المشروعات'!$B$5:$B$304,MATCH(B138,'المشروعات'!$A$5:$A$304,0)),""))</f>
        <v/>
      </c>
      <c r="D138" s="47" t="n"/>
      <c r="E138" s="47" t="n"/>
      <c r="F138" s="41" t="n"/>
      <c r="G138" s="46">
        <f>IF(B138="","",SUMIFS($H$4:H137,$B$4:B137,B138))</f>
        <v/>
      </c>
      <c r="H138" s="46">
        <f>IF(B138="","",F138-G138)</f>
        <v/>
      </c>
      <c r="I138" s="46">
        <f>IF(B138="","",H138*S_Ret)</f>
        <v/>
      </c>
      <c r="J138" s="41" t="n"/>
      <c r="K138" s="41" t="n"/>
      <c r="L138" s="46">
        <f>IF(B138="","",H138-I138-N(J138)-N(K138))</f>
        <v/>
      </c>
      <c r="M138" s="46">
        <f>IF(B138="","",L138*S_VAT)</f>
        <v/>
      </c>
      <c r="N138" s="46">
        <f>IF(B138="","",L138+M138)</f>
        <v/>
      </c>
      <c r="O138" s="40" t="n"/>
      <c r="P138" s="46">
        <f>IF(A138="","",SUMIFS('سندات القبض'!$K$5:$K$304,'سندات القبض'!$F$5:$F$304,A138))</f>
        <v/>
      </c>
      <c r="Q138" s="46">
        <f>IF(A138="","",N138-P138)</f>
        <v/>
      </c>
      <c r="R138" s="49">
        <f>IF(A138="","",IF(P138&gt;=N138-0.01,"محصّل بالكامل",IF(P138&gt;0,"محصّل جزئياً","غير محصّل")))</f>
        <v/>
      </c>
    </row>
    <row r="139">
      <c r="A139" s="39">
        <f>IF(B139="","","IPC-"&amp;TEXT(ROW()-4,"0000"))</f>
        <v/>
      </c>
      <c r="B139" s="50" t="n"/>
      <c r="C139" s="49">
        <f>IF(B139="","",IFERROR(INDEX('المشروعات'!$B$5:$B$304,MATCH(B139,'المشروعات'!$A$5:$A$304,0)),""))</f>
        <v/>
      </c>
      <c r="D139" s="47" t="n"/>
      <c r="E139" s="47" t="n"/>
      <c r="F139" s="41" t="n"/>
      <c r="G139" s="46">
        <f>IF(B139="","",SUMIFS($H$4:H138,$B$4:B138,B139))</f>
        <v/>
      </c>
      <c r="H139" s="46">
        <f>IF(B139="","",F139-G139)</f>
        <v/>
      </c>
      <c r="I139" s="46">
        <f>IF(B139="","",H139*S_Ret)</f>
        <v/>
      </c>
      <c r="J139" s="41" t="n"/>
      <c r="K139" s="41" t="n"/>
      <c r="L139" s="46">
        <f>IF(B139="","",H139-I139-N(J139)-N(K139))</f>
        <v/>
      </c>
      <c r="M139" s="46">
        <f>IF(B139="","",L139*S_VAT)</f>
        <v/>
      </c>
      <c r="N139" s="46">
        <f>IF(B139="","",L139+M139)</f>
        <v/>
      </c>
      <c r="O139" s="40" t="n"/>
      <c r="P139" s="46">
        <f>IF(A139="","",SUMIFS('سندات القبض'!$K$5:$K$304,'سندات القبض'!$F$5:$F$304,A139))</f>
        <v/>
      </c>
      <c r="Q139" s="46">
        <f>IF(A139="","",N139-P139)</f>
        <v/>
      </c>
      <c r="R139" s="49">
        <f>IF(A139="","",IF(P139&gt;=N139-0.01,"محصّل بالكامل",IF(P139&gt;0,"محصّل جزئياً","غير محصّل")))</f>
        <v/>
      </c>
    </row>
    <row r="140">
      <c r="A140" s="39">
        <f>IF(B140="","","IPC-"&amp;TEXT(ROW()-4,"0000"))</f>
        <v/>
      </c>
      <c r="B140" s="50" t="n"/>
      <c r="C140" s="49">
        <f>IF(B140="","",IFERROR(INDEX('المشروعات'!$B$5:$B$304,MATCH(B140,'المشروعات'!$A$5:$A$304,0)),""))</f>
        <v/>
      </c>
      <c r="D140" s="47" t="n"/>
      <c r="E140" s="47" t="n"/>
      <c r="F140" s="41" t="n"/>
      <c r="G140" s="46">
        <f>IF(B140="","",SUMIFS($H$4:H139,$B$4:B139,B140))</f>
        <v/>
      </c>
      <c r="H140" s="46">
        <f>IF(B140="","",F140-G140)</f>
        <v/>
      </c>
      <c r="I140" s="46">
        <f>IF(B140="","",H140*S_Ret)</f>
        <v/>
      </c>
      <c r="J140" s="41" t="n"/>
      <c r="K140" s="41" t="n"/>
      <c r="L140" s="46">
        <f>IF(B140="","",H140-I140-N(J140)-N(K140))</f>
        <v/>
      </c>
      <c r="M140" s="46">
        <f>IF(B140="","",L140*S_VAT)</f>
        <v/>
      </c>
      <c r="N140" s="46">
        <f>IF(B140="","",L140+M140)</f>
        <v/>
      </c>
      <c r="O140" s="40" t="n"/>
      <c r="P140" s="46">
        <f>IF(A140="","",SUMIFS('سندات القبض'!$K$5:$K$304,'سندات القبض'!$F$5:$F$304,A140))</f>
        <v/>
      </c>
      <c r="Q140" s="46">
        <f>IF(A140="","",N140-P140)</f>
        <v/>
      </c>
      <c r="R140" s="49">
        <f>IF(A140="","",IF(P140&gt;=N140-0.01,"محصّل بالكامل",IF(P140&gt;0,"محصّل جزئياً","غير محصّل")))</f>
        <v/>
      </c>
    </row>
    <row r="141">
      <c r="A141" s="39">
        <f>IF(B141="","","IPC-"&amp;TEXT(ROW()-4,"0000"))</f>
        <v/>
      </c>
      <c r="B141" s="50" t="n"/>
      <c r="C141" s="49">
        <f>IF(B141="","",IFERROR(INDEX('المشروعات'!$B$5:$B$304,MATCH(B141,'المشروعات'!$A$5:$A$304,0)),""))</f>
        <v/>
      </c>
      <c r="D141" s="47" t="n"/>
      <c r="E141" s="47" t="n"/>
      <c r="F141" s="41" t="n"/>
      <c r="G141" s="46">
        <f>IF(B141="","",SUMIFS($H$4:H140,$B$4:B140,B141))</f>
        <v/>
      </c>
      <c r="H141" s="46">
        <f>IF(B141="","",F141-G141)</f>
        <v/>
      </c>
      <c r="I141" s="46">
        <f>IF(B141="","",H141*S_Ret)</f>
        <v/>
      </c>
      <c r="J141" s="41" t="n"/>
      <c r="K141" s="41" t="n"/>
      <c r="L141" s="46">
        <f>IF(B141="","",H141-I141-N(J141)-N(K141))</f>
        <v/>
      </c>
      <c r="M141" s="46">
        <f>IF(B141="","",L141*S_VAT)</f>
        <v/>
      </c>
      <c r="N141" s="46">
        <f>IF(B141="","",L141+M141)</f>
        <v/>
      </c>
      <c r="O141" s="40" t="n"/>
      <c r="P141" s="46">
        <f>IF(A141="","",SUMIFS('سندات القبض'!$K$5:$K$304,'سندات القبض'!$F$5:$F$304,A141))</f>
        <v/>
      </c>
      <c r="Q141" s="46">
        <f>IF(A141="","",N141-P141)</f>
        <v/>
      </c>
      <c r="R141" s="49">
        <f>IF(A141="","",IF(P141&gt;=N141-0.01,"محصّل بالكامل",IF(P141&gt;0,"محصّل جزئياً","غير محصّل")))</f>
        <v/>
      </c>
    </row>
    <row r="142">
      <c r="A142" s="39">
        <f>IF(B142="","","IPC-"&amp;TEXT(ROW()-4,"0000"))</f>
        <v/>
      </c>
      <c r="B142" s="50" t="n"/>
      <c r="C142" s="49">
        <f>IF(B142="","",IFERROR(INDEX('المشروعات'!$B$5:$B$304,MATCH(B142,'المشروعات'!$A$5:$A$304,0)),""))</f>
        <v/>
      </c>
      <c r="D142" s="47" t="n"/>
      <c r="E142" s="47" t="n"/>
      <c r="F142" s="41" t="n"/>
      <c r="G142" s="46">
        <f>IF(B142="","",SUMIFS($H$4:H141,$B$4:B141,B142))</f>
        <v/>
      </c>
      <c r="H142" s="46">
        <f>IF(B142="","",F142-G142)</f>
        <v/>
      </c>
      <c r="I142" s="46">
        <f>IF(B142="","",H142*S_Ret)</f>
        <v/>
      </c>
      <c r="J142" s="41" t="n"/>
      <c r="K142" s="41" t="n"/>
      <c r="L142" s="46">
        <f>IF(B142="","",H142-I142-N(J142)-N(K142))</f>
        <v/>
      </c>
      <c r="M142" s="46">
        <f>IF(B142="","",L142*S_VAT)</f>
        <v/>
      </c>
      <c r="N142" s="46">
        <f>IF(B142="","",L142+M142)</f>
        <v/>
      </c>
      <c r="O142" s="40" t="n"/>
      <c r="P142" s="46">
        <f>IF(A142="","",SUMIFS('سندات القبض'!$K$5:$K$304,'سندات القبض'!$F$5:$F$304,A142))</f>
        <v/>
      </c>
      <c r="Q142" s="46">
        <f>IF(A142="","",N142-P142)</f>
        <v/>
      </c>
      <c r="R142" s="49">
        <f>IF(A142="","",IF(P142&gt;=N142-0.01,"محصّل بالكامل",IF(P142&gt;0,"محصّل جزئياً","غير محصّل")))</f>
        <v/>
      </c>
    </row>
    <row r="143">
      <c r="A143" s="39">
        <f>IF(B143="","","IPC-"&amp;TEXT(ROW()-4,"0000"))</f>
        <v/>
      </c>
      <c r="B143" s="50" t="n"/>
      <c r="C143" s="49">
        <f>IF(B143="","",IFERROR(INDEX('المشروعات'!$B$5:$B$304,MATCH(B143,'المشروعات'!$A$5:$A$304,0)),""))</f>
        <v/>
      </c>
      <c r="D143" s="47" t="n"/>
      <c r="E143" s="47" t="n"/>
      <c r="F143" s="41" t="n"/>
      <c r="G143" s="46">
        <f>IF(B143="","",SUMIFS($H$4:H142,$B$4:B142,B143))</f>
        <v/>
      </c>
      <c r="H143" s="46">
        <f>IF(B143="","",F143-G143)</f>
        <v/>
      </c>
      <c r="I143" s="46">
        <f>IF(B143="","",H143*S_Ret)</f>
        <v/>
      </c>
      <c r="J143" s="41" t="n"/>
      <c r="K143" s="41" t="n"/>
      <c r="L143" s="46">
        <f>IF(B143="","",H143-I143-N(J143)-N(K143))</f>
        <v/>
      </c>
      <c r="M143" s="46">
        <f>IF(B143="","",L143*S_VAT)</f>
        <v/>
      </c>
      <c r="N143" s="46">
        <f>IF(B143="","",L143+M143)</f>
        <v/>
      </c>
      <c r="O143" s="40" t="n"/>
      <c r="P143" s="46">
        <f>IF(A143="","",SUMIFS('سندات القبض'!$K$5:$K$304,'سندات القبض'!$F$5:$F$304,A143))</f>
        <v/>
      </c>
      <c r="Q143" s="46">
        <f>IF(A143="","",N143-P143)</f>
        <v/>
      </c>
      <c r="R143" s="49">
        <f>IF(A143="","",IF(P143&gt;=N143-0.01,"محصّل بالكامل",IF(P143&gt;0,"محصّل جزئياً","غير محصّل")))</f>
        <v/>
      </c>
    </row>
    <row r="144">
      <c r="A144" s="39">
        <f>IF(B144="","","IPC-"&amp;TEXT(ROW()-4,"0000"))</f>
        <v/>
      </c>
      <c r="B144" s="50" t="n"/>
      <c r="C144" s="49">
        <f>IF(B144="","",IFERROR(INDEX('المشروعات'!$B$5:$B$304,MATCH(B144,'المشروعات'!$A$5:$A$304,0)),""))</f>
        <v/>
      </c>
      <c r="D144" s="47" t="n"/>
      <c r="E144" s="47" t="n"/>
      <c r="F144" s="41" t="n"/>
      <c r="G144" s="46">
        <f>IF(B144="","",SUMIFS($H$4:H143,$B$4:B143,B144))</f>
        <v/>
      </c>
      <c r="H144" s="46">
        <f>IF(B144="","",F144-G144)</f>
        <v/>
      </c>
      <c r="I144" s="46">
        <f>IF(B144="","",H144*S_Ret)</f>
        <v/>
      </c>
      <c r="J144" s="41" t="n"/>
      <c r="K144" s="41" t="n"/>
      <c r="L144" s="46">
        <f>IF(B144="","",H144-I144-N(J144)-N(K144))</f>
        <v/>
      </c>
      <c r="M144" s="46">
        <f>IF(B144="","",L144*S_VAT)</f>
        <v/>
      </c>
      <c r="N144" s="46">
        <f>IF(B144="","",L144+M144)</f>
        <v/>
      </c>
      <c r="O144" s="40" t="n"/>
      <c r="P144" s="46">
        <f>IF(A144="","",SUMIFS('سندات القبض'!$K$5:$K$304,'سندات القبض'!$F$5:$F$304,A144))</f>
        <v/>
      </c>
      <c r="Q144" s="46">
        <f>IF(A144="","",N144-P144)</f>
        <v/>
      </c>
      <c r="R144" s="49">
        <f>IF(A144="","",IF(P144&gt;=N144-0.01,"محصّل بالكامل",IF(P144&gt;0,"محصّل جزئياً","غير محصّل")))</f>
        <v/>
      </c>
    </row>
    <row r="145">
      <c r="A145" s="39">
        <f>IF(B145="","","IPC-"&amp;TEXT(ROW()-4,"0000"))</f>
        <v/>
      </c>
      <c r="B145" s="50" t="n"/>
      <c r="C145" s="49">
        <f>IF(B145="","",IFERROR(INDEX('المشروعات'!$B$5:$B$304,MATCH(B145,'المشروعات'!$A$5:$A$304,0)),""))</f>
        <v/>
      </c>
      <c r="D145" s="47" t="n"/>
      <c r="E145" s="47" t="n"/>
      <c r="F145" s="41" t="n"/>
      <c r="G145" s="46">
        <f>IF(B145="","",SUMIFS($H$4:H144,$B$4:B144,B145))</f>
        <v/>
      </c>
      <c r="H145" s="46">
        <f>IF(B145="","",F145-G145)</f>
        <v/>
      </c>
      <c r="I145" s="46">
        <f>IF(B145="","",H145*S_Ret)</f>
        <v/>
      </c>
      <c r="J145" s="41" t="n"/>
      <c r="K145" s="41" t="n"/>
      <c r="L145" s="46">
        <f>IF(B145="","",H145-I145-N(J145)-N(K145))</f>
        <v/>
      </c>
      <c r="M145" s="46">
        <f>IF(B145="","",L145*S_VAT)</f>
        <v/>
      </c>
      <c r="N145" s="46">
        <f>IF(B145="","",L145+M145)</f>
        <v/>
      </c>
      <c r="O145" s="40" t="n"/>
      <c r="P145" s="46">
        <f>IF(A145="","",SUMIFS('سندات القبض'!$K$5:$K$304,'سندات القبض'!$F$5:$F$304,A145))</f>
        <v/>
      </c>
      <c r="Q145" s="46">
        <f>IF(A145="","",N145-P145)</f>
        <v/>
      </c>
      <c r="R145" s="49">
        <f>IF(A145="","",IF(P145&gt;=N145-0.01,"محصّل بالكامل",IF(P145&gt;0,"محصّل جزئياً","غير محصّل")))</f>
        <v/>
      </c>
    </row>
    <row r="146">
      <c r="A146" s="39">
        <f>IF(B146="","","IPC-"&amp;TEXT(ROW()-4,"0000"))</f>
        <v/>
      </c>
      <c r="B146" s="50" t="n"/>
      <c r="C146" s="49">
        <f>IF(B146="","",IFERROR(INDEX('المشروعات'!$B$5:$B$304,MATCH(B146,'المشروعات'!$A$5:$A$304,0)),""))</f>
        <v/>
      </c>
      <c r="D146" s="47" t="n"/>
      <c r="E146" s="47" t="n"/>
      <c r="F146" s="41" t="n"/>
      <c r="G146" s="46">
        <f>IF(B146="","",SUMIFS($H$4:H145,$B$4:B145,B146))</f>
        <v/>
      </c>
      <c r="H146" s="46">
        <f>IF(B146="","",F146-G146)</f>
        <v/>
      </c>
      <c r="I146" s="46">
        <f>IF(B146="","",H146*S_Ret)</f>
        <v/>
      </c>
      <c r="J146" s="41" t="n"/>
      <c r="K146" s="41" t="n"/>
      <c r="L146" s="46">
        <f>IF(B146="","",H146-I146-N(J146)-N(K146))</f>
        <v/>
      </c>
      <c r="M146" s="46">
        <f>IF(B146="","",L146*S_VAT)</f>
        <v/>
      </c>
      <c r="N146" s="46">
        <f>IF(B146="","",L146+M146)</f>
        <v/>
      </c>
      <c r="O146" s="40" t="n"/>
      <c r="P146" s="46">
        <f>IF(A146="","",SUMIFS('سندات القبض'!$K$5:$K$304,'سندات القبض'!$F$5:$F$304,A146))</f>
        <v/>
      </c>
      <c r="Q146" s="46">
        <f>IF(A146="","",N146-P146)</f>
        <v/>
      </c>
      <c r="R146" s="49">
        <f>IF(A146="","",IF(P146&gt;=N146-0.01,"محصّل بالكامل",IF(P146&gt;0,"محصّل جزئياً","غير محصّل")))</f>
        <v/>
      </c>
    </row>
    <row r="147">
      <c r="A147" s="39">
        <f>IF(B147="","","IPC-"&amp;TEXT(ROW()-4,"0000"))</f>
        <v/>
      </c>
      <c r="B147" s="50" t="n"/>
      <c r="C147" s="49">
        <f>IF(B147="","",IFERROR(INDEX('المشروعات'!$B$5:$B$304,MATCH(B147,'المشروعات'!$A$5:$A$304,0)),""))</f>
        <v/>
      </c>
      <c r="D147" s="47" t="n"/>
      <c r="E147" s="47" t="n"/>
      <c r="F147" s="41" t="n"/>
      <c r="G147" s="46">
        <f>IF(B147="","",SUMIFS($H$4:H146,$B$4:B146,B147))</f>
        <v/>
      </c>
      <c r="H147" s="46">
        <f>IF(B147="","",F147-G147)</f>
        <v/>
      </c>
      <c r="I147" s="46">
        <f>IF(B147="","",H147*S_Ret)</f>
        <v/>
      </c>
      <c r="J147" s="41" t="n"/>
      <c r="K147" s="41" t="n"/>
      <c r="L147" s="46">
        <f>IF(B147="","",H147-I147-N(J147)-N(K147))</f>
        <v/>
      </c>
      <c r="M147" s="46">
        <f>IF(B147="","",L147*S_VAT)</f>
        <v/>
      </c>
      <c r="N147" s="46">
        <f>IF(B147="","",L147+M147)</f>
        <v/>
      </c>
      <c r="O147" s="40" t="n"/>
      <c r="P147" s="46">
        <f>IF(A147="","",SUMIFS('سندات القبض'!$K$5:$K$304,'سندات القبض'!$F$5:$F$304,A147))</f>
        <v/>
      </c>
      <c r="Q147" s="46">
        <f>IF(A147="","",N147-P147)</f>
        <v/>
      </c>
      <c r="R147" s="49">
        <f>IF(A147="","",IF(P147&gt;=N147-0.01,"محصّل بالكامل",IF(P147&gt;0,"محصّل جزئياً","غير محصّل")))</f>
        <v/>
      </c>
    </row>
    <row r="148">
      <c r="A148" s="39">
        <f>IF(B148="","","IPC-"&amp;TEXT(ROW()-4,"0000"))</f>
        <v/>
      </c>
      <c r="B148" s="50" t="n"/>
      <c r="C148" s="49">
        <f>IF(B148="","",IFERROR(INDEX('المشروعات'!$B$5:$B$304,MATCH(B148,'المشروعات'!$A$5:$A$304,0)),""))</f>
        <v/>
      </c>
      <c r="D148" s="47" t="n"/>
      <c r="E148" s="47" t="n"/>
      <c r="F148" s="41" t="n"/>
      <c r="G148" s="46">
        <f>IF(B148="","",SUMIFS($H$4:H147,$B$4:B147,B148))</f>
        <v/>
      </c>
      <c r="H148" s="46">
        <f>IF(B148="","",F148-G148)</f>
        <v/>
      </c>
      <c r="I148" s="46">
        <f>IF(B148="","",H148*S_Ret)</f>
        <v/>
      </c>
      <c r="J148" s="41" t="n"/>
      <c r="K148" s="41" t="n"/>
      <c r="L148" s="46">
        <f>IF(B148="","",H148-I148-N(J148)-N(K148))</f>
        <v/>
      </c>
      <c r="M148" s="46">
        <f>IF(B148="","",L148*S_VAT)</f>
        <v/>
      </c>
      <c r="N148" s="46">
        <f>IF(B148="","",L148+M148)</f>
        <v/>
      </c>
      <c r="O148" s="40" t="n"/>
      <c r="P148" s="46">
        <f>IF(A148="","",SUMIFS('سندات القبض'!$K$5:$K$304,'سندات القبض'!$F$5:$F$304,A148))</f>
        <v/>
      </c>
      <c r="Q148" s="46">
        <f>IF(A148="","",N148-P148)</f>
        <v/>
      </c>
      <c r="R148" s="49">
        <f>IF(A148="","",IF(P148&gt;=N148-0.01,"محصّل بالكامل",IF(P148&gt;0,"محصّل جزئياً","غير محصّل")))</f>
        <v/>
      </c>
    </row>
    <row r="149">
      <c r="A149" s="39">
        <f>IF(B149="","","IPC-"&amp;TEXT(ROW()-4,"0000"))</f>
        <v/>
      </c>
      <c r="B149" s="50" t="n"/>
      <c r="C149" s="49">
        <f>IF(B149="","",IFERROR(INDEX('المشروعات'!$B$5:$B$304,MATCH(B149,'المشروعات'!$A$5:$A$304,0)),""))</f>
        <v/>
      </c>
      <c r="D149" s="47" t="n"/>
      <c r="E149" s="47" t="n"/>
      <c r="F149" s="41" t="n"/>
      <c r="G149" s="46">
        <f>IF(B149="","",SUMIFS($H$4:H148,$B$4:B148,B149))</f>
        <v/>
      </c>
      <c r="H149" s="46">
        <f>IF(B149="","",F149-G149)</f>
        <v/>
      </c>
      <c r="I149" s="46">
        <f>IF(B149="","",H149*S_Ret)</f>
        <v/>
      </c>
      <c r="J149" s="41" t="n"/>
      <c r="K149" s="41" t="n"/>
      <c r="L149" s="46">
        <f>IF(B149="","",H149-I149-N(J149)-N(K149))</f>
        <v/>
      </c>
      <c r="M149" s="46">
        <f>IF(B149="","",L149*S_VAT)</f>
        <v/>
      </c>
      <c r="N149" s="46">
        <f>IF(B149="","",L149+M149)</f>
        <v/>
      </c>
      <c r="O149" s="40" t="n"/>
      <c r="P149" s="46">
        <f>IF(A149="","",SUMIFS('سندات القبض'!$K$5:$K$304,'سندات القبض'!$F$5:$F$304,A149))</f>
        <v/>
      </c>
      <c r="Q149" s="46">
        <f>IF(A149="","",N149-P149)</f>
        <v/>
      </c>
      <c r="R149" s="49">
        <f>IF(A149="","",IF(P149&gt;=N149-0.01,"محصّل بالكامل",IF(P149&gt;0,"محصّل جزئياً","غير محصّل")))</f>
        <v/>
      </c>
    </row>
    <row r="150">
      <c r="A150" s="39">
        <f>IF(B150="","","IPC-"&amp;TEXT(ROW()-4,"0000"))</f>
        <v/>
      </c>
      <c r="B150" s="50" t="n"/>
      <c r="C150" s="49">
        <f>IF(B150="","",IFERROR(INDEX('المشروعات'!$B$5:$B$304,MATCH(B150,'المشروعات'!$A$5:$A$304,0)),""))</f>
        <v/>
      </c>
      <c r="D150" s="47" t="n"/>
      <c r="E150" s="47" t="n"/>
      <c r="F150" s="41" t="n"/>
      <c r="G150" s="46">
        <f>IF(B150="","",SUMIFS($H$4:H149,$B$4:B149,B150))</f>
        <v/>
      </c>
      <c r="H150" s="46">
        <f>IF(B150="","",F150-G150)</f>
        <v/>
      </c>
      <c r="I150" s="46">
        <f>IF(B150="","",H150*S_Ret)</f>
        <v/>
      </c>
      <c r="J150" s="41" t="n"/>
      <c r="K150" s="41" t="n"/>
      <c r="L150" s="46">
        <f>IF(B150="","",H150-I150-N(J150)-N(K150))</f>
        <v/>
      </c>
      <c r="M150" s="46">
        <f>IF(B150="","",L150*S_VAT)</f>
        <v/>
      </c>
      <c r="N150" s="46">
        <f>IF(B150="","",L150+M150)</f>
        <v/>
      </c>
      <c r="O150" s="40" t="n"/>
      <c r="P150" s="46">
        <f>IF(A150="","",SUMIFS('سندات القبض'!$K$5:$K$304,'سندات القبض'!$F$5:$F$304,A150))</f>
        <v/>
      </c>
      <c r="Q150" s="46">
        <f>IF(A150="","",N150-P150)</f>
        <v/>
      </c>
      <c r="R150" s="49">
        <f>IF(A150="","",IF(P150&gt;=N150-0.01,"محصّل بالكامل",IF(P150&gt;0,"محصّل جزئياً","غير محصّل")))</f>
        <v/>
      </c>
    </row>
    <row r="151">
      <c r="A151" s="39">
        <f>IF(B151="","","IPC-"&amp;TEXT(ROW()-4,"0000"))</f>
        <v/>
      </c>
      <c r="B151" s="50" t="n"/>
      <c r="C151" s="49">
        <f>IF(B151="","",IFERROR(INDEX('المشروعات'!$B$5:$B$304,MATCH(B151,'المشروعات'!$A$5:$A$304,0)),""))</f>
        <v/>
      </c>
      <c r="D151" s="47" t="n"/>
      <c r="E151" s="47" t="n"/>
      <c r="F151" s="41" t="n"/>
      <c r="G151" s="46">
        <f>IF(B151="","",SUMIFS($H$4:H150,$B$4:B150,B151))</f>
        <v/>
      </c>
      <c r="H151" s="46">
        <f>IF(B151="","",F151-G151)</f>
        <v/>
      </c>
      <c r="I151" s="46">
        <f>IF(B151="","",H151*S_Ret)</f>
        <v/>
      </c>
      <c r="J151" s="41" t="n"/>
      <c r="K151" s="41" t="n"/>
      <c r="L151" s="46">
        <f>IF(B151="","",H151-I151-N(J151)-N(K151))</f>
        <v/>
      </c>
      <c r="M151" s="46">
        <f>IF(B151="","",L151*S_VAT)</f>
        <v/>
      </c>
      <c r="N151" s="46">
        <f>IF(B151="","",L151+M151)</f>
        <v/>
      </c>
      <c r="O151" s="40" t="n"/>
      <c r="P151" s="46">
        <f>IF(A151="","",SUMIFS('سندات القبض'!$K$5:$K$304,'سندات القبض'!$F$5:$F$304,A151))</f>
        <v/>
      </c>
      <c r="Q151" s="46">
        <f>IF(A151="","",N151-P151)</f>
        <v/>
      </c>
      <c r="R151" s="49">
        <f>IF(A151="","",IF(P151&gt;=N151-0.01,"محصّل بالكامل",IF(P151&gt;0,"محصّل جزئياً","غير محصّل")))</f>
        <v/>
      </c>
    </row>
    <row r="152">
      <c r="A152" s="39">
        <f>IF(B152="","","IPC-"&amp;TEXT(ROW()-4,"0000"))</f>
        <v/>
      </c>
      <c r="B152" s="50" t="n"/>
      <c r="C152" s="49">
        <f>IF(B152="","",IFERROR(INDEX('المشروعات'!$B$5:$B$304,MATCH(B152,'المشروعات'!$A$5:$A$304,0)),""))</f>
        <v/>
      </c>
      <c r="D152" s="47" t="n"/>
      <c r="E152" s="47" t="n"/>
      <c r="F152" s="41" t="n"/>
      <c r="G152" s="46">
        <f>IF(B152="","",SUMIFS($H$4:H151,$B$4:B151,B152))</f>
        <v/>
      </c>
      <c r="H152" s="46">
        <f>IF(B152="","",F152-G152)</f>
        <v/>
      </c>
      <c r="I152" s="46">
        <f>IF(B152="","",H152*S_Ret)</f>
        <v/>
      </c>
      <c r="J152" s="41" t="n"/>
      <c r="K152" s="41" t="n"/>
      <c r="L152" s="46">
        <f>IF(B152="","",H152-I152-N(J152)-N(K152))</f>
        <v/>
      </c>
      <c r="M152" s="46">
        <f>IF(B152="","",L152*S_VAT)</f>
        <v/>
      </c>
      <c r="N152" s="46">
        <f>IF(B152="","",L152+M152)</f>
        <v/>
      </c>
      <c r="O152" s="40" t="n"/>
      <c r="P152" s="46">
        <f>IF(A152="","",SUMIFS('سندات القبض'!$K$5:$K$304,'سندات القبض'!$F$5:$F$304,A152))</f>
        <v/>
      </c>
      <c r="Q152" s="46">
        <f>IF(A152="","",N152-P152)</f>
        <v/>
      </c>
      <c r="R152" s="49">
        <f>IF(A152="","",IF(P152&gt;=N152-0.01,"محصّل بالكامل",IF(P152&gt;0,"محصّل جزئياً","غير محصّل")))</f>
        <v/>
      </c>
    </row>
    <row r="153">
      <c r="A153" s="39">
        <f>IF(B153="","","IPC-"&amp;TEXT(ROW()-4,"0000"))</f>
        <v/>
      </c>
      <c r="B153" s="50" t="n"/>
      <c r="C153" s="49">
        <f>IF(B153="","",IFERROR(INDEX('المشروعات'!$B$5:$B$304,MATCH(B153,'المشروعات'!$A$5:$A$304,0)),""))</f>
        <v/>
      </c>
      <c r="D153" s="47" t="n"/>
      <c r="E153" s="47" t="n"/>
      <c r="F153" s="41" t="n"/>
      <c r="G153" s="46">
        <f>IF(B153="","",SUMIFS($H$4:H152,$B$4:B152,B153))</f>
        <v/>
      </c>
      <c r="H153" s="46">
        <f>IF(B153="","",F153-G153)</f>
        <v/>
      </c>
      <c r="I153" s="46">
        <f>IF(B153="","",H153*S_Ret)</f>
        <v/>
      </c>
      <c r="J153" s="41" t="n"/>
      <c r="K153" s="41" t="n"/>
      <c r="L153" s="46">
        <f>IF(B153="","",H153-I153-N(J153)-N(K153))</f>
        <v/>
      </c>
      <c r="M153" s="46">
        <f>IF(B153="","",L153*S_VAT)</f>
        <v/>
      </c>
      <c r="N153" s="46">
        <f>IF(B153="","",L153+M153)</f>
        <v/>
      </c>
      <c r="O153" s="40" t="n"/>
      <c r="P153" s="46">
        <f>IF(A153="","",SUMIFS('سندات القبض'!$K$5:$K$304,'سندات القبض'!$F$5:$F$304,A153))</f>
        <v/>
      </c>
      <c r="Q153" s="46">
        <f>IF(A153="","",N153-P153)</f>
        <v/>
      </c>
      <c r="R153" s="49">
        <f>IF(A153="","",IF(P153&gt;=N153-0.01,"محصّل بالكامل",IF(P153&gt;0,"محصّل جزئياً","غير محصّل")))</f>
        <v/>
      </c>
    </row>
    <row r="154">
      <c r="A154" s="39">
        <f>IF(B154="","","IPC-"&amp;TEXT(ROW()-4,"0000"))</f>
        <v/>
      </c>
      <c r="B154" s="50" t="n"/>
      <c r="C154" s="49">
        <f>IF(B154="","",IFERROR(INDEX('المشروعات'!$B$5:$B$304,MATCH(B154,'المشروعات'!$A$5:$A$304,0)),""))</f>
        <v/>
      </c>
      <c r="D154" s="47" t="n"/>
      <c r="E154" s="47" t="n"/>
      <c r="F154" s="41" t="n"/>
      <c r="G154" s="46">
        <f>IF(B154="","",SUMIFS($H$4:H153,$B$4:B153,B154))</f>
        <v/>
      </c>
      <c r="H154" s="46">
        <f>IF(B154="","",F154-G154)</f>
        <v/>
      </c>
      <c r="I154" s="46">
        <f>IF(B154="","",H154*S_Ret)</f>
        <v/>
      </c>
      <c r="J154" s="41" t="n"/>
      <c r="K154" s="41" t="n"/>
      <c r="L154" s="46">
        <f>IF(B154="","",H154-I154-N(J154)-N(K154))</f>
        <v/>
      </c>
      <c r="M154" s="46">
        <f>IF(B154="","",L154*S_VAT)</f>
        <v/>
      </c>
      <c r="N154" s="46">
        <f>IF(B154="","",L154+M154)</f>
        <v/>
      </c>
      <c r="O154" s="40" t="n"/>
      <c r="P154" s="46">
        <f>IF(A154="","",SUMIFS('سندات القبض'!$K$5:$K$304,'سندات القبض'!$F$5:$F$304,A154))</f>
        <v/>
      </c>
      <c r="Q154" s="46">
        <f>IF(A154="","",N154-P154)</f>
        <v/>
      </c>
      <c r="R154" s="49">
        <f>IF(A154="","",IF(P154&gt;=N154-0.01,"محصّل بالكامل",IF(P154&gt;0,"محصّل جزئياً","غير محصّل")))</f>
        <v/>
      </c>
    </row>
    <row r="155">
      <c r="A155" s="39">
        <f>IF(B155="","","IPC-"&amp;TEXT(ROW()-4,"0000"))</f>
        <v/>
      </c>
      <c r="B155" s="50" t="n"/>
      <c r="C155" s="49">
        <f>IF(B155="","",IFERROR(INDEX('المشروعات'!$B$5:$B$304,MATCH(B155,'المشروعات'!$A$5:$A$304,0)),""))</f>
        <v/>
      </c>
      <c r="D155" s="47" t="n"/>
      <c r="E155" s="47" t="n"/>
      <c r="F155" s="41" t="n"/>
      <c r="G155" s="46">
        <f>IF(B155="","",SUMIFS($H$4:H154,$B$4:B154,B155))</f>
        <v/>
      </c>
      <c r="H155" s="46">
        <f>IF(B155="","",F155-G155)</f>
        <v/>
      </c>
      <c r="I155" s="46">
        <f>IF(B155="","",H155*S_Ret)</f>
        <v/>
      </c>
      <c r="J155" s="41" t="n"/>
      <c r="K155" s="41" t="n"/>
      <c r="L155" s="46">
        <f>IF(B155="","",H155-I155-N(J155)-N(K155))</f>
        <v/>
      </c>
      <c r="M155" s="46">
        <f>IF(B155="","",L155*S_VAT)</f>
        <v/>
      </c>
      <c r="N155" s="46">
        <f>IF(B155="","",L155+M155)</f>
        <v/>
      </c>
      <c r="O155" s="40" t="n"/>
      <c r="P155" s="46">
        <f>IF(A155="","",SUMIFS('سندات القبض'!$K$5:$K$304,'سندات القبض'!$F$5:$F$304,A155))</f>
        <v/>
      </c>
      <c r="Q155" s="46">
        <f>IF(A155="","",N155-P155)</f>
        <v/>
      </c>
      <c r="R155" s="49">
        <f>IF(A155="","",IF(P155&gt;=N155-0.01,"محصّل بالكامل",IF(P155&gt;0,"محصّل جزئياً","غير محصّل")))</f>
        <v/>
      </c>
    </row>
    <row r="156">
      <c r="A156" s="39">
        <f>IF(B156="","","IPC-"&amp;TEXT(ROW()-4,"0000"))</f>
        <v/>
      </c>
      <c r="B156" s="50" t="n"/>
      <c r="C156" s="49">
        <f>IF(B156="","",IFERROR(INDEX('المشروعات'!$B$5:$B$304,MATCH(B156,'المشروعات'!$A$5:$A$304,0)),""))</f>
        <v/>
      </c>
      <c r="D156" s="47" t="n"/>
      <c r="E156" s="47" t="n"/>
      <c r="F156" s="41" t="n"/>
      <c r="G156" s="46">
        <f>IF(B156="","",SUMIFS($H$4:H155,$B$4:B155,B156))</f>
        <v/>
      </c>
      <c r="H156" s="46">
        <f>IF(B156="","",F156-G156)</f>
        <v/>
      </c>
      <c r="I156" s="46">
        <f>IF(B156="","",H156*S_Ret)</f>
        <v/>
      </c>
      <c r="J156" s="41" t="n"/>
      <c r="K156" s="41" t="n"/>
      <c r="L156" s="46">
        <f>IF(B156="","",H156-I156-N(J156)-N(K156))</f>
        <v/>
      </c>
      <c r="M156" s="46">
        <f>IF(B156="","",L156*S_VAT)</f>
        <v/>
      </c>
      <c r="N156" s="46">
        <f>IF(B156="","",L156+M156)</f>
        <v/>
      </c>
      <c r="O156" s="40" t="n"/>
      <c r="P156" s="46">
        <f>IF(A156="","",SUMIFS('سندات القبض'!$K$5:$K$304,'سندات القبض'!$F$5:$F$304,A156))</f>
        <v/>
      </c>
      <c r="Q156" s="46">
        <f>IF(A156="","",N156-P156)</f>
        <v/>
      </c>
      <c r="R156" s="49">
        <f>IF(A156="","",IF(P156&gt;=N156-0.01,"محصّل بالكامل",IF(P156&gt;0,"محصّل جزئياً","غير محصّل")))</f>
        <v/>
      </c>
    </row>
    <row r="157">
      <c r="A157" s="39">
        <f>IF(B157="","","IPC-"&amp;TEXT(ROW()-4,"0000"))</f>
        <v/>
      </c>
      <c r="B157" s="50" t="n"/>
      <c r="C157" s="49">
        <f>IF(B157="","",IFERROR(INDEX('المشروعات'!$B$5:$B$304,MATCH(B157,'المشروعات'!$A$5:$A$304,0)),""))</f>
        <v/>
      </c>
      <c r="D157" s="47" t="n"/>
      <c r="E157" s="47" t="n"/>
      <c r="F157" s="41" t="n"/>
      <c r="G157" s="46">
        <f>IF(B157="","",SUMIFS($H$4:H156,$B$4:B156,B157))</f>
        <v/>
      </c>
      <c r="H157" s="46">
        <f>IF(B157="","",F157-G157)</f>
        <v/>
      </c>
      <c r="I157" s="46">
        <f>IF(B157="","",H157*S_Ret)</f>
        <v/>
      </c>
      <c r="J157" s="41" t="n"/>
      <c r="K157" s="41" t="n"/>
      <c r="L157" s="46">
        <f>IF(B157="","",H157-I157-N(J157)-N(K157))</f>
        <v/>
      </c>
      <c r="M157" s="46">
        <f>IF(B157="","",L157*S_VAT)</f>
        <v/>
      </c>
      <c r="N157" s="46">
        <f>IF(B157="","",L157+M157)</f>
        <v/>
      </c>
      <c r="O157" s="40" t="n"/>
      <c r="P157" s="46">
        <f>IF(A157="","",SUMIFS('سندات القبض'!$K$5:$K$304,'سندات القبض'!$F$5:$F$304,A157))</f>
        <v/>
      </c>
      <c r="Q157" s="46">
        <f>IF(A157="","",N157-P157)</f>
        <v/>
      </c>
      <c r="R157" s="49">
        <f>IF(A157="","",IF(P157&gt;=N157-0.01,"محصّل بالكامل",IF(P157&gt;0,"محصّل جزئياً","غير محصّل")))</f>
        <v/>
      </c>
    </row>
    <row r="158">
      <c r="A158" s="39">
        <f>IF(B158="","","IPC-"&amp;TEXT(ROW()-4,"0000"))</f>
        <v/>
      </c>
      <c r="B158" s="50" t="n"/>
      <c r="C158" s="49">
        <f>IF(B158="","",IFERROR(INDEX('المشروعات'!$B$5:$B$304,MATCH(B158,'المشروعات'!$A$5:$A$304,0)),""))</f>
        <v/>
      </c>
      <c r="D158" s="47" t="n"/>
      <c r="E158" s="47" t="n"/>
      <c r="F158" s="41" t="n"/>
      <c r="G158" s="46">
        <f>IF(B158="","",SUMIFS($H$4:H157,$B$4:B157,B158))</f>
        <v/>
      </c>
      <c r="H158" s="46">
        <f>IF(B158="","",F158-G158)</f>
        <v/>
      </c>
      <c r="I158" s="46">
        <f>IF(B158="","",H158*S_Ret)</f>
        <v/>
      </c>
      <c r="J158" s="41" t="n"/>
      <c r="K158" s="41" t="n"/>
      <c r="L158" s="46">
        <f>IF(B158="","",H158-I158-N(J158)-N(K158))</f>
        <v/>
      </c>
      <c r="M158" s="46">
        <f>IF(B158="","",L158*S_VAT)</f>
        <v/>
      </c>
      <c r="N158" s="46">
        <f>IF(B158="","",L158+M158)</f>
        <v/>
      </c>
      <c r="O158" s="40" t="n"/>
      <c r="P158" s="46">
        <f>IF(A158="","",SUMIFS('سندات القبض'!$K$5:$K$304,'سندات القبض'!$F$5:$F$304,A158))</f>
        <v/>
      </c>
      <c r="Q158" s="46">
        <f>IF(A158="","",N158-P158)</f>
        <v/>
      </c>
      <c r="R158" s="49">
        <f>IF(A158="","",IF(P158&gt;=N158-0.01,"محصّل بالكامل",IF(P158&gt;0,"محصّل جزئياً","غير محصّل")))</f>
        <v/>
      </c>
    </row>
    <row r="159">
      <c r="A159" s="39">
        <f>IF(B159="","","IPC-"&amp;TEXT(ROW()-4,"0000"))</f>
        <v/>
      </c>
      <c r="B159" s="50" t="n"/>
      <c r="C159" s="49">
        <f>IF(B159="","",IFERROR(INDEX('المشروعات'!$B$5:$B$304,MATCH(B159,'المشروعات'!$A$5:$A$304,0)),""))</f>
        <v/>
      </c>
      <c r="D159" s="47" t="n"/>
      <c r="E159" s="47" t="n"/>
      <c r="F159" s="41" t="n"/>
      <c r="G159" s="46">
        <f>IF(B159="","",SUMIFS($H$4:H158,$B$4:B158,B159))</f>
        <v/>
      </c>
      <c r="H159" s="46">
        <f>IF(B159="","",F159-G159)</f>
        <v/>
      </c>
      <c r="I159" s="46">
        <f>IF(B159="","",H159*S_Ret)</f>
        <v/>
      </c>
      <c r="J159" s="41" t="n"/>
      <c r="K159" s="41" t="n"/>
      <c r="L159" s="46">
        <f>IF(B159="","",H159-I159-N(J159)-N(K159))</f>
        <v/>
      </c>
      <c r="M159" s="46">
        <f>IF(B159="","",L159*S_VAT)</f>
        <v/>
      </c>
      <c r="N159" s="46">
        <f>IF(B159="","",L159+M159)</f>
        <v/>
      </c>
      <c r="O159" s="40" t="n"/>
      <c r="P159" s="46">
        <f>IF(A159="","",SUMIFS('سندات القبض'!$K$5:$K$304,'سندات القبض'!$F$5:$F$304,A159))</f>
        <v/>
      </c>
      <c r="Q159" s="46">
        <f>IF(A159="","",N159-P159)</f>
        <v/>
      </c>
      <c r="R159" s="49">
        <f>IF(A159="","",IF(P159&gt;=N159-0.01,"محصّل بالكامل",IF(P159&gt;0,"محصّل جزئياً","غير محصّل")))</f>
        <v/>
      </c>
    </row>
    <row r="160">
      <c r="A160" s="39">
        <f>IF(B160="","","IPC-"&amp;TEXT(ROW()-4,"0000"))</f>
        <v/>
      </c>
      <c r="B160" s="50" t="n"/>
      <c r="C160" s="49">
        <f>IF(B160="","",IFERROR(INDEX('المشروعات'!$B$5:$B$304,MATCH(B160,'المشروعات'!$A$5:$A$304,0)),""))</f>
        <v/>
      </c>
      <c r="D160" s="47" t="n"/>
      <c r="E160" s="47" t="n"/>
      <c r="F160" s="41" t="n"/>
      <c r="G160" s="46">
        <f>IF(B160="","",SUMIFS($H$4:H159,$B$4:B159,B160))</f>
        <v/>
      </c>
      <c r="H160" s="46">
        <f>IF(B160="","",F160-G160)</f>
        <v/>
      </c>
      <c r="I160" s="46">
        <f>IF(B160="","",H160*S_Ret)</f>
        <v/>
      </c>
      <c r="J160" s="41" t="n"/>
      <c r="K160" s="41" t="n"/>
      <c r="L160" s="46">
        <f>IF(B160="","",H160-I160-N(J160)-N(K160))</f>
        <v/>
      </c>
      <c r="M160" s="46">
        <f>IF(B160="","",L160*S_VAT)</f>
        <v/>
      </c>
      <c r="N160" s="46">
        <f>IF(B160="","",L160+M160)</f>
        <v/>
      </c>
      <c r="O160" s="40" t="n"/>
      <c r="P160" s="46">
        <f>IF(A160="","",SUMIFS('سندات القبض'!$K$5:$K$304,'سندات القبض'!$F$5:$F$304,A160))</f>
        <v/>
      </c>
      <c r="Q160" s="46">
        <f>IF(A160="","",N160-P160)</f>
        <v/>
      </c>
      <c r="R160" s="49">
        <f>IF(A160="","",IF(P160&gt;=N160-0.01,"محصّل بالكامل",IF(P160&gt;0,"محصّل جزئياً","غير محصّل")))</f>
        <v/>
      </c>
    </row>
    <row r="161">
      <c r="A161" s="39">
        <f>IF(B161="","","IPC-"&amp;TEXT(ROW()-4,"0000"))</f>
        <v/>
      </c>
      <c r="B161" s="50" t="n"/>
      <c r="C161" s="49">
        <f>IF(B161="","",IFERROR(INDEX('المشروعات'!$B$5:$B$304,MATCH(B161,'المشروعات'!$A$5:$A$304,0)),""))</f>
        <v/>
      </c>
      <c r="D161" s="47" t="n"/>
      <c r="E161" s="47" t="n"/>
      <c r="F161" s="41" t="n"/>
      <c r="G161" s="46">
        <f>IF(B161="","",SUMIFS($H$4:H160,$B$4:B160,B161))</f>
        <v/>
      </c>
      <c r="H161" s="46">
        <f>IF(B161="","",F161-G161)</f>
        <v/>
      </c>
      <c r="I161" s="46">
        <f>IF(B161="","",H161*S_Ret)</f>
        <v/>
      </c>
      <c r="J161" s="41" t="n"/>
      <c r="K161" s="41" t="n"/>
      <c r="L161" s="46">
        <f>IF(B161="","",H161-I161-N(J161)-N(K161))</f>
        <v/>
      </c>
      <c r="M161" s="46">
        <f>IF(B161="","",L161*S_VAT)</f>
        <v/>
      </c>
      <c r="N161" s="46">
        <f>IF(B161="","",L161+M161)</f>
        <v/>
      </c>
      <c r="O161" s="40" t="n"/>
      <c r="P161" s="46">
        <f>IF(A161="","",SUMIFS('سندات القبض'!$K$5:$K$304,'سندات القبض'!$F$5:$F$304,A161))</f>
        <v/>
      </c>
      <c r="Q161" s="46">
        <f>IF(A161="","",N161-P161)</f>
        <v/>
      </c>
      <c r="R161" s="49">
        <f>IF(A161="","",IF(P161&gt;=N161-0.01,"محصّل بالكامل",IF(P161&gt;0,"محصّل جزئياً","غير محصّل")))</f>
        <v/>
      </c>
    </row>
    <row r="162">
      <c r="A162" s="39">
        <f>IF(B162="","","IPC-"&amp;TEXT(ROW()-4,"0000"))</f>
        <v/>
      </c>
      <c r="B162" s="50" t="n"/>
      <c r="C162" s="49">
        <f>IF(B162="","",IFERROR(INDEX('المشروعات'!$B$5:$B$304,MATCH(B162,'المشروعات'!$A$5:$A$304,0)),""))</f>
        <v/>
      </c>
      <c r="D162" s="47" t="n"/>
      <c r="E162" s="47" t="n"/>
      <c r="F162" s="41" t="n"/>
      <c r="G162" s="46">
        <f>IF(B162="","",SUMIFS($H$4:H161,$B$4:B161,B162))</f>
        <v/>
      </c>
      <c r="H162" s="46">
        <f>IF(B162="","",F162-G162)</f>
        <v/>
      </c>
      <c r="I162" s="46">
        <f>IF(B162="","",H162*S_Ret)</f>
        <v/>
      </c>
      <c r="J162" s="41" t="n"/>
      <c r="K162" s="41" t="n"/>
      <c r="L162" s="46">
        <f>IF(B162="","",H162-I162-N(J162)-N(K162))</f>
        <v/>
      </c>
      <c r="M162" s="46">
        <f>IF(B162="","",L162*S_VAT)</f>
        <v/>
      </c>
      <c r="N162" s="46">
        <f>IF(B162="","",L162+M162)</f>
        <v/>
      </c>
      <c r="O162" s="40" t="n"/>
      <c r="P162" s="46">
        <f>IF(A162="","",SUMIFS('سندات القبض'!$K$5:$K$304,'سندات القبض'!$F$5:$F$304,A162))</f>
        <v/>
      </c>
      <c r="Q162" s="46">
        <f>IF(A162="","",N162-P162)</f>
        <v/>
      </c>
      <c r="R162" s="49">
        <f>IF(A162="","",IF(P162&gt;=N162-0.01,"محصّل بالكامل",IF(P162&gt;0,"محصّل جزئياً","غير محصّل")))</f>
        <v/>
      </c>
    </row>
    <row r="163">
      <c r="A163" s="39">
        <f>IF(B163="","","IPC-"&amp;TEXT(ROW()-4,"0000"))</f>
        <v/>
      </c>
      <c r="B163" s="50" t="n"/>
      <c r="C163" s="49">
        <f>IF(B163="","",IFERROR(INDEX('المشروعات'!$B$5:$B$304,MATCH(B163,'المشروعات'!$A$5:$A$304,0)),""))</f>
        <v/>
      </c>
      <c r="D163" s="47" t="n"/>
      <c r="E163" s="47" t="n"/>
      <c r="F163" s="41" t="n"/>
      <c r="G163" s="46">
        <f>IF(B163="","",SUMIFS($H$4:H162,$B$4:B162,B163))</f>
        <v/>
      </c>
      <c r="H163" s="46">
        <f>IF(B163="","",F163-G163)</f>
        <v/>
      </c>
      <c r="I163" s="46">
        <f>IF(B163="","",H163*S_Ret)</f>
        <v/>
      </c>
      <c r="J163" s="41" t="n"/>
      <c r="K163" s="41" t="n"/>
      <c r="L163" s="46">
        <f>IF(B163="","",H163-I163-N(J163)-N(K163))</f>
        <v/>
      </c>
      <c r="M163" s="46">
        <f>IF(B163="","",L163*S_VAT)</f>
        <v/>
      </c>
      <c r="N163" s="46">
        <f>IF(B163="","",L163+M163)</f>
        <v/>
      </c>
      <c r="O163" s="40" t="n"/>
      <c r="P163" s="46">
        <f>IF(A163="","",SUMIFS('سندات القبض'!$K$5:$K$304,'سندات القبض'!$F$5:$F$304,A163))</f>
        <v/>
      </c>
      <c r="Q163" s="46">
        <f>IF(A163="","",N163-P163)</f>
        <v/>
      </c>
      <c r="R163" s="49">
        <f>IF(A163="","",IF(P163&gt;=N163-0.01,"محصّل بالكامل",IF(P163&gt;0,"محصّل جزئياً","غير محصّل")))</f>
        <v/>
      </c>
    </row>
    <row r="164">
      <c r="A164" s="39">
        <f>IF(B164="","","IPC-"&amp;TEXT(ROW()-4,"0000"))</f>
        <v/>
      </c>
      <c r="B164" s="50" t="n"/>
      <c r="C164" s="49">
        <f>IF(B164="","",IFERROR(INDEX('المشروعات'!$B$5:$B$304,MATCH(B164,'المشروعات'!$A$5:$A$304,0)),""))</f>
        <v/>
      </c>
      <c r="D164" s="47" t="n"/>
      <c r="E164" s="47" t="n"/>
      <c r="F164" s="41" t="n"/>
      <c r="G164" s="46">
        <f>IF(B164="","",SUMIFS($H$4:H163,$B$4:B163,B164))</f>
        <v/>
      </c>
      <c r="H164" s="46">
        <f>IF(B164="","",F164-G164)</f>
        <v/>
      </c>
      <c r="I164" s="46">
        <f>IF(B164="","",H164*S_Ret)</f>
        <v/>
      </c>
      <c r="J164" s="41" t="n"/>
      <c r="K164" s="41" t="n"/>
      <c r="L164" s="46">
        <f>IF(B164="","",H164-I164-N(J164)-N(K164))</f>
        <v/>
      </c>
      <c r="M164" s="46">
        <f>IF(B164="","",L164*S_VAT)</f>
        <v/>
      </c>
      <c r="N164" s="46">
        <f>IF(B164="","",L164+M164)</f>
        <v/>
      </c>
      <c r="O164" s="40" t="n"/>
      <c r="P164" s="46">
        <f>IF(A164="","",SUMIFS('سندات القبض'!$K$5:$K$304,'سندات القبض'!$F$5:$F$304,A164))</f>
        <v/>
      </c>
      <c r="Q164" s="46">
        <f>IF(A164="","",N164-P164)</f>
        <v/>
      </c>
      <c r="R164" s="49">
        <f>IF(A164="","",IF(P164&gt;=N164-0.01,"محصّل بالكامل",IF(P164&gt;0,"محصّل جزئياً","غير محصّل")))</f>
        <v/>
      </c>
    </row>
    <row r="165">
      <c r="A165" s="39">
        <f>IF(B165="","","IPC-"&amp;TEXT(ROW()-4,"0000"))</f>
        <v/>
      </c>
      <c r="B165" s="50" t="n"/>
      <c r="C165" s="49">
        <f>IF(B165="","",IFERROR(INDEX('المشروعات'!$B$5:$B$304,MATCH(B165,'المشروعات'!$A$5:$A$304,0)),""))</f>
        <v/>
      </c>
      <c r="D165" s="47" t="n"/>
      <c r="E165" s="47" t="n"/>
      <c r="F165" s="41" t="n"/>
      <c r="G165" s="46">
        <f>IF(B165="","",SUMIFS($H$4:H164,$B$4:B164,B165))</f>
        <v/>
      </c>
      <c r="H165" s="46">
        <f>IF(B165="","",F165-G165)</f>
        <v/>
      </c>
      <c r="I165" s="46">
        <f>IF(B165="","",H165*S_Ret)</f>
        <v/>
      </c>
      <c r="J165" s="41" t="n"/>
      <c r="K165" s="41" t="n"/>
      <c r="L165" s="46">
        <f>IF(B165="","",H165-I165-N(J165)-N(K165))</f>
        <v/>
      </c>
      <c r="M165" s="46">
        <f>IF(B165="","",L165*S_VAT)</f>
        <v/>
      </c>
      <c r="N165" s="46">
        <f>IF(B165="","",L165+M165)</f>
        <v/>
      </c>
      <c r="O165" s="40" t="n"/>
      <c r="P165" s="46">
        <f>IF(A165="","",SUMIFS('سندات القبض'!$K$5:$K$304,'سندات القبض'!$F$5:$F$304,A165))</f>
        <v/>
      </c>
      <c r="Q165" s="46">
        <f>IF(A165="","",N165-P165)</f>
        <v/>
      </c>
      <c r="R165" s="49">
        <f>IF(A165="","",IF(P165&gt;=N165-0.01,"محصّل بالكامل",IF(P165&gt;0,"محصّل جزئياً","غير محصّل")))</f>
        <v/>
      </c>
    </row>
    <row r="166">
      <c r="A166" s="39">
        <f>IF(B166="","","IPC-"&amp;TEXT(ROW()-4,"0000"))</f>
        <v/>
      </c>
      <c r="B166" s="50" t="n"/>
      <c r="C166" s="49">
        <f>IF(B166="","",IFERROR(INDEX('المشروعات'!$B$5:$B$304,MATCH(B166,'المشروعات'!$A$5:$A$304,0)),""))</f>
        <v/>
      </c>
      <c r="D166" s="47" t="n"/>
      <c r="E166" s="47" t="n"/>
      <c r="F166" s="41" t="n"/>
      <c r="G166" s="46">
        <f>IF(B166="","",SUMIFS($H$4:H165,$B$4:B165,B166))</f>
        <v/>
      </c>
      <c r="H166" s="46">
        <f>IF(B166="","",F166-G166)</f>
        <v/>
      </c>
      <c r="I166" s="46">
        <f>IF(B166="","",H166*S_Ret)</f>
        <v/>
      </c>
      <c r="J166" s="41" t="n"/>
      <c r="K166" s="41" t="n"/>
      <c r="L166" s="46">
        <f>IF(B166="","",H166-I166-N(J166)-N(K166))</f>
        <v/>
      </c>
      <c r="M166" s="46">
        <f>IF(B166="","",L166*S_VAT)</f>
        <v/>
      </c>
      <c r="N166" s="46">
        <f>IF(B166="","",L166+M166)</f>
        <v/>
      </c>
      <c r="O166" s="40" t="n"/>
      <c r="P166" s="46">
        <f>IF(A166="","",SUMIFS('سندات القبض'!$K$5:$K$304,'سندات القبض'!$F$5:$F$304,A166))</f>
        <v/>
      </c>
      <c r="Q166" s="46">
        <f>IF(A166="","",N166-P166)</f>
        <v/>
      </c>
      <c r="R166" s="49">
        <f>IF(A166="","",IF(P166&gt;=N166-0.01,"محصّل بالكامل",IF(P166&gt;0,"محصّل جزئياً","غير محصّل")))</f>
        <v/>
      </c>
    </row>
    <row r="167">
      <c r="A167" s="39">
        <f>IF(B167="","","IPC-"&amp;TEXT(ROW()-4,"0000"))</f>
        <v/>
      </c>
      <c r="B167" s="50" t="n"/>
      <c r="C167" s="49">
        <f>IF(B167="","",IFERROR(INDEX('المشروعات'!$B$5:$B$304,MATCH(B167,'المشروعات'!$A$5:$A$304,0)),""))</f>
        <v/>
      </c>
      <c r="D167" s="47" t="n"/>
      <c r="E167" s="47" t="n"/>
      <c r="F167" s="41" t="n"/>
      <c r="G167" s="46">
        <f>IF(B167="","",SUMIFS($H$4:H166,$B$4:B166,B167))</f>
        <v/>
      </c>
      <c r="H167" s="46">
        <f>IF(B167="","",F167-G167)</f>
        <v/>
      </c>
      <c r="I167" s="46">
        <f>IF(B167="","",H167*S_Ret)</f>
        <v/>
      </c>
      <c r="J167" s="41" t="n"/>
      <c r="K167" s="41" t="n"/>
      <c r="L167" s="46">
        <f>IF(B167="","",H167-I167-N(J167)-N(K167))</f>
        <v/>
      </c>
      <c r="M167" s="46">
        <f>IF(B167="","",L167*S_VAT)</f>
        <v/>
      </c>
      <c r="N167" s="46">
        <f>IF(B167="","",L167+M167)</f>
        <v/>
      </c>
      <c r="O167" s="40" t="n"/>
      <c r="P167" s="46">
        <f>IF(A167="","",SUMIFS('سندات القبض'!$K$5:$K$304,'سندات القبض'!$F$5:$F$304,A167))</f>
        <v/>
      </c>
      <c r="Q167" s="46">
        <f>IF(A167="","",N167-P167)</f>
        <v/>
      </c>
      <c r="R167" s="49">
        <f>IF(A167="","",IF(P167&gt;=N167-0.01,"محصّل بالكامل",IF(P167&gt;0,"محصّل جزئياً","غير محصّل")))</f>
        <v/>
      </c>
    </row>
    <row r="168">
      <c r="A168" s="39">
        <f>IF(B168="","","IPC-"&amp;TEXT(ROW()-4,"0000"))</f>
        <v/>
      </c>
      <c r="B168" s="50" t="n"/>
      <c r="C168" s="49">
        <f>IF(B168="","",IFERROR(INDEX('المشروعات'!$B$5:$B$304,MATCH(B168,'المشروعات'!$A$5:$A$304,0)),""))</f>
        <v/>
      </c>
      <c r="D168" s="47" t="n"/>
      <c r="E168" s="47" t="n"/>
      <c r="F168" s="41" t="n"/>
      <c r="G168" s="46">
        <f>IF(B168="","",SUMIFS($H$4:H167,$B$4:B167,B168))</f>
        <v/>
      </c>
      <c r="H168" s="46">
        <f>IF(B168="","",F168-G168)</f>
        <v/>
      </c>
      <c r="I168" s="46">
        <f>IF(B168="","",H168*S_Ret)</f>
        <v/>
      </c>
      <c r="J168" s="41" t="n"/>
      <c r="K168" s="41" t="n"/>
      <c r="L168" s="46">
        <f>IF(B168="","",H168-I168-N(J168)-N(K168))</f>
        <v/>
      </c>
      <c r="M168" s="46">
        <f>IF(B168="","",L168*S_VAT)</f>
        <v/>
      </c>
      <c r="N168" s="46">
        <f>IF(B168="","",L168+M168)</f>
        <v/>
      </c>
      <c r="O168" s="40" t="n"/>
      <c r="P168" s="46">
        <f>IF(A168="","",SUMIFS('سندات القبض'!$K$5:$K$304,'سندات القبض'!$F$5:$F$304,A168))</f>
        <v/>
      </c>
      <c r="Q168" s="46">
        <f>IF(A168="","",N168-P168)</f>
        <v/>
      </c>
      <c r="R168" s="49">
        <f>IF(A168="","",IF(P168&gt;=N168-0.01,"محصّل بالكامل",IF(P168&gt;0,"محصّل جزئياً","غير محصّل")))</f>
        <v/>
      </c>
    </row>
    <row r="169">
      <c r="A169" s="39">
        <f>IF(B169="","","IPC-"&amp;TEXT(ROW()-4,"0000"))</f>
        <v/>
      </c>
      <c r="B169" s="50" t="n"/>
      <c r="C169" s="49">
        <f>IF(B169="","",IFERROR(INDEX('المشروعات'!$B$5:$B$304,MATCH(B169,'المشروعات'!$A$5:$A$304,0)),""))</f>
        <v/>
      </c>
      <c r="D169" s="47" t="n"/>
      <c r="E169" s="47" t="n"/>
      <c r="F169" s="41" t="n"/>
      <c r="G169" s="46">
        <f>IF(B169="","",SUMIFS($H$4:H168,$B$4:B168,B169))</f>
        <v/>
      </c>
      <c r="H169" s="46">
        <f>IF(B169="","",F169-G169)</f>
        <v/>
      </c>
      <c r="I169" s="46">
        <f>IF(B169="","",H169*S_Ret)</f>
        <v/>
      </c>
      <c r="J169" s="41" t="n"/>
      <c r="K169" s="41" t="n"/>
      <c r="L169" s="46">
        <f>IF(B169="","",H169-I169-N(J169)-N(K169))</f>
        <v/>
      </c>
      <c r="M169" s="46">
        <f>IF(B169="","",L169*S_VAT)</f>
        <v/>
      </c>
      <c r="N169" s="46">
        <f>IF(B169="","",L169+M169)</f>
        <v/>
      </c>
      <c r="O169" s="40" t="n"/>
      <c r="P169" s="46">
        <f>IF(A169="","",SUMIFS('سندات القبض'!$K$5:$K$304,'سندات القبض'!$F$5:$F$304,A169))</f>
        <v/>
      </c>
      <c r="Q169" s="46">
        <f>IF(A169="","",N169-P169)</f>
        <v/>
      </c>
      <c r="R169" s="49">
        <f>IF(A169="","",IF(P169&gt;=N169-0.01,"محصّل بالكامل",IF(P169&gt;0,"محصّل جزئياً","غير محصّل")))</f>
        <v/>
      </c>
    </row>
    <row r="170">
      <c r="A170" s="39">
        <f>IF(B170="","","IPC-"&amp;TEXT(ROW()-4,"0000"))</f>
        <v/>
      </c>
      <c r="B170" s="50" t="n"/>
      <c r="C170" s="49">
        <f>IF(B170="","",IFERROR(INDEX('المشروعات'!$B$5:$B$304,MATCH(B170,'المشروعات'!$A$5:$A$304,0)),""))</f>
        <v/>
      </c>
      <c r="D170" s="47" t="n"/>
      <c r="E170" s="47" t="n"/>
      <c r="F170" s="41" t="n"/>
      <c r="G170" s="46">
        <f>IF(B170="","",SUMIFS($H$4:H169,$B$4:B169,B170))</f>
        <v/>
      </c>
      <c r="H170" s="46">
        <f>IF(B170="","",F170-G170)</f>
        <v/>
      </c>
      <c r="I170" s="46">
        <f>IF(B170="","",H170*S_Ret)</f>
        <v/>
      </c>
      <c r="J170" s="41" t="n"/>
      <c r="K170" s="41" t="n"/>
      <c r="L170" s="46">
        <f>IF(B170="","",H170-I170-N(J170)-N(K170))</f>
        <v/>
      </c>
      <c r="M170" s="46">
        <f>IF(B170="","",L170*S_VAT)</f>
        <v/>
      </c>
      <c r="N170" s="46">
        <f>IF(B170="","",L170+M170)</f>
        <v/>
      </c>
      <c r="O170" s="40" t="n"/>
      <c r="P170" s="46">
        <f>IF(A170="","",SUMIFS('سندات القبض'!$K$5:$K$304,'سندات القبض'!$F$5:$F$304,A170))</f>
        <v/>
      </c>
      <c r="Q170" s="46">
        <f>IF(A170="","",N170-P170)</f>
        <v/>
      </c>
      <c r="R170" s="49">
        <f>IF(A170="","",IF(P170&gt;=N170-0.01,"محصّل بالكامل",IF(P170&gt;0,"محصّل جزئياً","غير محصّل")))</f>
        <v/>
      </c>
    </row>
    <row r="171">
      <c r="A171" s="39">
        <f>IF(B171="","","IPC-"&amp;TEXT(ROW()-4,"0000"))</f>
        <v/>
      </c>
      <c r="B171" s="50" t="n"/>
      <c r="C171" s="49">
        <f>IF(B171="","",IFERROR(INDEX('المشروعات'!$B$5:$B$304,MATCH(B171,'المشروعات'!$A$5:$A$304,0)),""))</f>
        <v/>
      </c>
      <c r="D171" s="47" t="n"/>
      <c r="E171" s="47" t="n"/>
      <c r="F171" s="41" t="n"/>
      <c r="G171" s="46">
        <f>IF(B171="","",SUMIFS($H$4:H170,$B$4:B170,B171))</f>
        <v/>
      </c>
      <c r="H171" s="46">
        <f>IF(B171="","",F171-G171)</f>
        <v/>
      </c>
      <c r="I171" s="46">
        <f>IF(B171="","",H171*S_Ret)</f>
        <v/>
      </c>
      <c r="J171" s="41" t="n"/>
      <c r="K171" s="41" t="n"/>
      <c r="L171" s="46">
        <f>IF(B171="","",H171-I171-N(J171)-N(K171))</f>
        <v/>
      </c>
      <c r="M171" s="46">
        <f>IF(B171="","",L171*S_VAT)</f>
        <v/>
      </c>
      <c r="N171" s="46">
        <f>IF(B171="","",L171+M171)</f>
        <v/>
      </c>
      <c r="O171" s="40" t="n"/>
      <c r="P171" s="46">
        <f>IF(A171="","",SUMIFS('سندات القبض'!$K$5:$K$304,'سندات القبض'!$F$5:$F$304,A171))</f>
        <v/>
      </c>
      <c r="Q171" s="46">
        <f>IF(A171="","",N171-P171)</f>
        <v/>
      </c>
      <c r="R171" s="49">
        <f>IF(A171="","",IF(P171&gt;=N171-0.01,"محصّل بالكامل",IF(P171&gt;0,"محصّل جزئياً","غير محصّل")))</f>
        <v/>
      </c>
    </row>
    <row r="172">
      <c r="A172" s="39">
        <f>IF(B172="","","IPC-"&amp;TEXT(ROW()-4,"0000"))</f>
        <v/>
      </c>
      <c r="B172" s="50" t="n"/>
      <c r="C172" s="49">
        <f>IF(B172="","",IFERROR(INDEX('المشروعات'!$B$5:$B$304,MATCH(B172,'المشروعات'!$A$5:$A$304,0)),""))</f>
        <v/>
      </c>
      <c r="D172" s="47" t="n"/>
      <c r="E172" s="47" t="n"/>
      <c r="F172" s="41" t="n"/>
      <c r="G172" s="46">
        <f>IF(B172="","",SUMIFS($H$4:H171,$B$4:B171,B172))</f>
        <v/>
      </c>
      <c r="H172" s="46">
        <f>IF(B172="","",F172-G172)</f>
        <v/>
      </c>
      <c r="I172" s="46">
        <f>IF(B172="","",H172*S_Ret)</f>
        <v/>
      </c>
      <c r="J172" s="41" t="n"/>
      <c r="K172" s="41" t="n"/>
      <c r="L172" s="46">
        <f>IF(B172="","",H172-I172-N(J172)-N(K172))</f>
        <v/>
      </c>
      <c r="M172" s="46">
        <f>IF(B172="","",L172*S_VAT)</f>
        <v/>
      </c>
      <c r="N172" s="46">
        <f>IF(B172="","",L172+M172)</f>
        <v/>
      </c>
      <c r="O172" s="40" t="n"/>
      <c r="P172" s="46">
        <f>IF(A172="","",SUMIFS('سندات القبض'!$K$5:$K$304,'سندات القبض'!$F$5:$F$304,A172))</f>
        <v/>
      </c>
      <c r="Q172" s="46">
        <f>IF(A172="","",N172-P172)</f>
        <v/>
      </c>
      <c r="R172" s="49">
        <f>IF(A172="","",IF(P172&gt;=N172-0.01,"محصّل بالكامل",IF(P172&gt;0,"محصّل جزئياً","غير محصّل")))</f>
        <v/>
      </c>
    </row>
    <row r="173">
      <c r="A173" s="39">
        <f>IF(B173="","","IPC-"&amp;TEXT(ROW()-4,"0000"))</f>
        <v/>
      </c>
      <c r="B173" s="50" t="n"/>
      <c r="C173" s="49">
        <f>IF(B173="","",IFERROR(INDEX('المشروعات'!$B$5:$B$304,MATCH(B173,'المشروعات'!$A$5:$A$304,0)),""))</f>
        <v/>
      </c>
      <c r="D173" s="47" t="n"/>
      <c r="E173" s="47" t="n"/>
      <c r="F173" s="41" t="n"/>
      <c r="G173" s="46">
        <f>IF(B173="","",SUMIFS($H$4:H172,$B$4:B172,B173))</f>
        <v/>
      </c>
      <c r="H173" s="46">
        <f>IF(B173="","",F173-G173)</f>
        <v/>
      </c>
      <c r="I173" s="46">
        <f>IF(B173="","",H173*S_Ret)</f>
        <v/>
      </c>
      <c r="J173" s="41" t="n"/>
      <c r="K173" s="41" t="n"/>
      <c r="L173" s="46">
        <f>IF(B173="","",H173-I173-N(J173)-N(K173))</f>
        <v/>
      </c>
      <c r="M173" s="46">
        <f>IF(B173="","",L173*S_VAT)</f>
        <v/>
      </c>
      <c r="N173" s="46">
        <f>IF(B173="","",L173+M173)</f>
        <v/>
      </c>
      <c r="O173" s="40" t="n"/>
      <c r="P173" s="46">
        <f>IF(A173="","",SUMIFS('سندات القبض'!$K$5:$K$304,'سندات القبض'!$F$5:$F$304,A173))</f>
        <v/>
      </c>
      <c r="Q173" s="46">
        <f>IF(A173="","",N173-P173)</f>
        <v/>
      </c>
      <c r="R173" s="49">
        <f>IF(A173="","",IF(P173&gt;=N173-0.01,"محصّل بالكامل",IF(P173&gt;0,"محصّل جزئياً","غير محصّل")))</f>
        <v/>
      </c>
    </row>
    <row r="174">
      <c r="A174" s="39">
        <f>IF(B174="","","IPC-"&amp;TEXT(ROW()-4,"0000"))</f>
        <v/>
      </c>
      <c r="B174" s="50" t="n"/>
      <c r="C174" s="49">
        <f>IF(B174="","",IFERROR(INDEX('المشروعات'!$B$5:$B$304,MATCH(B174,'المشروعات'!$A$5:$A$304,0)),""))</f>
        <v/>
      </c>
      <c r="D174" s="47" t="n"/>
      <c r="E174" s="47" t="n"/>
      <c r="F174" s="41" t="n"/>
      <c r="G174" s="46">
        <f>IF(B174="","",SUMIFS($H$4:H173,$B$4:B173,B174))</f>
        <v/>
      </c>
      <c r="H174" s="46">
        <f>IF(B174="","",F174-G174)</f>
        <v/>
      </c>
      <c r="I174" s="46">
        <f>IF(B174="","",H174*S_Ret)</f>
        <v/>
      </c>
      <c r="J174" s="41" t="n"/>
      <c r="K174" s="41" t="n"/>
      <c r="L174" s="46">
        <f>IF(B174="","",H174-I174-N(J174)-N(K174))</f>
        <v/>
      </c>
      <c r="M174" s="46">
        <f>IF(B174="","",L174*S_VAT)</f>
        <v/>
      </c>
      <c r="N174" s="46">
        <f>IF(B174="","",L174+M174)</f>
        <v/>
      </c>
      <c r="O174" s="40" t="n"/>
      <c r="P174" s="46">
        <f>IF(A174="","",SUMIFS('سندات القبض'!$K$5:$K$304,'سندات القبض'!$F$5:$F$304,A174))</f>
        <v/>
      </c>
      <c r="Q174" s="46">
        <f>IF(A174="","",N174-P174)</f>
        <v/>
      </c>
      <c r="R174" s="49">
        <f>IF(A174="","",IF(P174&gt;=N174-0.01,"محصّل بالكامل",IF(P174&gt;0,"محصّل جزئياً","غير محصّل")))</f>
        <v/>
      </c>
    </row>
    <row r="175">
      <c r="A175" s="39">
        <f>IF(B175="","","IPC-"&amp;TEXT(ROW()-4,"0000"))</f>
        <v/>
      </c>
      <c r="B175" s="50" t="n"/>
      <c r="C175" s="49">
        <f>IF(B175="","",IFERROR(INDEX('المشروعات'!$B$5:$B$304,MATCH(B175,'المشروعات'!$A$5:$A$304,0)),""))</f>
        <v/>
      </c>
      <c r="D175" s="47" t="n"/>
      <c r="E175" s="47" t="n"/>
      <c r="F175" s="41" t="n"/>
      <c r="G175" s="46">
        <f>IF(B175="","",SUMIFS($H$4:H174,$B$4:B174,B175))</f>
        <v/>
      </c>
      <c r="H175" s="46">
        <f>IF(B175="","",F175-G175)</f>
        <v/>
      </c>
      <c r="I175" s="46">
        <f>IF(B175="","",H175*S_Ret)</f>
        <v/>
      </c>
      <c r="J175" s="41" t="n"/>
      <c r="K175" s="41" t="n"/>
      <c r="L175" s="46">
        <f>IF(B175="","",H175-I175-N(J175)-N(K175))</f>
        <v/>
      </c>
      <c r="M175" s="46">
        <f>IF(B175="","",L175*S_VAT)</f>
        <v/>
      </c>
      <c r="N175" s="46">
        <f>IF(B175="","",L175+M175)</f>
        <v/>
      </c>
      <c r="O175" s="40" t="n"/>
      <c r="P175" s="46">
        <f>IF(A175="","",SUMIFS('سندات القبض'!$K$5:$K$304,'سندات القبض'!$F$5:$F$304,A175))</f>
        <v/>
      </c>
      <c r="Q175" s="46">
        <f>IF(A175="","",N175-P175)</f>
        <v/>
      </c>
      <c r="R175" s="49">
        <f>IF(A175="","",IF(P175&gt;=N175-0.01,"محصّل بالكامل",IF(P175&gt;0,"محصّل جزئياً","غير محصّل")))</f>
        <v/>
      </c>
    </row>
    <row r="176">
      <c r="A176" s="39">
        <f>IF(B176="","","IPC-"&amp;TEXT(ROW()-4,"0000"))</f>
        <v/>
      </c>
      <c r="B176" s="50" t="n"/>
      <c r="C176" s="49">
        <f>IF(B176="","",IFERROR(INDEX('المشروعات'!$B$5:$B$304,MATCH(B176,'المشروعات'!$A$5:$A$304,0)),""))</f>
        <v/>
      </c>
      <c r="D176" s="47" t="n"/>
      <c r="E176" s="47" t="n"/>
      <c r="F176" s="41" t="n"/>
      <c r="G176" s="46">
        <f>IF(B176="","",SUMIFS($H$4:H175,$B$4:B175,B176))</f>
        <v/>
      </c>
      <c r="H176" s="46">
        <f>IF(B176="","",F176-G176)</f>
        <v/>
      </c>
      <c r="I176" s="46">
        <f>IF(B176="","",H176*S_Ret)</f>
        <v/>
      </c>
      <c r="J176" s="41" t="n"/>
      <c r="K176" s="41" t="n"/>
      <c r="L176" s="46">
        <f>IF(B176="","",H176-I176-N(J176)-N(K176))</f>
        <v/>
      </c>
      <c r="M176" s="46">
        <f>IF(B176="","",L176*S_VAT)</f>
        <v/>
      </c>
      <c r="N176" s="46">
        <f>IF(B176="","",L176+M176)</f>
        <v/>
      </c>
      <c r="O176" s="40" t="n"/>
      <c r="P176" s="46">
        <f>IF(A176="","",SUMIFS('سندات القبض'!$K$5:$K$304,'سندات القبض'!$F$5:$F$304,A176))</f>
        <v/>
      </c>
      <c r="Q176" s="46">
        <f>IF(A176="","",N176-P176)</f>
        <v/>
      </c>
      <c r="R176" s="49">
        <f>IF(A176="","",IF(P176&gt;=N176-0.01,"محصّل بالكامل",IF(P176&gt;0,"محصّل جزئياً","غير محصّل")))</f>
        <v/>
      </c>
    </row>
    <row r="177">
      <c r="A177" s="39">
        <f>IF(B177="","","IPC-"&amp;TEXT(ROW()-4,"0000"))</f>
        <v/>
      </c>
      <c r="B177" s="50" t="n"/>
      <c r="C177" s="49">
        <f>IF(B177="","",IFERROR(INDEX('المشروعات'!$B$5:$B$304,MATCH(B177,'المشروعات'!$A$5:$A$304,0)),""))</f>
        <v/>
      </c>
      <c r="D177" s="47" t="n"/>
      <c r="E177" s="47" t="n"/>
      <c r="F177" s="41" t="n"/>
      <c r="G177" s="46">
        <f>IF(B177="","",SUMIFS($H$4:H176,$B$4:B176,B177))</f>
        <v/>
      </c>
      <c r="H177" s="46">
        <f>IF(B177="","",F177-G177)</f>
        <v/>
      </c>
      <c r="I177" s="46">
        <f>IF(B177="","",H177*S_Ret)</f>
        <v/>
      </c>
      <c r="J177" s="41" t="n"/>
      <c r="K177" s="41" t="n"/>
      <c r="L177" s="46">
        <f>IF(B177="","",H177-I177-N(J177)-N(K177))</f>
        <v/>
      </c>
      <c r="M177" s="46">
        <f>IF(B177="","",L177*S_VAT)</f>
        <v/>
      </c>
      <c r="N177" s="46">
        <f>IF(B177="","",L177+M177)</f>
        <v/>
      </c>
      <c r="O177" s="40" t="n"/>
      <c r="P177" s="46">
        <f>IF(A177="","",SUMIFS('سندات القبض'!$K$5:$K$304,'سندات القبض'!$F$5:$F$304,A177))</f>
        <v/>
      </c>
      <c r="Q177" s="46">
        <f>IF(A177="","",N177-P177)</f>
        <v/>
      </c>
      <c r="R177" s="49">
        <f>IF(A177="","",IF(P177&gt;=N177-0.01,"محصّل بالكامل",IF(P177&gt;0,"محصّل جزئياً","غير محصّل")))</f>
        <v/>
      </c>
    </row>
    <row r="178">
      <c r="A178" s="39">
        <f>IF(B178="","","IPC-"&amp;TEXT(ROW()-4,"0000"))</f>
        <v/>
      </c>
      <c r="B178" s="50" t="n"/>
      <c r="C178" s="49">
        <f>IF(B178="","",IFERROR(INDEX('المشروعات'!$B$5:$B$304,MATCH(B178,'المشروعات'!$A$5:$A$304,0)),""))</f>
        <v/>
      </c>
      <c r="D178" s="47" t="n"/>
      <c r="E178" s="47" t="n"/>
      <c r="F178" s="41" t="n"/>
      <c r="G178" s="46">
        <f>IF(B178="","",SUMIFS($H$4:H177,$B$4:B177,B178))</f>
        <v/>
      </c>
      <c r="H178" s="46">
        <f>IF(B178="","",F178-G178)</f>
        <v/>
      </c>
      <c r="I178" s="46">
        <f>IF(B178="","",H178*S_Ret)</f>
        <v/>
      </c>
      <c r="J178" s="41" t="n"/>
      <c r="K178" s="41" t="n"/>
      <c r="L178" s="46">
        <f>IF(B178="","",H178-I178-N(J178)-N(K178))</f>
        <v/>
      </c>
      <c r="M178" s="46">
        <f>IF(B178="","",L178*S_VAT)</f>
        <v/>
      </c>
      <c r="N178" s="46">
        <f>IF(B178="","",L178+M178)</f>
        <v/>
      </c>
      <c r="O178" s="40" t="n"/>
      <c r="P178" s="46">
        <f>IF(A178="","",SUMIFS('سندات القبض'!$K$5:$K$304,'سندات القبض'!$F$5:$F$304,A178))</f>
        <v/>
      </c>
      <c r="Q178" s="46">
        <f>IF(A178="","",N178-P178)</f>
        <v/>
      </c>
      <c r="R178" s="49">
        <f>IF(A178="","",IF(P178&gt;=N178-0.01,"محصّل بالكامل",IF(P178&gt;0,"محصّل جزئياً","غير محصّل")))</f>
        <v/>
      </c>
    </row>
    <row r="179">
      <c r="A179" s="39">
        <f>IF(B179="","","IPC-"&amp;TEXT(ROW()-4,"0000"))</f>
        <v/>
      </c>
      <c r="B179" s="50" t="n"/>
      <c r="C179" s="49">
        <f>IF(B179="","",IFERROR(INDEX('المشروعات'!$B$5:$B$304,MATCH(B179,'المشروعات'!$A$5:$A$304,0)),""))</f>
        <v/>
      </c>
      <c r="D179" s="47" t="n"/>
      <c r="E179" s="47" t="n"/>
      <c r="F179" s="41" t="n"/>
      <c r="G179" s="46">
        <f>IF(B179="","",SUMIFS($H$4:H178,$B$4:B178,B179))</f>
        <v/>
      </c>
      <c r="H179" s="46">
        <f>IF(B179="","",F179-G179)</f>
        <v/>
      </c>
      <c r="I179" s="46">
        <f>IF(B179="","",H179*S_Ret)</f>
        <v/>
      </c>
      <c r="J179" s="41" t="n"/>
      <c r="K179" s="41" t="n"/>
      <c r="L179" s="46">
        <f>IF(B179="","",H179-I179-N(J179)-N(K179))</f>
        <v/>
      </c>
      <c r="M179" s="46">
        <f>IF(B179="","",L179*S_VAT)</f>
        <v/>
      </c>
      <c r="N179" s="46">
        <f>IF(B179="","",L179+M179)</f>
        <v/>
      </c>
      <c r="O179" s="40" t="n"/>
      <c r="P179" s="46">
        <f>IF(A179="","",SUMIFS('سندات القبض'!$K$5:$K$304,'سندات القبض'!$F$5:$F$304,A179))</f>
        <v/>
      </c>
      <c r="Q179" s="46">
        <f>IF(A179="","",N179-P179)</f>
        <v/>
      </c>
      <c r="R179" s="49">
        <f>IF(A179="","",IF(P179&gt;=N179-0.01,"محصّل بالكامل",IF(P179&gt;0,"محصّل جزئياً","غير محصّل")))</f>
        <v/>
      </c>
    </row>
    <row r="180">
      <c r="A180" s="39">
        <f>IF(B180="","","IPC-"&amp;TEXT(ROW()-4,"0000"))</f>
        <v/>
      </c>
      <c r="B180" s="50" t="n"/>
      <c r="C180" s="49">
        <f>IF(B180="","",IFERROR(INDEX('المشروعات'!$B$5:$B$304,MATCH(B180,'المشروعات'!$A$5:$A$304,0)),""))</f>
        <v/>
      </c>
      <c r="D180" s="47" t="n"/>
      <c r="E180" s="47" t="n"/>
      <c r="F180" s="41" t="n"/>
      <c r="G180" s="46">
        <f>IF(B180="","",SUMIFS($H$4:H179,$B$4:B179,B180))</f>
        <v/>
      </c>
      <c r="H180" s="46">
        <f>IF(B180="","",F180-G180)</f>
        <v/>
      </c>
      <c r="I180" s="46">
        <f>IF(B180="","",H180*S_Ret)</f>
        <v/>
      </c>
      <c r="J180" s="41" t="n"/>
      <c r="K180" s="41" t="n"/>
      <c r="L180" s="46">
        <f>IF(B180="","",H180-I180-N(J180)-N(K180))</f>
        <v/>
      </c>
      <c r="M180" s="46">
        <f>IF(B180="","",L180*S_VAT)</f>
        <v/>
      </c>
      <c r="N180" s="46">
        <f>IF(B180="","",L180+M180)</f>
        <v/>
      </c>
      <c r="O180" s="40" t="n"/>
      <c r="P180" s="46">
        <f>IF(A180="","",SUMIFS('سندات القبض'!$K$5:$K$304,'سندات القبض'!$F$5:$F$304,A180))</f>
        <v/>
      </c>
      <c r="Q180" s="46">
        <f>IF(A180="","",N180-P180)</f>
        <v/>
      </c>
      <c r="R180" s="49">
        <f>IF(A180="","",IF(P180&gt;=N180-0.01,"محصّل بالكامل",IF(P180&gt;0,"محصّل جزئياً","غير محصّل")))</f>
        <v/>
      </c>
    </row>
    <row r="181">
      <c r="A181" s="39">
        <f>IF(B181="","","IPC-"&amp;TEXT(ROW()-4,"0000"))</f>
        <v/>
      </c>
      <c r="B181" s="50" t="n"/>
      <c r="C181" s="49">
        <f>IF(B181="","",IFERROR(INDEX('المشروعات'!$B$5:$B$304,MATCH(B181,'المشروعات'!$A$5:$A$304,0)),""))</f>
        <v/>
      </c>
      <c r="D181" s="47" t="n"/>
      <c r="E181" s="47" t="n"/>
      <c r="F181" s="41" t="n"/>
      <c r="G181" s="46">
        <f>IF(B181="","",SUMIFS($H$4:H180,$B$4:B180,B181))</f>
        <v/>
      </c>
      <c r="H181" s="46">
        <f>IF(B181="","",F181-G181)</f>
        <v/>
      </c>
      <c r="I181" s="46">
        <f>IF(B181="","",H181*S_Ret)</f>
        <v/>
      </c>
      <c r="J181" s="41" t="n"/>
      <c r="K181" s="41" t="n"/>
      <c r="L181" s="46">
        <f>IF(B181="","",H181-I181-N(J181)-N(K181))</f>
        <v/>
      </c>
      <c r="M181" s="46">
        <f>IF(B181="","",L181*S_VAT)</f>
        <v/>
      </c>
      <c r="N181" s="46">
        <f>IF(B181="","",L181+M181)</f>
        <v/>
      </c>
      <c r="O181" s="40" t="n"/>
      <c r="P181" s="46">
        <f>IF(A181="","",SUMIFS('سندات القبض'!$K$5:$K$304,'سندات القبض'!$F$5:$F$304,A181))</f>
        <v/>
      </c>
      <c r="Q181" s="46">
        <f>IF(A181="","",N181-P181)</f>
        <v/>
      </c>
      <c r="R181" s="49">
        <f>IF(A181="","",IF(P181&gt;=N181-0.01,"محصّل بالكامل",IF(P181&gt;0,"محصّل جزئياً","غير محصّل")))</f>
        <v/>
      </c>
    </row>
    <row r="182">
      <c r="A182" s="39">
        <f>IF(B182="","","IPC-"&amp;TEXT(ROW()-4,"0000"))</f>
        <v/>
      </c>
      <c r="B182" s="50" t="n"/>
      <c r="C182" s="49">
        <f>IF(B182="","",IFERROR(INDEX('المشروعات'!$B$5:$B$304,MATCH(B182,'المشروعات'!$A$5:$A$304,0)),""))</f>
        <v/>
      </c>
      <c r="D182" s="47" t="n"/>
      <c r="E182" s="47" t="n"/>
      <c r="F182" s="41" t="n"/>
      <c r="G182" s="46">
        <f>IF(B182="","",SUMIFS($H$4:H181,$B$4:B181,B182))</f>
        <v/>
      </c>
      <c r="H182" s="46">
        <f>IF(B182="","",F182-G182)</f>
        <v/>
      </c>
      <c r="I182" s="46">
        <f>IF(B182="","",H182*S_Ret)</f>
        <v/>
      </c>
      <c r="J182" s="41" t="n"/>
      <c r="K182" s="41" t="n"/>
      <c r="L182" s="46">
        <f>IF(B182="","",H182-I182-N(J182)-N(K182))</f>
        <v/>
      </c>
      <c r="M182" s="46">
        <f>IF(B182="","",L182*S_VAT)</f>
        <v/>
      </c>
      <c r="N182" s="46">
        <f>IF(B182="","",L182+M182)</f>
        <v/>
      </c>
      <c r="O182" s="40" t="n"/>
      <c r="P182" s="46">
        <f>IF(A182="","",SUMIFS('سندات القبض'!$K$5:$K$304,'سندات القبض'!$F$5:$F$304,A182))</f>
        <v/>
      </c>
      <c r="Q182" s="46">
        <f>IF(A182="","",N182-P182)</f>
        <v/>
      </c>
      <c r="R182" s="49">
        <f>IF(A182="","",IF(P182&gt;=N182-0.01,"محصّل بالكامل",IF(P182&gt;0,"محصّل جزئياً","غير محصّل")))</f>
        <v/>
      </c>
    </row>
    <row r="183">
      <c r="A183" s="39">
        <f>IF(B183="","","IPC-"&amp;TEXT(ROW()-4,"0000"))</f>
        <v/>
      </c>
      <c r="B183" s="50" t="n"/>
      <c r="C183" s="49">
        <f>IF(B183="","",IFERROR(INDEX('المشروعات'!$B$5:$B$304,MATCH(B183,'المشروعات'!$A$5:$A$304,0)),""))</f>
        <v/>
      </c>
      <c r="D183" s="47" t="n"/>
      <c r="E183" s="47" t="n"/>
      <c r="F183" s="41" t="n"/>
      <c r="G183" s="46">
        <f>IF(B183="","",SUMIFS($H$4:H182,$B$4:B182,B183))</f>
        <v/>
      </c>
      <c r="H183" s="46">
        <f>IF(B183="","",F183-G183)</f>
        <v/>
      </c>
      <c r="I183" s="46">
        <f>IF(B183="","",H183*S_Ret)</f>
        <v/>
      </c>
      <c r="J183" s="41" t="n"/>
      <c r="K183" s="41" t="n"/>
      <c r="L183" s="46">
        <f>IF(B183="","",H183-I183-N(J183)-N(K183))</f>
        <v/>
      </c>
      <c r="M183" s="46">
        <f>IF(B183="","",L183*S_VAT)</f>
        <v/>
      </c>
      <c r="N183" s="46">
        <f>IF(B183="","",L183+M183)</f>
        <v/>
      </c>
      <c r="O183" s="40" t="n"/>
      <c r="P183" s="46">
        <f>IF(A183="","",SUMIFS('سندات القبض'!$K$5:$K$304,'سندات القبض'!$F$5:$F$304,A183))</f>
        <v/>
      </c>
      <c r="Q183" s="46">
        <f>IF(A183="","",N183-P183)</f>
        <v/>
      </c>
      <c r="R183" s="49">
        <f>IF(A183="","",IF(P183&gt;=N183-0.01,"محصّل بالكامل",IF(P183&gt;0,"محصّل جزئياً","غير محصّل")))</f>
        <v/>
      </c>
    </row>
    <row r="184">
      <c r="A184" s="39">
        <f>IF(B184="","","IPC-"&amp;TEXT(ROW()-4,"0000"))</f>
        <v/>
      </c>
      <c r="B184" s="50" t="n"/>
      <c r="C184" s="49">
        <f>IF(B184="","",IFERROR(INDEX('المشروعات'!$B$5:$B$304,MATCH(B184,'المشروعات'!$A$5:$A$304,0)),""))</f>
        <v/>
      </c>
      <c r="D184" s="47" t="n"/>
      <c r="E184" s="47" t="n"/>
      <c r="F184" s="41" t="n"/>
      <c r="G184" s="46">
        <f>IF(B184="","",SUMIFS($H$4:H183,$B$4:B183,B184))</f>
        <v/>
      </c>
      <c r="H184" s="46">
        <f>IF(B184="","",F184-G184)</f>
        <v/>
      </c>
      <c r="I184" s="46">
        <f>IF(B184="","",H184*S_Ret)</f>
        <v/>
      </c>
      <c r="J184" s="41" t="n"/>
      <c r="K184" s="41" t="n"/>
      <c r="L184" s="46">
        <f>IF(B184="","",H184-I184-N(J184)-N(K184))</f>
        <v/>
      </c>
      <c r="M184" s="46">
        <f>IF(B184="","",L184*S_VAT)</f>
        <v/>
      </c>
      <c r="N184" s="46">
        <f>IF(B184="","",L184+M184)</f>
        <v/>
      </c>
      <c r="O184" s="40" t="n"/>
      <c r="P184" s="46">
        <f>IF(A184="","",SUMIFS('سندات القبض'!$K$5:$K$304,'سندات القبض'!$F$5:$F$304,A184))</f>
        <v/>
      </c>
      <c r="Q184" s="46">
        <f>IF(A184="","",N184-P184)</f>
        <v/>
      </c>
      <c r="R184" s="49">
        <f>IF(A184="","",IF(P184&gt;=N184-0.01,"محصّل بالكامل",IF(P184&gt;0,"محصّل جزئياً","غير محصّل")))</f>
        <v/>
      </c>
    </row>
    <row r="185">
      <c r="A185" s="39">
        <f>IF(B185="","","IPC-"&amp;TEXT(ROW()-4,"0000"))</f>
        <v/>
      </c>
      <c r="B185" s="50" t="n"/>
      <c r="C185" s="49">
        <f>IF(B185="","",IFERROR(INDEX('المشروعات'!$B$5:$B$304,MATCH(B185,'المشروعات'!$A$5:$A$304,0)),""))</f>
        <v/>
      </c>
      <c r="D185" s="47" t="n"/>
      <c r="E185" s="47" t="n"/>
      <c r="F185" s="41" t="n"/>
      <c r="G185" s="46">
        <f>IF(B185="","",SUMIFS($H$4:H184,$B$4:B184,B185))</f>
        <v/>
      </c>
      <c r="H185" s="46">
        <f>IF(B185="","",F185-G185)</f>
        <v/>
      </c>
      <c r="I185" s="46">
        <f>IF(B185="","",H185*S_Ret)</f>
        <v/>
      </c>
      <c r="J185" s="41" t="n"/>
      <c r="K185" s="41" t="n"/>
      <c r="L185" s="46">
        <f>IF(B185="","",H185-I185-N(J185)-N(K185))</f>
        <v/>
      </c>
      <c r="M185" s="46">
        <f>IF(B185="","",L185*S_VAT)</f>
        <v/>
      </c>
      <c r="N185" s="46">
        <f>IF(B185="","",L185+M185)</f>
        <v/>
      </c>
      <c r="O185" s="40" t="n"/>
      <c r="P185" s="46">
        <f>IF(A185="","",SUMIFS('سندات القبض'!$K$5:$K$304,'سندات القبض'!$F$5:$F$304,A185))</f>
        <v/>
      </c>
      <c r="Q185" s="46">
        <f>IF(A185="","",N185-P185)</f>
        <v/>
      </c>
      <c r="R185" s="49">
        <f>IF(A185="","",IF(P185&gt;=N185-0.01,"محصّل بالكامل",IF(P185&gt;0,"محصّل جزئياً","غير محصّل")))</f>
        <v/>
      </c>
    </row>
    <row r="186">
      <c r="A186" s="39">
        <f>IF(B186="","","IPC-"&amp;TEXT(ROW()-4,"0000"))</f>
        <v/>
      </c>
      <c r="B186" s="50" t="n"/>
      <c r="C186" s="49">
        <f>IF(B186="","",IFERROR(INDEX('المشروعات'!$B$5:$B$304,MATCH(B186,'المشروعات'!$A$5:$A$304,0)),""))</f>
        <v/>
      </c>
      <c r="D186" s="47" t="n"/>
      <c r="E186" s="47" t="n"/>
      <c r="F186" s="41" t="n"/>
      <c r="G186" s="46">
        <f>IF(B186="","",SUMIFS($H$4:H185,$B$4:B185,B186))</f>
        <v/>
      </c>
      <c r="H186" s="46">
        <f>IF(B186="","",F186-G186)</f>
        <v/>
      </c>
      <c r="I186" s="46">
        <f>IF(B186="","",H186*S_Ret)</f>
        <v/>
      </c>
      <c r="J186" s="41" t="n"/>
      <c r="K186" s="41" t="n"/>
      <c r="L186" s="46">
        <f>IF(B186="","",H186-I186-N(J186)-N(K186))</f>
        <v/>
      </c>
      <c r="M186" s="46">
        <f>IF(B186="","",L186*S_VAT)</f>
        <v/>
      </c>
      <c r="N186" s="46">
        <f>IF(B186="","",L186+M186)</f>
        <v/>
      </c>
      <c r="O186" s="40" t="n"/>
      <c r="P186" s="46">
        <f>IF(A186="","",SUMIFS('سندات القبض'!$K$5:$K$304,'سندات القبض'!$F$5:$F$304,A186))</f>
        <v/>
      </c>
      <c r="Q186" s="46">
        <f>IF(A186="","",N186-P186)</f>
        <v/>
      </c>
      <c r="R186" s="49">
        <f>IF(A186="","",IF(P186&gt;=N186-0.01,"محصّل بالكامل",IF(P186&gt;0,"محصّل جزئياً","غير محصّل")))</f>
        <v/>
      </c>
    </row>
    <row r="187">
      <c r="A187" s="39">
        <f>IF(B187="","","IPC-"&amp;TEXT(ROW()-4,"0000"))</f>
        <v/>
      </c>
      <c r="B187" s="50" t="n"/>
      <c r="C187" s="49">
        <f>IF(B187="","",IFERROR(INDEX('المشروعات'!$B$5:$B$304,MATCH(B187,'المشروعات'!$A$5:$A$304,0)),""))</f>
        <v/>
      </c>
      <c r="D187" s="47" t="n"/>
      <c r="E187" s="47" t="n"/>
      <c r="F187" s="41" t="n"/>
      <c r="G187" s="46">
        <f>IF(B187="","",SUMIFS($H$4:H186,$B$4:B186,B187))</f>
        <v/>
      </c>
      <c r="H187" s="46">
        <f>IF(B187="","",F187-G187)</f>
        <v/>
      </c>
      <c r="I187" s="46">
        <f>IF(B187="","",H187*S_Ret)</f>
        <v/>
      </c>
      <c r="J187" s="41" t="n"/>
      <c r="K187" s="41" t="n"/>
      <c r="L187" s="46">
        <f>IF(B187="","",H187-I187-N(J187)-N(K187))</f>
        <v/>
      </c>
      <c r="M187" s="46">
        <f>IF(B187="","",L187*S_VAT)</f>
        <v/>
      </c>
      <c r="N187" s="46">
        <f>IF(B187="","",L187+M187)</f>
        <v/>
      </c>
      <c r="O187" s="40" t="n"/>
      <c r="P187" s="46">
        <f>IF(A187="","",SUMIFS('سندات القبض'!$K$5:$K$304,'سندات القبض'!$F$5:$F$304,A187))</f>
        <v/>
      </c>
      <c r="Q187" s="46">
        <f>IF(A187="","",N187-P187)</f>
        <v/>
      </c>
      <c r="R187" s="49">
        <f>IF(A187="","",IF(P187&gt;=N187-0.01,"محصّل بالكامل",IF(P187&gt;0,"محصّل جزئياً","غير محصّل")))</f>
        <v/>
      </c>
    </row>
    <row r="188">
      <c r="A188" s="39">
        <f>IF(B188="","","IPC-"&amp;TEXT(ROW()-4,"0000"))</f>
        <v/>
      </c>
      <c r="B188" s="50" t="n"/>
      <c r="C188" s="49">
        <f>IF(B188="","",IFERROR(INDEX('المشروعات'!$B$5:$B$304,MATCH(B188,'المشروعات'!$A$5:$A$304,0)),""))</f>
        <v/>
      </c>
      <c r="D188" s="47" t="n"/>
      <c r="E188" s="47" t="n"/>
      <c r="F188" s="41" t="n"/>
      <c r="G188" s="46">
        <f>IF(B188="","",SUMIFS($H$4:H187,$B$4:B187,B188))</f>
        <v/>
      </c>
      <c r="H188" s="46">
        <f>IF(B188="","",F188-G188)</f>
        <v/>
      </c>
      <c r="I188" s="46">
        <f>IF(B188="","",H188*S_Ret)</f>
        <v/>
      </c>
      <c r="J188" s="41" t="n"/>
      <c r="K188" s="41" t="n"/>
      <c r="L188" s="46">
        <f>IF(B188="","",H188-I188-N(J188)-N(K188))</f>
        <v/>
      </c>
      <c r="M188" s="46">
        <f>IF(B188="","",L188*S_VAT)</f>
        <v/>
      </c>
      <c r="N188" s="46">
        <f>IF(B188="","",L188+M188)</f>
        <v/>
      </c>
      <c r="O188" s="40" t="n"/>
      <c r="P188" s="46">
        <f>IF(A188="","",SUMIFS('سندات القبض'!$K$5:$K$304,'سندات القبض'!$F$5:$F$304,A188))</f>
        <v/>
      </c>
      <c r="Q188" s="46">
        <f>IF(A188="","",N188-P188)</f>
        <v/>
      </c>
      <c r="R188" s="49">
        <f>IF(A188="","",IF(P188&gt;=N188-0.01,"محصّل بالكامل",IF(P188&gt;0,"محصّل جزئياً","غير محصّل")))</f>
        <v/>
      </c>
    </row>
    <row r="189">
      <c r="A189" s="39">
        <f>IF(B189="","","IPC-"&amp;TEXT(ROW()-4,"0000"))</f>
        <v/>
      </c>
      <c r="B189" s="50" t="n"/>
      <c r="C189" s="49">
        <f>IF(B189="","",IFERROR(INDEX('المشروعات'!$B$5:$B$304,MATCH(B189,'المشروعات'!$A$5:$A$304,0)),""))</f>
        <v/>
      </c>
      <c r="D189" s="47" t="n"/>
      <c r="E189" s="47" t="n"/>
      <c r="F189" s="41" t="n"/>
      <c r="G189" s="46">
        <f>IF(B189="","",SUMIFS($H$4:H188,$B$4:B188,B189))</f>
        <v/>
      </c>
      <c r="H189" s="46">
        <f>IF(B189="","",F189-G189)</f>
        <v/>
      </c>
      <c r="I189" s="46">
        <f>IF(B189="","",H189*S_Ret)</f>
        <v/>
      </c>
      <c r="J189" s="41" t="n"/>
      <c r="K189" s="41" t="n"/>
      <c r="L189" s="46">
        <f>IF(B189="","",H189-I189-N(J189)-N(K189))</f>
        <v/>
      </c>
      <c r="M189" s="46">
        <f>IF(B189="","",L189*S_VAT)</f>
        <v/>
      </c>
      <c r="N189" s="46">
        <f>IF(B189="","",L189+M189)</f>
        <v/>
      </c>
      <c r="O189" s="40" t="n"/>
      <c r="P189" s="46">
        <f>IF(A189="","",SUMIFS('سندات القبض'!$K$5:$K$304,'سندات القبض'!$F$5:$F$304,A189))</f>
        <v/>
      </c>
      <c r="Q189" s="46">
        <f>IF(A189="","",N189-P189)</f>
        <v/>
      </c>
      <c r="R189" s="49">
        <f>IF(A189="","",IF(P189&gt;=N189-0.01,"محصّل بالكامل",IF(P189&gt;0,"محصّل جزئياً","غير محصّل")))</f>
        <v/>
      </c>
    </row>
    <row r="190">
      <c r="A190" s="39">
        <f>IF(B190="","","IPC-"&amp;TEXT(ROW()-4,"0000"))</f>
        <v/>
      </c>
      <c r="B190" s="50" t="n"/>
      <c r="C190" s="49">
        <f>IF(B190="","",IFERROR(INDEX('المشروعات'!$B$5:$B$304,MATCH(B190,'المشروعات'!$A$5:$A$304,0)),""))</f>
        <v/>
      </c>
      <c r="D190" s="47" t="n"/>
      <c r="E190" s="47" t="n"/>
      <c r="F190" s="41" t="n"/>
      <c r="G190" s="46">
        <f>IF(B190="","",SUMIFS($H$4:H189,$B$4:B189,B190))</f>
        <v/>
      </c>
      <c r="H190" s="46">
        <f>IF(B190="","",F190-G190)</f>
        <v/>
      </c>
      <c r="I190" s="46">
        <f>IF(B190="","",H190*S_Ret)</f>
        <v/>
      </c>
      <c r="J190" s="41" t="n"/>
      <c r="K190" s="41" t="n"/>
      <c r="L190" s="46">
        <f>IF(B190="","",H190-I190-N(J190)-N(K190))</f>
        <v/>
      </c>
      <c r="M190" s="46">
        <f>IF(B190="","",L190*S_VAT)</f>
        <v/>
      </c>
      <c r="N190" s="46">
        <f>IF(B190="","",L190+M190)</f>
        <v/>
      </c>
      <c r="O190" s="40" t="n"/>
      <c r="P190" s="46">
        <f>IF(A190="","",SUMIFS('سندات القبض'!$K$5:$K$304,'سندات القبض'!$F$5:$F$304,A190))</f>
        <v/>
      </c>
      <c r="Q190" s="46">
        <f>IF(A190="","",N190-P190)</f>
        <v/>
      </c>
      <c r="R190" s="49">
        <f>IF(A190="","",IF(P190&gt;=N190-0.01,"محصّل بالكامل",IF(P190&gt;0,"محصّل جزئياً","غير محصّل")))</f>
        <v/>
      </c>
    </row>
    <row r="191">
      <c r="A191" s="39">
        <f>IF(B191="","","IPC-"&amp;TEXT(ROW()-4,"0000"))</f>
        <v/>
      </c>
      <c r="B191" s="50" t="n"/>
      <c r="C191" s="49">
        <f>IF(B191="","",IFERROR(INDEX('المشروعات'!$B$5:$B$304,MATCH(B191,'المشروعات'!$A$5:$A$304,0)),""))</f>
        <v/>
      </c>
      <c r="D191" s="47" t="n"/>
      <c r="E191" s="47" t="n"/>
      <c r="F191" s="41" t="n"/>
      <c r="G191" s="46">
        <f>IF(B191="","",SUMIFS($H$4:H190,$B$4:B190,B191))</f>
        <v/>
      </c>
      <c r="H191" s="46">
        <f>IF(B191="","",F191-G191)</f>
        <v/>
      </c>
      <c r="I191" s="46">
        <f>IF(B191="","",H191*S_Ret)</f>
        <v/>
      </c>
      <c r="J191" s="41" t="n"/>
      <c r="K191" s="41" t="n"/>
      <c r="L191" s="46">
        <f>IF(B191="","",H191-I191-N(J191)-N(K191))</f>
        <v/>
      </c>
      <c r="M191" s="46">
        <f>IF(B191="","",L191*S_VAT)</f>
        <v/>
      </c>
      <c r="N191" s="46">
        <f>IF(B191="","",L191+M191)</f>
        <v/>
      </c>
      <c r="O191" s="40" t="n"/>
      <c r="P191" s="46">
        <f>IF(A191="","",SUMIFS('سندات القبض'!$K$5:$K$304,'سندات القبض'!$F$5:$F$304,A191))</f>
        <v/>
      </c>
      <c r="Q191" s="46">
        <f>IF(A191="","",N191-P191)</f>
        <v/>
      </c>
      <c r="R191" s="49">
        <f>IF(A191="","",IF(P191&gt;=N191-0.01,"محصّل بالكامل",IF(P191&gt;0,"محصّل جزئياً","غير محصّل")))</f>
        <v/>
      </c>
    </row>
    <row r="192">
      <c r="A192" s="39">
        <f>IF(B192="","","IPC-"&amp;TEXT(ROW()-4,"0000"))</f>
        <v/>
      </c>
      <c r="B192" s="50" t="n"/>
      <c r="C192" s="49">
        <f>IF(B192="","",IFERROR(INDEX('المشروعات'!$B$5:$B$304,MATCH(B192,'المشروعات'!$A$5:$A$304,0)),""))</f>
        <v/>
      </c>
      <c r="D192" s="47" t="n"/>
      <c r="E192" s="47" t="n"/>
      <c r="F192" s="41" t="n"/>
      <c r="G192" s="46">
        <f>IF(B192="","",SUMIFS($H$4:H191,$B$4:B191,B192))</f>
        <v/>
      </c>
      <c r="H192" s="46">
        <f>IF(B192="","",F192-G192)</f>
        <v/>
      </c>
      <c r="I192" s="46">
        <f>IF(B192="","",H192*S_Ret)</f>
        <v/>
      </c>
      <c r="J192" s="41" t="n"/>
      <c r="K192" s="41" t="n"/>
      <c r="L192" s="46">
        <f>IF(B192="","",H192-I192-N(J192)-N(K192))</f>
        <v/>
      </c>
      <c r="M192" s="46">
        <f>IF(B192="","",L192*S_VAT)</f>
        <v/>
      </c>
      <c r="N192" s="46">
        <f>IF(B192="","",L192+M192)</f>
        <v/>
      </c>
      <c r="O192" s="40" t="n"/>
      <c r="P192" s="46">
        <f>IF(A192="","",SUMIFS('سندات القبض'!$K$5:$K$304,'سندات القبض'!$F$5:$F$304,A192))</f>
        <v/>
      </c>
      <c r="Q192" s="46">
        <f>IF(A192="","",N192-P192)</f>
        <v/>
      </c>
      <c r="R192" s="49">
        <f>IF(A192="","",IF(P192&gt;=N192-0.01,"محصّل بالكامل",IF(P192&gt;0,"محصّل جزئياً","غير محصّل")))</f>
        <v/>
      </c>
    </row>
    <row r="193">
      <c r="A193" s="39">
        <f>IF(B193="","","IPC-"&amp;TEXT(ROW()-4,"0000"))</f>
        <v/>
      </c>
      <c r="B193" s="50" t="n"/>
      <c r="C193" s="49">
        <f>IF(B193="","",IFERROR(INDEX('المشروعات'!$B$5:$B$304,MATCH(B193,'المشروعات'!$A$5:$A$304,0)),""))</f>
        <v/>
      </c>
      <c r="D193" s="47" t="n"/>
      <c r="E193" s="47" t="n"/>
      <c r="F193" s="41" t="n"/>
      <c r="G193" s="46">
        <f>IF(B193="","",SUMIFS($H$4:H192,$B$4:B192,B193))</f>
        <v/>
      </c>
      <c r="H193" s="46">
        <f>IF(B193="","",F193-G193)</f>
        <v/>
      </c>
      <c r="I193" s="46">
        <f>IF(B193="","",H193*S_Ret)</f>
        <v/>
      </c>
      <c r="J193" s="41" t="n"/>
      <c r="K193" s="41" t="n"/>
      <c r="L193" s="46">
        <f>IF(B193="","",H193-I193-N(J193)-N(K193))</f>
        <v/>
      </c>
      <c r="M193" s="46">
        <f>IF(B193="","",L193*S_VAT)</f>
        <v/>
      </c>
      <c r="N193" s="46">
        <f>IF(B193="","",L193+M193)</f>
        <v/>
      </c>
      <c r="O193" s="40" t="n"/>
      <c r="P193" s="46">
        <f>IF(A193="","",SUMIFS('سندات القبض'!$K$5:$K$304,'سندات القبض'!$F$5:$F$304,A193))</f>
        <v/>
      </c>
      <c r="Q193" s="46">
        <f>IF(A193="","",N193-P193)</f>
        <v/>
      </c>
      <c r="R193" s="49">
        <f>IF(A193="","",IF(P193&gt;=N193-0.01,"محصّل بالكامل",IF(P193&gt;0,"محصّل جزئياً","غير محصّل")))</f>
        <v/>
      </c>
    </row>
    <row r="194">
      <c r="A194" s="39">
        <f>IF(B194="","","IPC-"&amp;TEXT(ROW()-4,"0000"))</f>
        <v/>
      </c>
      <c r="B194" s="50" t="n"/>
      <c r="C194" s="49">
        <f>IF(B194="","",IFERROR(INDEX('المشروعات'!$B$5:$B$304,MATCH(B194,'المشروعات'!$A$5:$A$304,0)),""))</f>
        <v/>
      </c>
      <c r="D194" s="47" t="n"/>
      <c r="E194" s="47" t="n"/>
      <c r="F194" s="41" t="n"/>
      <c r="G194" s="46">
        <f>IF(B194="","",SUMIFS($H$4:H193,$B$4:B193,B194))</f>
        <v/>
      </c>
      <c r="H194" s="46">
        <f>IF(B194="","",F194-G194)</f>
        <v/>
      </c>
      <c r="I194" s="46">
        <f>IF(B194="","",H194*S_Ret)</f>
        <v/>
      </c>
      <c r="J194" s="41" t="n"/>
      <c r="K194" s="41" t="n"/>
      <c r="L194" s="46">
        <f>IF(B194="","",H194-I194-N(J194)-N(K194))</f>
        <v/>
      </c>
      <c r="M194" s="46">
        <f>IF(B194="","",L194*S_VAT)</f>
        <v/>
      </c>
      <c r="N194" s="46">
        <f>IF(B194="","",L194+M194)</f>
        <v/>
      </c>
      <c r="O194" s="40" t="n"/>
      <c r="P194" s="46">
        <f>IF(A194="","",SUMIFS('سندات القبض'!$K$5:$K$304,'سندات القبض'!$F$5:$F$304,A194))</f>
        <v/>
      </c>
      <c r="Q194" s="46">
        <f>IF(A194="","",N194-P194)</f>
        <v/>
      </c>
      <c r="R194" s="49">
        <f>IF(A194="","",IF(P194&gt;=N194-0.01,"محصّل بالكامل",IF(P194&gt;0,"محصّل جزئياً","غير محصّل")))</f>
        <v/>
      </c>
    </row>
    <row r="195">
      <c r="A195" s="39">
        <f>IF(B195="","","IPC-"&amp;TEXT(ROW()-4,"0000"))</f>
        <v/>
      </c>
      <c r="B195" s="50" t="n"/>
      <c r="C195" s="49">
        <f>IF(B195="","",IFERROR(INDEX('المشروعات'!$B$5:$B$304,MATCH(B195,'المشروعات'!$A$5:$A$304,0)),""))</f>
        <v/>
      </c>
      <c r="D195" s="47" t="n"/>
      <c r="E195" s="47" t="n"/>
      <c r="F195" s="41" t="n"/>
      <c r="G195" s="46">
        <f>IF(B195="","",SUMIFS($H$4:H194,$B$4:B194,B195))</f>
        <v/>
      </c>
      <c r="H195" s="46">
        <f>IF(B195="","",F195-G195)</f>
        <v/>
      </c>
      <c r="I195" s="46">
        <f>IF(B195="","",H195*S_Ret)</f>
        <v/>
      </c>
      <c r="J195" s="41" t="n"/>
      <c r="K195" s="41" t="n"/>
      <c r="L195" s="46">
        <f>IF(B195="","",H195-I195-N(J195)-N(K195))</f>
        <v/>
      </c>
      <c r="M195" s="46">
        <f>IF(B195="","",L195*S_VAT)</f>
        <v/>
      </c>
      <c r="N195" s="46">
        <f>IF(B195="","",L195+M195)</f>
        <v/>
      </c>
      <c r="O195" s="40" t="n"/>
      <c r="P195" s="46">
        <f>IF(A195="","",SUMIFS('سندات القبض'!$K$5:$K$304,'سندات القبض'!$F$5:$F$304,A195))</f>
        <v/>
      </c>
      <c r="Q195" s="46">
        <f>IF(A195="","",N195-P195)</f>
        <v/>
      </c>
      <c r="R195" s="49">
        <f>IF(A195="","",IF(P195&gt;=N195-0.01,"محصّل بالكامل",IF(P195&gt;0,"محصّل جزئياً","غير محصّل")))</f>
        <v/>
      </c>
    </row>
    <row r="196">
      <c r="A196" s="39">
        <f>IF(B196="","","IPC-"&amp;TEXT(ROW()-4,"0000"))</f>
        <v/>
      </c>
      <c r="B196" s="50" t="n"/>
      <c r="C196" s="49">
        <f>IF(B196="","",IFERROR(INDEX('المشروعات'!$B$5:$B$304,MATCH(B196,'المشروعات'!$A$5:$A$304,0)),""))</f>
        <v/>
      </c>
      <c r="D196" s="47" t="n"/>
      <c r="E196" s="47" t="n"/>
      <c r="F196" s="41" t="n"/>
      <c r="G196" s="46">
        <f>IF(B196="","",SUMIFS($H$4:H195,$B$4:B195,B196))</f>
        <v/>
      </c>
      <c r="H196" s="46">
        <f>IF(B196="","",F196-G196)</f>
        <v/>
      </c>
      <c r="I196" s="46">
        <f>IF(B196="","",H196*S_Ret)</f>
        <v/>
      </c>
      <c r="J196" s="41" t="n"/>
      <c r="K196" s="41" t="n"/>
      <c r="L196" s="46">
        <f>IF(B196="","",H196-I196-N(J196)-N(K196))</f>
        <v/>
      </c>
      <c r="M196" s="46">
        <f>IF(B196="","",L196*S_VAT)</f>
        <v/>
      </c>
      <c r="N196" s="46">
        <f>IF(B196="","",L196+M196)</f>
        <v/>
      </c>
      <c r="O196" s="40" t="n"/>
      <c r="P196" s="46">
        <f>IF(A196="","",SUMIFS('سندات القبض'!$K$5:$K$304,'سندات القبض'!$F$5:$F$304,A196))</f>
        <v/>
      </c>
      <c r="Q196" s="46">
        <f>IF(A196="","",N196-P196)</f>
        <v/>
      </c>
      <c r="R196" s="49">
        <f>IF(A196="","",IF(P196&gt;=N196-0.01,"محصّل بالكامل",IF(P196&gt;0,"محصّل جزئياً","غير محصّل")))</f>
        <v/>
      </c>
    </row>
    <row r="197">
      <c r="A197" s="39">
        <f>IF(B197="","","IPC-"&amp;TEXT(ROW()-4,"0000"))</f>
        <v/>
      </c>
      <c r="B197" s="50" t="n"/>
      <c r="C197" s="49">
        <f>IF(B197="","",IFERROR(INDEX('المشروعات'!$B$5:$B$304,MATCH(B197,'المشروعات'!$A$5:$A$304,0)),""))</f>
        <v/>
      </c>
      <c r="D197" s="47" t="n"/>
      <c r="E197" s="47" t="n"/>
      <c r="F197" s="41" t="n"/>
      <c r="G197" s="46">
        <f>IF(B197="","",SUMIFS($H$4:H196,$B$4:B196,B197))</f>
        <v/>
      </c>
      <c r="H197" s="46">
        <f>IF(B197="","",F197-G197)</f>
        <v/>
      </c>
      <c r="I197" s="46">
        <f>IF(B197="","",H197*S_Ret)</f>
        <v/>
      </c>
      <c r="J197" s="41" t="n"/>
      <c r="K197" s="41" t="n"/>
      <c r="L197" s="46">
        <f>IF(B197="","",H197-I197-N(J197)-N(K197))</f>
        <v/>
      </c>
      <c r="M197" s="46">
        <f>IF(B197="","",L197*S_VAT)</f>
        <v/>
      </c>
      <c r="N197" s="46">
        <f>IF(B197="","",L197+M197)</f>
        <v/>
      </c>
      <c r="O197" s="40" t="n"/>
      <c r="P197" s="46">
        <f>IF(A197="","",SUMIFS('سندات القبض'!$K$5:$K$304,'سندات القبض'!$F$5:$F$304,A197))</f>
        <v/>
      </c>
      <c r="Q197" s="46">
        <f>IF(A197="","",N197-P197)</f>
        <v/>
      </c>
      <c r="R197" s="49">
        <f>IF(A197="","",IF(P197&gt;=N197-0.01,"محصّل بالكامل",IF(P197&gt;0,"محصّل جزئياً","غير محصّل")))</f>
        <v/>
      </c>
    </row>
    <row r="198">
      <c r="A198" s="39">
        <f>IF(B198="","","IPC-"&amp;TEXT(ROW()-4,"0000"))</f>
        <v/>
      </c>
      <c r="B198" s="50" t="n"/>
      <c r="C198" s="49">
        <f>IF(B198="","",IFERROR(INDEX('المشروعات'!$B$5:$B$304,MATCH(B198,'المشروعات'!$A$5:$A$304,0)),""))</f>
        <v/>
      </c>
      <c r="D198" s="47" t="n"/>
      <c r="E198" s="47" t="n"/>
      <c r="F198" s="41" t="n"/>
      <c r="G198" s="46">
        <f>IF(B198="","",SUMIFS($H$4:H197,$B$4:B197,B198))</f>
        <v/>
      </c>
      <c r="H198" s="46">
        <f>IF(B198="","",F198-G198)</f>
        <v/>
      </c>
      <c r="I198" s="46">
        <f>IF(B198="","",H198*S_Ret)</f>
        <v/>
      </c>
      <c r="J198" s="41" t="n"/>
      <c r="K198" s="41" t="n"/>
      <c r="L198" s="46">
        <f>IF(B198="","",H198-I198-N(J198)-N(K198))</f>
        <v/>
      </c>
      <c r="M198" s="46">
        <f>IF(B198="","",L198*S_VAT)</f>
        <v/>
      </c>
      <c r="N198" s="46">
        <f>IF(B198="","",L198+M198)</f>
        <v/>
      </c>
      <c r="O198" s="40" t="n"/>
      <c r="P198" s="46">
        <f>IF(A198="","",SUMIFS('سندات القبض'!$K$5:$K$304,'سندات القبض'!$F$5:$F$304,A198))</f>
        <v/>
      </c>
      <c r="Q198" s="46">
        <f>IF(A198="","",N198-P198)</f>
        <v/>
      </c>
      <c r="R198" s="49">
        <f>IF(A198="","",IF(P198&gt;=N198-0.01,"محصّل بالكامل",IF(P198&gt;0,"محصّل جزئياً","غير محصّل")))</f>
        <v/>
      </c>
    </row>
    <row r="199">
      <c r="A199" s="39">
        <f>IF(B199="","","IPC-"&amp;TEXT(ROW()-4,"0000"))</f>
        <v/>
      </c>
      <c r="B199" s="50" t="n"/>
      <c r="C199" s="49">
        <f>IF(B199="","",IFERROR(INDEX('المشروعات'!$B$5:$B$304,MATCH(B199,'المشروعات'!$A$5:$A$304,0)),""))</f>
        <v/>
      </c>
      <c r="D199" s="47" t="n"/>
      <c r="E199" s="47" t="n"/>
      <c r="F199" s="41" t="n"/>
      <c r="G199" s="46">
        <f>IF(B199="","",SUMIFS($H$4:H198,$B$4:B198,B199))</f>
        <v/>
      </c>
      <c r="H199" s="46">
        <f>IF(B199="","",F199-G199)</f>
        <v/>
      </c>
      <c r="I199" s="46">
        <f>IF(B199="","",H199*S_Ret)</f>
        <v/>
      </c>
      <c r="J199" s="41" t="n"/>
      <c r="K199" s="41" t="n"/>
      <c r="L199" s="46">
        <f>IF(B199="","",H199-I199-N(J199)-N(K199))</f>
        <v/>
      </c>
      <c r="M199" s="46">
        <f>IF(B199="","",L199*S_VAT)</f>
        <v/>
      </c>
      <c r="N199" s="46">
        <f>IF(B199="","",L199+M199)</f>
        <v/>
      </c>
      <c r="O199" s="40" t="n"/>
      <c r="P199" s="46">
        <f>IF(A199="","",SUMIFS('سندات القبض'!$K$5:$K$304,'سندات القبض'!$F$5:$F$304,A199))</f>
        <v/>
      </c>
      <c r="Q199" s="46">
        <f>IF(A199="","",N199-P199)</f>
        <v/>
      </c>
      <c r="R199" s="49">
        <f>IF(A199="","",IF(P199&gt;=N199-0.01,"محصّل بالكامل",IF(P199&gt;0,"محصّل جزئياً","غير محصّل")))</f>
        <v/>
      </c>
    </row>
    <row r="200">
      <c r="A200" s="39">
        <f>IF(B200="","","IPC-"&amp;TEXT(ROW()-4,"0000"))</f>
        <v/>
      </c>
      <c r="B200" s="50" t="n"/>
      <c r="C200" s="49">
        <f>IF(B200="","",IFERROR(INDEX('المشروعات'!$B$5:$B$304,MATCH(B200,'المشروعات'!$A$5:$A$304,0)),""))</f>
        <v/>
      </c>
      <c r="D200" s="47" t="n"/>
      <c r="E200" s="47" t="n"/>
      <c r="F200" s="41" t="n"/>
      <c r="G200" s="46">
        <f>IF(B200="","",SUMIFS($H$4:H199,$B$4:B199,B200))</f>
        <v/>
      </c>
      <c r="H200" s="46">
        <f>IF(B200="","",F200-G200)</f>
        <v/>
      </c>
      <c r="I200" s="46">
        <f>IF(B200="","",H200*S_Ret)</f>
        <v/>
      </c>
      <c r="J200" s="41" t="n"/>
      <c r="K200" s="41" t="n"/>
      <c r="L200" s="46">
        <f>IF(B200="","",H200-I200-N(J200)-N(K200))</f>
        <v/>
      </c>
      <c r="M200" s="46">
        <f>IF(B200="","",L200*S_VAT)</f>
        <v/>
      </c>
      <c r="N200" s="46">
        <f>IF(B200="","",L200+M200)</f>
        <v/>
      </c>
      <c r="O200" s="40" t="n"/>
      <c r="P200" s="46">
        <f>IF(A200="","",SUMIFS('سندات القبض'!$K$5:$K$304,'سندات القبض'!$F$5:$F$304,A200))</f>
        <v/>
      </c>
      <c r="Q200" s="46">
        <f>IF(A200="","",N200-P200)</f>
        <v/>
      </c>
      <c r="R200" s="49">
        <f>IF(A200="","",IF(P200&gt;=N200-0.01,"محصّل بالكامل",IF(P200&gt;0,"محصّل جزئياً","غير محصّل")))</f>
        <v/>
      </c>
    </row>
    <row r="201">
      <c r="A201" s="39">
        <f>IF(B201="","","IPC-"&amp;TEXT(ROW()-4,"0000"))</f>
        <v/>
      </c>
      <c r="B201" s="50" t="n"/>
      <c r="C201" s="49">
        <f>IF(B201="","",IFERROR(INDEX('المشروعات'!$B$5:$B$304,MATCH(B201,'المشروعات'!$A$5:$A$304,0)),""))</f>
        <v/>
      </c>
      <c r="D201" s="47" t="n"/>
      <c r="E201" s="47" t="n"/>
      <c r="F201" s="41" t="n"/>
      <c r="G201" s="46">
        <f>IF(B201="","",SUMIFS($H$4:H200,$B$4:B200,B201))</f>
        <v/>
      </c>
      <c r="H201" s="46">
        <f>IF(B201="","",F201-G201)</f>
        <v/>
      </c>
      <c r="I201" s="46">
        <f>IF(B201="","",H201*S_Ret)</f>
        <v/>
      </c>
      <c r="J201" s="41" t="n"/>
      <c r="K201" s="41" t="n"/>
      <c r="L201" s="46">
        <f>IF(B201="","",H201-I201-N(J201)-N(K201))</f>
        <v/>
      </c>
      <c r="M201" s="46">
        <f>IF(B201="","",L201*S_VAT)</f>
        <v/>
      </c>
      <c r="N201" s="46">
        <f>IF(B201="","",L201+M201)</f>
        <v/>
      </c>
      <c r="O201" s="40" t="n"/>
      <c r="P201" s="46">
        <f>IF(A201="","",SUMIFS('سندات القبض'!$K$5:$K$304,'سندات القبض'!$F$5:$F$304,A201))</f>
        <v/>
      </c>
      <c r="Q201" s="46">
        <f>IF(A201="","",N201-P201)</f>
        <v/>
      </c>
      <c r="R201" s="49">
        <f>IF(A201="","",IF(P201&gt;=N201-0.01,"محصّل بالكامل",IF(P201&gt;0,"محصّل جزئياً","غير محصّل")))</f>
        <v/>
      </c>
    </row>
    <row r="202">
      <c r="A202" s="39">
        <f>IF(B202="","","IPC-"&amp;TEXT(ROW()-4,"0000"))</f>
        <v/>
      </c>
      <c r="B202" s="50" t="n"/>
      <c r="C202" s="49">
        <f>IF(B202="","",IFERROR(INDEX('المشروعات'!$B$5:$B$304,MATCH(B202,'المشروعات'!$A$5:$A$304,0)),""))</f>
        <v/>
      </c>
      <c r="D202" s="47" t="n"/>
      <c r="E202" s="47" t="n"/>
      <c r="F202" s="41" t="n"/>
      <c r="G202" s="46">
        <f>IF(B202="","",SUMIFS($H$4:H201,$B$4:B201,B202))</f>
        <v/>
      </c>
      <c r="H202" s="46">
        <f>IF(B202="","",F202-G202)</f>
        <v/>
      </c>
      <c r="I202" s="46">
        <f>IF(B202="","",H202*S_Ret)</f>
        <v/>
      </c>
      <c r="J202" s="41" t="n"/>
      <c r="K202" s="41" t="n"/>
      <c r="L202" s="46">
        <f>IF(B202="","",H202-I202-N(J202)-N(K202))</f>
        <v/>
      </c>
      <c r="M202" s="46">
        <f>IF(B202="","",L202*S_VAT)</f>
        <v/>
      </c>
      <c r="N202" s="46">
        <f>IF(B202="","",L202+M202)</f>
        <v/>
      </c>
      <c r="O202" s="40" t="n"/>
      <c r="P202" s="46">
        <f>IF(A202="","",SUMIFS('سندات القبض'!$K$5:$K$304,'سندات القبض'!$F$5:$F$304,A202))</f>
        <v/>
      </c>
      <c r="Q202" s="46">
        <f>IF(A202="","",N202-P202)</f>
        <v/>
      </c>
      <c r="R202" s="49">
        <f>IF(A202="","",IF(P202&gt;=N202-0.01,"محصّل بالكامل",IF(P202&gt;0,"محصّل جزئياً","غير محصّل")))</f>
        <v/>
      </c>
    </row>
    <row r="203">
      <c r="A203" s="39">
        <f>IF(B203="","","IPC-"&amp;TEXT(ROW()-4,"0000"))</f>
        <v/>
      </c>
      <c r="B203" s="50" t="n"/>
      <c r="C203" s="49">
        <f>IF(B203="","",IFERROR(INDEX('المشروعات'!$B$5:$B$304,MATCH(B203,'المشروعات'!$A$5:$A$304,0)),""))</f>
        <v/>
      </c>
      <c r="D203" s="47" t="n"/>
      <c r="E203" s="47" t="n"/>
      <c r="F203" s="41" t="n"/>
      <c r="G203" s="46">
        <f>IF(B203="","",SUMIFS($H$4:H202,$B$4:B202,B203))</f>
        <v/>
      </c>
      <c r="H203" s="46">
        <f>IF(B203="","",F203-G203)</f>
        <v/>
      </c>
      <c r="I203" s="46">
        <f>IF(B203="","",H203*S_Ret)</f>
        <v/>
      </c>
      <c r="J203" s="41" t="n"/>
      <c r="K203" s="41" t="n"/>
      <c r="L203" s="46">
        <f>IF(B203="","",H203-I203-N(J203)-N(K203))</f>
        <v/>
      </c>
      <c r="M203" s="46">
        <f>IF(B203="","",L203*S_VAT)</f>
        <v/>
      </c>
      <c r="N203" s="46">
        <f>IF(B203="","",L203+M203)</f>
        <v/>
      </c>
      <c r="O203" s="40" t="n"/>
      <c r="P203" s="46">
        <f>IF(A203="","",SUMIFS('سندات القبض'!$K$5:$K$304,'سندات القبض'!$F$5:$F$304,A203))</f>
        <v/>
      </c>
      <c r="Q203" s="46">
        <f>IF(A203="","",N203-P203)</f>
        <v/>
      </c>
      <c r="R203" s="49">
        <f>IF(A203="","",IF(P203&gt;=N203-0.01,"محصّل بالكامل",IF(P203&gt;0,"محصّل جزئياً","غير محصّل")))</f>
        <v/>
      </c>
    </row>
    <row r="204">
      <c r="A204" s="39">
        <f>IF(B204="","","IPC-"&amp;TEXT(ROW()-4,"0000"))</f>
        <v/>
      </c>
      <c r="B204" s="50" t="n"/>
      <c r="C204" s="49">
        <f>IF(B204="","",IFERROR(INDEX('المشروعات'!$B$5:$B$304,MATCH(B204,'المشروعات'!$A$5:$A$304,0)),""))</f>
        <v/>
      </c>
      <c r="D204" s="47" t="n"/>
      <c r="E204" s="47" t="n"/>
      <c r="F204" s="41" t="n"/>
      <c r="G204" s="46">
        <f>IF(B204="","",SUMIFS($H$4:H203,$B$4:B203,B204))</f>
        <v/>
      </c>
      <c r="H204" s="46">
        <f>IF(B204="","",F204-G204)</f>
        <v/>
      </c>
      <c r="I204" s="46">
        <f>IF(B204="","",H204*S_Ret)</f>
        <v/>
      </c>
      <c r="J204" s="41" t="n"/>
      <c r="K204" s="41" t="n"/>
      <c r="L204" s="46">
        <f>IF(B204="","",H204-I204-N(J204)-N(K204))</f>
        <v/>
      </c>
      <c r="M204" s="46">
        <f>IF(B204="","",L204*S_VAT)</f>
        <v/>
      </c>
      <c r="N204" s="46">
        <f>IF(B204="","",L204+M204)</f>
        <v/>
      </c>
      <c r="O204" s="40" t="n"/>
      <c r="P204" s="46">
        <f>IF(A204="","",SUMIFS('سندات القبض'!$K$5:$K$304,'سندات القبض'!$F$5:$F$304,A204))</f>
        <v/>
      </c>
      <c r="Q204" s="46">
        <f>IF(A204="","",N204-P204)</f>
        <v/>
      </c>
      <c r="R204" s="49">
        <f>IF(A204="","",IF(P204&gt;=N204-0.01,"محصّل بالكامل",IF(P204&gt;0,"محصّل جزئياً","غير محصّل")))</f>
        <v/>
      </c>
    </row>
    <row r="205">
      <c r="A205" s="39">
        <f>IF(B205="","","IPC-"&amp;TEXT(ROW()-4,"0000"))</f>
        <v/>
      </c>
      <c r="B205" s="50" t="n"/>
      <c r="C205" s="49">
        <f>IF(B205="","",IFERROR(INDEX('المشروعات'!$B$5:$B$304,MATCH(B205,'المشروعات'!$A$5:$A$304,0)),""))</f>
        <v/>
      </c>
      <c r="D205" s="47" t="n"/>
      <c r="E205" s="47" t="n"/>
      <c r="F205" s="41" t="n"/>
      <c r="G205" s="46">
        <f>IF(B205="","",SUMIFS($H$4:H204,$B$4:B204,B205))</f>
        <v/>
      </c>
      <c r="H205" s="46">
        <f>IF(B205="","",F205-G205)</f>
        <v/>
      </c>
      <c r="I205" s="46">
        <f>IF(B205="","",H205*S_Ret)</f>
        <v/>
      </c>
      <c r="J205" s="41" t="n"/>
      <c r="K205" s="41" t="n"/>
      <c r="L205" s="46">
        <f>IF(B205="","",H205-I205-N(J205)-N(K205))</f>
        <v/>
      </c>
      <c r="M205" s="46">
        <f>IF(B205="","",L205*S_VAT)</f>
        <v/>
      </c>
      <c r="N205" s="46">
        <f>IF(B205="","",L205+M205)</f>
        <v/>
      </c>
      <c r="O205" s="40" t="n"/>
      <c r="P205" s="46">
        <f>IF(A205="","",SUMIFS('سندات القبض'!$K$5:$K$304,'سندات القبض'!$F$5:$F$304,A205))</f>
        <v/>
      </c>
      <c r="Q205" s="46">
        <f>IF(A205="","",N205-P205)</f>
        <v/>
      </c>
      <c r="R205" s="49">
        <f>IF(A205="","",IF(P205&gt;=N205-0.01,"محصّل بالكامل",IF(P205&gt;0,"محصّل جزئياً","غير محصّل")))</f>
        <v/>
      </c>
    </row>
    <row r="206">
      <c r="A206" s="39">
        <f>IF(B206="","","IPC-"&amp;TEXT(ROW()-4,"0000"))</f>
        <v/>
      </c>
      <c r="B206" s="50" t="n"/>
      <c r="C206" s="49">
        <f>IF(B206="","",IFERROR(INDEX('المشروعات'!$B$5:$B$304,MATCH(B206,'المشروعات'!$A$5:$A$304,0)),""))</f>
        <v/>
      </c>
      <c r="D206" s="47" t="n"/>
      <c r="E206" s="47" t="n"/>
      <c r="F206" s="41" t="n"/>
      <c r="G206" s="46">
        <f>IF(B206="","",SUMIFS($H$4:H205,$B$4:B205,B206))</f>
        <v/>
      </c>
      <c r="H206" s="46">
        <f>IF(B206="","",F206-G206)</f>
        <v/>
      </c>
      <c r="I206" s="46">
        <f>IF(B206="","",H206*S_Ret)</f>
        <v/>
      </c>
      <c r="J206" s="41" t="n"/>
      <c r="K206" s="41" t="n"/>
      <c r="L206" s="46">
        <f>IF(B206="","",H206-I206-N(J206)-N(K206))</f>
        <v/>
      </c>
      <c r="M206" s="46">
        <f>IF(B206="","",L206*S_VAT)</f>
        <v/>
      </c>
      <c r="N206" s="46">
        <f>IF(B206="","",L206+M206)</f>
        <v/>
      </c>
      <c r="O206" s="40" t="n"/>
      <c r="P206" s="46">
        <f>IF(A206="","",SUMIFS('سندات القبض'!$K$5:$K$304,'سندات القبض'!$F$5:$F$304,A206))</f>
        <v/>
      </c>
      <c r="Q206" s="46">
        <f>IF(A206="","",N206-P206)</f>
        <v/>
      </c>
      <c r="R206" s="49">
        <f>IF(A206="","",IF(P206&gt;=N206-0.01,"محصّل بالكامل",IF(P206&gt;0,"محصّل جزئياً","غير محصّل")))</f>
        <v/>
      </c>
    </row>
    <row r="207">
      <c r="A207" s="39">
        <f>IF(B207="","","IPC-"&amp;TEXT(ROW()-4,"0000"))</f>
        <v/>
      </c>
      <c r="B207" s="50" t="n"/>
      <c r="C207" s="49">
        <f>IF(B207="","",IFERROR(INDEX('المشروعات'!$B$5:$B$304,MATCH(B207,'المشروعات'!$A$5:$A$304,0)),""))</f>
        <v/>
      </c>
      <c r="D207" s="47" t="n"/>
      <c r="E207" s="47" t="n"/>
      <c r="F207" s="41" t="n"/>
      <c r="G207" s="46">
        <f>IF(B207="","",SUMIFS($H$4:H206,$B$4:B206,B207))</f>
        <v/>
      </c>
      <c r="H207" s="46">
        <f>IF(B207="","",F207-G207)</f>
        <v/>
      </c>
      <c r="I207" s="46">
        <f>IF(B207="","",H207*S_Ret)</f>
        <v/>
      </c>
      <c r="J207" s="41" t="n"/>
      <c r="K207" s="41" t="n"/>
      <c r="L207" s="46">
        <f>IF(B207="","",H207-I207-N(J207)-N(K207))</f>
        <v/>
      </c>
      <c r="M207" s="46">
        <f>IF(B207="","",L207*S_VAT)</f>
        <v/>
      </c>
      <c r="N207" s="46">
        <f>IF(B207="","",L207+M207)</f>
        <v/>
      </c>
      <c r="O207" s="40" t="n"/>
      <c r="P207" s="46">
        <f>IF(A207="","",SUMIFS('سندات القبض'!$K$5:$K$304,'سندات القبض'!$F$5:$F$304,A207))</f>
        <v/>
      </c>
      <c r="Q207" s="46">
        <f>IF(A207="","",N207-P207)</f>
        <v/>
      </c>
      <c r="R207" s="49">
        <f>IF(A207="","",IF(P207&gt;=N207-0.01,"محصّل بالكامل",IF(P207&gt;0,"محصّل جزئياً","غير محصّل")))</f>
        <v/>
      </c>
    </row>
    <row r="208">
      <c r="A208" s="39">
        <f>IF(B208="","","IPC-"&amp;TEXT(ROW()-4,"0000"))</f>
        <v/>
      </c>
      <c r="B208" s="50" t="n"/>
      <c r="C208" s="49">
        <f>IF(B208="","",IFERROR(INDEX('المشروعات'!$B$5:$B$304,MATCH(B208,'المشروعات'!$A$5:$A$304,0)),""))</f>
        <v/>
      </c>
      <c r="D208" s="47" t="n"/>
      <c r="E208" s="47" t="n"/>
      <c r="F208" s="41" t="n"/>
      <c r="G208" s="46">
        <f>IF(B208="","",SUMIFS($H$4:H207,$B$4:B207,B208))</f>
        <v/>
      </c>
      <c r="H208" s="46">
        <f>IF(B208="","",F208-G208)</f>
        <v/>
      </c>
      <c r="I208" s="46">
        <f>IF(B208="","",H208*S_Ret)</f>
        <v/>
      </c>
      <c r="J208" s="41" t="n"/>
      <c r="K208" s="41" t="n"/>
      <c r="L208" s="46">
        <f>IF(B208="","",H208-I208-N(J208)-N(K208))</f>
        <v/>
      </c>
      <c r="M208" s="46">
        <f>IF(B208="","",L208*S_VAT)</f>
        <v/>
      </c>
      <c r="N208" s="46">
        <f>IF(B208="","",L208+M208)</f>
        <v/>
      </c>
      <c r="O208" s="40" t="n"/>
      <c r="P208" s="46">
        <f>IF(A208="","",SUMIFS('سندات القبض'!$K$5:$K$304,'سندات القبض'!$F$5:$F$304,A208))</f>
        <v/>
      </c>
      <c r="Q208" s="46">
        <f>IF(A208="","",N208-P208)</f>
        <v/>
      </c>
      <c r="R208" s="49">
        <f>IF(A208="","",IF(P208&gt;=N208-0.01,"محصّل بالكامل",IF(P208&gt;0,"محصّل جزئياً","غير محصّل")))</f>
        <v/>
      </c>
    </row>
    <row r="209">
      <c r="A209" s="39">
        <f>IF(B209="","","IPC-"&amp;TEXT(ROW()-4,"0000"))</f>
        <v/>
      </c>
      <c r="B209" s="50" t="n"/>
      <c r="C209" s="49">
        <f>IF(B209="","",IFERROR(INDEX('المشروعات'!$B$5:$B$304,MATCH(B209,'المشروعات'!$A$5:$A$304,0)),""))</f>
        <v/>
      </c>
      <c r="D209" s="47" t="n"/>
      <c r="E209" s="47" t="n"/>
      <c r="F209" s="41" t="n"/>
      <c r="G209" s="46">
        <f>IF(B209="","",SUMIFS($H$4:H208,$B$4:B208,B209))</f>
        <v/>
      </c>
      <c r="H209" s="46">
        <f>IF(B209="","",F209-G209)</f>
        <v/>
      </c>
      <c r="I209" s="46">
        <f>IF(B209="","",H209*S_Ret)</f>
        <v/>
      </c>
      <c r="J209" s="41" t="n"/>
      <c r="K209" s="41" t="n"/>
      <c r="L209" s="46">
        <f>IF(B209="","",H209-I209-N(J209)-N(K209))</f>
        <v/>
      </c>
      <c r="M209" s="46">
        <f>IF(B209="","",L209*S_VAT)</f>
        <v/>
      </c>
      <c r="N209" s="46">
        <f>IF(B209="","",L209+M209)</f>
        <v/>
      </c>
      <c r="O209" s="40" t="n"/>
      <c r="P209" s="46">
        <f>IF(A209="","",SUMIFS('سندات القبض'!$K$5:$K$304,'سندات القبض'!$F$5:$F$304,A209))</f>
        <v/>
      </c>
      <c r="Q209" s="46">
        <f>IF(A209="","",N209-P209)</f>
        <v/>
      </c>
      <c r="R209" s="49">
        <f>IF(A209="","",IF(P209&gt;=N209-0.01,"محصّل بالكامل",IF(P209&gt;0,"محصّل جزئياً","غير محصّل")))</f>
        <v/>
      </c>
    </row>
    <row r="210">
      <c r="A210" s="39">
        <f>IF(B210="","","IPC-"&amp;TEXT(ROW()-4,"0000"))</f>
        <v/>
      </c>
      <c r="B210" s="50" t="n"/>
      <c r="C210" s="49">
        <f>IF(B210="","",IFERROR(INDEX('المشروعات'!$B$5:$B$304,MATCH(B210,'المشروعات'!$A$5:$A$304,0)),""))</f>
        <v/>
      </c>
      <c r="D210" s="47" t="n"/>
      <c r="E210" s="47" t="n"/>
      <c r="F210" s="41" t="n"/>
      <c r="G210" s="46">
        <f>IF(B210="","",SUMIFS($H$4:H209,$B$4:B209,B210))</f>
        <v/>
      </c>
      <c r="H210" s="46">
        <f>IF(B210="","",F210-G210)</f>
        <v/>
      </c>
      <c r="I210" s="46">
        <f>IF(B210="","",H210*S_Ret)</f>
        <v/>
      </c>
      <c r="J210" s="41" t="n"/>
      <c r="K210" s="41" t="n"/>
      <c r="L210" s="46">
        <f>IF(B210="","",H210-I210-N(J210)-N(K210))</f>
        <v/>
      </c>
      <c r="M210" s="46">
        <f>IF(B210="","",L210*S_VAT)</f>
        <v/>
      </c>
      <c r="N210" s="46">
        <f>IF(B210="","",L210+M210)</f>
        <v/>
      </c>
      <c r="O210" s="40" t="n"/>
      <c r="P210" s="46">
        <f>IF(A210="","",SUMIFS('سندات القبض'!$K$5:$K$304,'سندات القبض'!$F$5:$F$304,A210))</f>
        <v/>
      </c>
      <c r="Q210" s="46">
        <f>IF(A210="","",N210-P210)</f>
        <v/>
      </c>
      <c r="R210" s="49">
        <f>IF(A210="","",IF(P210&gt;=N210-0.01,"محصّل بالكامل",IF(P210&gt;0,"محصّل جزئياً","غير محصّل")))</f>
        <v/>
      </c>
    </row>
    <row r="211">
      <c r="A211" s="39">
        <f>IF(B211="","","IPC-"&amp;TEXT(ROW()-4,"0000"))</f>
        <v/>
      </c>
      <c r="B211" s="50" t="n"/>
      <c r="C211" s="49">
        <f>IF(B211="","",IFERROR(INDEX('المشروعات'!$B$5:$B$304,MATCH(B211,'المشروعات'!$A$5:$A$304,0)),""))</f>
        <v/>
      </c>
      <c r="D211" s="47" t="n"/>
      <c r="E211" s="47" t="n"/>
      <c r="F211" s="41" t="n"/>
      <c r="G211" s="46">
        <f>IF(B211="","",SUMIFS($H$4:H210,$B$4:B210,B211))</f>
        <v/>
      </c>
      <c r="H211" s="46">
        <f>IF(B211="","",F211-G211)</f>
        <v/>
      </c>
      <c r="I211" s="46">
        <f>IF(B211="","",H211*S_Ret)</f>
        <v/>
      </c>
      <c r="J211" s="41" t="n"/>
      <c r="K211" s="41" t="n"/>
      <c r="L211" s="46">
        <f>IF(B211="","",H211-I211-N(J211)-N(K211))</f>
        <v/>
      </c>
      <c r="M211" s="46">
        <f>IF(B211="","",L211*S_VAT)</f>
        <v/>
      </c>
      <c r="N211" s="46">
        <f>IF(B211="","",L211+M211)</f>
        <v/>
      </c>
      <c r="O211" s="40" t="n"/>
      <c r="P211" s="46">
        <f>IF(A211="","",SUMIFS('سندات القبض'!$K$5:$K$304,'سندات القبض'!$F$5:$F$304,A211))</f>
        <v/>
      </c>
      <c r="Q211" s="46">
        <f>IF(A211="","",N211-P211)</f>
        <v/>
      </c>
      <c r="R211" s="49">
        <f>IF(A211="","",IF(P211&gt;=N211-0.01,"محصّل بالكامل",IF(P211&gt;0,"محصّل جزئياً","غير محصّل")))</f>
        <v/>
      </c>
    </row>
    <row r="212">
      <c r="A212" s="39">
        <f>IF(B212="","","IPC-"&amp;TEXT(ROW()-4,"0000"))</f>
        <v/>
      </c>
      <c r="B212" s="50" t="n"/>
      <c r="C212" s="49">
        <f>IF(B212="","",IFERROR(INDEX('المشروعات'!$B$5:$B$304,MATCH(B212,'المشروعات'!$A$5:$A$304,0)),""))</f>
        <v/>
      </c>
      <c r="D212" s="47" t="n"/>
      <c r="E212" s="47" t="n"/>
      <c r="F212" s="41" t="n"/>
      <c r="G212" s="46">
        <f>IF(B212="","",SUMIFS($H$4:H211,$B$4:B211,B212))</f>
        <v/>
      </c>
      <c r="H212" s="46">
        <f>IF(B212="","",F212-G212)</f>
        <v/>
      </c>
      <c r="I212" s="46">
        <f>IF(B212="","",H212*S_Ret)</f>
        <v/>
      </c>
      <c r="J212" s="41" t="n"/>
      <c r="K212" s="41" t="n"/>
      <c r="L212" s="46">
        <f>IF(B212="","",H212-I212-N(J212)-N(K212))</f>
        <v/>
      </c>
      <c r="M212" s="46">
        <f>IF(B212="","",L212*S_VAT)</f>
        <v/>
      </c>
      <c r="N212" s="46">
        <f>IF(B212="","",L212+M212)</f>
        <v/>
      </c>
      <c r="O212" s="40" t="n"/>
      <c r="P212" s="46">
        <f>IF(A212="","",SUMIFS('سندات القبض'!$K$5:$K$304,'سندات القبض'!$F$5:$F$304,A212))</f>
        <v/>
      </c>
      <c r="Q212" s="46">
        <f>IF(A212="","",N212-P212)</f>
        <v/>
      </c>
      <c r="R212" s="49">
        <f>IF(A212="","",IF(P212&gt;=N212-0.01,"محصّل بالكامل",IF(P212&gt;0,"محصّل جزئياً","غير محصّل")))</f>
        <v/>
      </c>
    </row>
    <row r="213">
      <c r="A213" s="39">
        <f>IF(B213="","","IPC-"&amp;TEXT(ROW()-4,"0000"))</f>
        <v/>
      </c>
      <c r="B213" s="50" t="n"/>
      <c r="C213" s="49">
        <f>IF(B213="","",IFERROR(INDEX('المشروعات'!$B$5:$B$304,MATCH(B213,'المشروعات'!$A$5:$A$304,0)),""))</f>
        <v/>
      </c>
      <c r="D213" s="47" t="n"/>
      <c r="E213" s="47" t="n"/>
      <c r="F213" s="41" t="n"/>
      <c r="G213" s="46">
        <f>IF(B213="","",SUMIFS($H$4:H212,$B$4:B212,B213))</f>
        <v/>
      </c>
      <c r="H213" s="46">
        <f>IF(B213="","",F213-G213)</f>
        <v/>
      </c>
      <c r="I213" s="46">
        <f>IF(B213="","",H213*S_Ret)</f>
        <v/>
      </c>
      <c r="J213" s="41" t="n"/>
      <c r="K213" s="41" t="n"/>
      <c r="L213" s="46">
        <f>IF(B213="","",H213-I213-N(J213)-N(K213))</f>
        <v/>
      </c>
      <c r="M213" s="46">
        <f>IF(B213="","",L213*S_VAT)</f>
        <v/>
      </c>
      <c r="N213" s="46">
        <f>IF(B213="","",L213+M213)</f>
        <v/>
      </c>
      <c r="O213" s="40" t="n"/>
      <c r="P213" s="46">
        <f>IF(A213="","",SUMIFS('سندات القبض'!$K$5:$K$304,'سندات القبض'!$F$5:$F$304,A213))</f>
        <v/>
      </c>
      <c r="Q213" s="46">
        <f>IF(A213="","",N213-P213)</f>
        <v/>
      </c>
      <c r="R213" s="49">
        <f>IF(A213="","",IF(P213&gt;=N213-0.01,"محصّل بالكامل",IF(P213&gt;0,"محصّل جزئياً","غير محصّل")))</f>
        <v/>
      </c>
    </row>
    <row r="214">
      <c r="A214" s="39">
        <f>IF(B214="","","IPC-"&amp;TEXT(ROW()-4,"0000"))</f>
        <v/>
      </c>
      <c r="B214" s="50" t="n"/>
      <c r="C214" s="49">
        <f>IF(B214="","",IFERROR(INDEX('المشروعات'!$B$5:$B$304,MATCH(B214,'المشروعات'!$A$5:$A$304,0)),""))</f>
        <v/>
      </c>
      <c r="D214" s="47" t="n"/>
      <c r="E214" s="47" t="n"/>
      <c r="F214" s="41" t="n"/>
      <c r="G214" s="46">
        <f>IF(B214="","",SUMIFS($H$4:H213,$B$4:B213,B214))</f>
        <v/>
      </c>
      <c r="H214" s="46">
        <f>IF(B214="","",F214-G214)</f>
        <v/>
      </c>
      <c r="I214" s="46">
        <f>IF(B214="","",H214*S_Ret)</f>
        <v/>
      </c>
      <c r="J214" s="41" t="n"/>
      <c r="K214" s="41" t="n"/>
      <c r="L214" s="46">
        <f>IF(B214="","",H214-I214-N(J214)-N(K214))</f>
        <v/>
      </c>
      <c r="M214" s="46">
        <f>IF(B214="","",L214*S_VAT)</f>
        <v/>
      </c>
      <c r="N214" s="46">
        <f>IF(B214="","",L214+M214)</f>
        <v/>
      </c>
      <c r="O214" s="40" t="n"/>
      <c r="P214" s="46">
        <f>IF(A214="","",SUMIFS('سندات القبض'!$K$5:$K$304,'سندات القبض'!$F$5:$F$304,A214))</f>
        <v/>
      </c>
      <c r="Q214" s="46">
        <f>IF(A214="","",N214-P214)</f>
        <v/>
      </c>
      <c r="R214" s="49">
        <f>IF(A214="","",IF(P214&gt;=N214-0.01,"محصّل بالكامل",IF(P214&gt;0,"محصّل جزئياً","غير محصّل")))</f>
        <v/>
      </c>
    </row>
    <row r="215">
      <c r="A215" s="39">
        <f>IF(B215="","","IPC-"&amp;TEXT(ROW()-4,"0000"))</f>
        <v/>
      </c>
      <c r="B215" s="50" t="n"/>
      <c r="C215" s="49">
        <f>IF(B215="","",IFERROR(INDEX('المشروعات'!$B$5:$B$304,MATCH(B215,'المشروعات'!$A$5:$A$304,0)),""))</f>
        <v/>
      </c>
      <c r="D215" s="47" t="n"/>
      <c r="E215" s="47" t="n"/>
      <c r="F215" s="41" t="n"/>
      <c r="G215" s="46">
        <f>IF(B215="","",SUMIFS($H$4:H214,$B$4:B214,B215))</f>
        <v/>
      </c>
      <c r="H215" s="46">
        <f>IF(B215="","",F215-G215)</f>
        <v/>
      </c>
      <c r="I215" s="46">
        <f>IF(B215="","",H215*S_Ret)</f>
        <v/>
      </c>
      <c r="J215" s="41" t="n"/>
      <c r="K215" s="41" t="n"/>
      <c r="L215" s="46">
        <f>IF(B215="","",H215-I215-N(J215)-N(K215))</f>
        <v/>
      </c>
      <c r="M215" s="46">
        <f>IF(B215="","",L215*S_VAT)</f>
        <v/>
      </c>
      <c r="N215" s="46">
        <f>IF(B215="","",L215+M215)</f>
        <v/>
      </c>
      <c r="O215" s="40" t="n"/>
      <c r="P215" s="46">
        <f>IF(A215="","",SUMIFS('سندات القبض'!$K$5:$K$304,'سندات القبض'!$F$5:$F$304,A215))</f>
        <v/>
      </c>
      <c r="Q215" s="46">
        <f>IF(A215="","",N215-P215)</f>
        <v/>
      </c>
      <c r="R215" s="49">
        <f>IF(A215="","",IF(P215&gt;=N215-0.01,"محصّل بالكامل",IF(P215&gt;0,"محصّل جزئياً","غير محصّل")))</f>
        <v/>
      </c>
    </row>
    <row r="216">
      <c r="A216" s="39">
        <f>IF(B216="","","IPC-"&amp;TEXT(ROW()-4,"0000"))</f>
        <v/>
      </c>
      <c r="B216" s="50" t="n"/>
      <c r="C216" s="49">
        <f>IF(B216="","",IFERROR(INDEX('المشروعات'!$B$5:$B$304,MATCH(B216,'المشروعات'!$A$5:$A$304,0)),""))</f>
        <v/>
      </c>
      <c r="D216" s="47" t="n"/>
      <c r="E216" s="47" t="n"/>
      <c r="F216" s="41" t="n"/>
      <c r="G216" s="46">
        <f>IF(B216="","",SUMIFS($H$4:H215,$B$4:B215,B216))</f>
        <v/>
      </c>
      <c r="H216" s="46">
        <f>IF(B216="","",F216-G216)</f>
        <v/>
      </c>
      <c r="I216" s="46">
        <f>IF(B216="","",H216*S_Ret)</f>
        <v/>
      </c>
      <c r="J216" s="41" t="n"/>
      <c r="K216" s="41" t="n"/>
      <c r="L216" s="46">
        <f>IF(B216="","",H216-I216-N(J216)-N(K216))</f>
        <v/>
      </c>
      <c r="M216" s="46">
        <f>IF(B216="","",L216*S_VAT)</f>
        <v/>
      </c>
      <c r="N216" s="46">
        <f>IF(B216="","",L216+M216)</f>
        <v/>
      </c>
      <c r="O216" s="40" t="n"/>
      <c r="P216" s="46">
        <f>IF(A216="","",SUMIFS('سندات القبض'!$K$5:$K$304,'سندات القبض'!$F$5:$F$304,A216))</f>
        <v/>
      </c>
      <c r="Q216" s="46">
        <f>IF(A216="","",N216-P216)</f>
        <v/>
      </c>
      <c r="R216" s="49">
        <f>IF(A216="","",IF(P216&gt;=N216-0.01,"محصّل بالكامل",IF(P216&gt;0,"محصّل جزئياً","غير محصّل")))</f>
        <v/>
      </c>
    </row>
    <row r="217">
      <c r="A217" s="39">
        <f>IF(B217="","","IPC-"&amp;TEXT(ROW()-4,"0000"))</f>
        <v/>
      </c>
      <c r="B217" s="50" t="n"/>
      <c r="C217" s="49">
        <f>IF(B217="","",IFERROR(INDEX('المشروعات'!$B$5:$B$304,MATCH(B217,'المشروعات'!$A$5:$A$304,0)),""))</f>
        <v/>
      </c>
      <c r="D217" s="47" t="n"/>
      <c r="E217" s="47" t="n"/>
      <c r="F217" s="41" t="n"/>
      <c r="G217" s="46">
        <f>IF(B217="","",SUMIFS($H$4:H216,$B$4:B216,B217))</f>
        <v/>
      </c>
      <c r="H217" s="46">
        <f>IF(B217="","",F217-G217)</f>
        <v/>
      </c>
      <c r="I217" s="46">
        <f>IF(B217="","",H217*S_Ret)</f>
        <v/>
      </c>
      <c r="J217" s="41" t="n"/>
      <c r="K217" s="41" t="n"/>
      <c r="L217" s="46">
        <f>IF(B217="","",H217-I217-N(J217)-N(K217))</f>
        <v/>
      </c>
      <c r="M217" s="46">
        <f>IF(B217="","",L217*S_VAT)</f>
        <v/>
      </c>
      <c r="N217" s="46">
        <f>IF(B217="","",L217+M217)</f>
        <v/>
      </c>
      <c r="O217" s="40" t="n"/>
      <c r="P217" s="46">
        <f>IF(A217="","",SUMIFS('سندات القبض'!$K$5:$K$304,'سندات القبض'!$F$5:$F$304,A217))</f>
        <v/>
      </c>
      <c r="Q217" s="46">
        <f>IF(A217="","",N217-P217)</f>
        <v/>
      </c>
      <c r="R217" s="49">
        <f>IF(A217="","",IF(P217&gt;=N217-0.01,"محصّل بالكامل",IF(P217&gt;0,"محصّل جزئياً","غير محصّل")))</f>
        <v/>
      </c>
    </row>
    <row r="218">
      <c r="A218" s="39">
        <f>IF(B218="","","IPC-"&amp;TEXT(ROW()-4,"0000"))</f>
        <v/>
      </c>
      <c r="B218" s="50" t="n"/>
      <c r="C218" s="49">
        <f>IF(B218="","",IFERROR(INDEX('المشروعات'!$B$5:$B$304,MATCH(B218,'المشروعات'!$A$5:$A$304,0)),""))</f>
        <v/>
      </c>
      <c r="D218" s="47" t="n"/>
      <c r="E218" s="47" t="n"/>
      <c r="F218" s="41" t="n"/>
      <c r="G218" s="46">
        <f>IF(B218="","",SUMIFS($H$4:H217,$B$4:B217,B218))</f>
        <v/>
      </c>
      <c r="H218" s="46">
        <f>IF(B218="","",F218-G218)</f>
        <v/>
      </c>
      <c r="I218" s="46">
        <f>IF(B218="","",H218*S_Ret)</f>
        <v/>
      </c>
      <c r="J218" s="41" t="n"/>
      <c r="K218" s="41" t="n"/>
      <c r="L218" s="46">
        <f>IF(B218="","",H218-I218-N(J218)-N(K218))</f>
        <v/>
      </c>
      <c r="M218" s="46">
        <f>IF(B218="","",L218*S_VAT)</f>
        <v/>
      </c>
      <c r="N218" s="46">
        <f>IF(B218="","",L218+M218)</f>
        <v/>
      </c>
      <c r="O218" s="40" t="n"/>
      <c r="P218" s="46">
        <f>IF(A218="","",SUMIFS('سندات القبض'!$K$5:$K$304,'سندات القبض'!$F$5:$F$304,A218))</f>
        <v/>
      </c>
      <c r="Q218" s="46">
        <f>IF(A218="","",N218-P218)</f>
        <v/>
      </c>
      <c r="R218" s="49">
        <f>IF(A218="","",IF(P218&gt;=N218-0.01,"محصّل بالكامل",IF(P218&gt;0,"محصّل جزئياً","غير محصّل")))</f>
        <v/>
      </c>
    </row>
    <row r="219">
      <c r="A219" s="39">
        <f>IF(B219="","","IPC-"&amp;TEXT(ROW()-4,"0000"))</f>
        <v/>
      </c>
      <c r="B219" s="50" t="n"/>
      <c r="C219" s="49">
        <f>IF(B219="","",IFERROR(INDEX('المشروعات'!$B$5:$B$304,MATCH(B219,'المشروعات'!$A$5:$A$304,0)),""))</f>
        <v/>
      </c>
      <c r="D219" s="47" t="n"/>
      <c r="E219" s="47" t="n"/>
      <c r="F219" s="41" t="n"/>
      <c r="G219" s="46">
        <f>IF(B219="","",SUMIFS($H$4:H218,$B$4:B218,B219))</f>
        <v/>
      </c>
      <c r="H219" s="46">
        <f>IF(B219="","",F219-G219)</f>
        <v/>
      </c>
      <c r="I219" s="46">
        <f>IF(B219="","",H219*S_Ret)</f>
        <v/>
      </c>
      <c r="J219" s="41" t="n"/>
      <c r="K219" s="41" t="n"/>
      <c r="L219" s="46">
        <f>IF(B219="","",H219-I219-N(J219)-N(K219))</f>
        <v/>
      </c>
      <c r="M219" s="46">
        <f>IF(B219="","",L219*S_VAT)</f>
        <v/>
      </c>
      <c r="N219" s="46">
        <f>IF(B219="","",L219+M219)</f>
        <v/>
      </c>
      <c r="O219" s="40" t="n"/>
      <c r="P219" s="46">
        <f>IF(A219="","",SUMIFS('سندات القبض'!$K$5:$K$304,'سندات القبض'!$F$5:$F$304,A219))</f>
        <v/>
      </c>
      <c r="Q219" s="46">
        <f>IF(A219="","",N219-P219)</f>
        <v/>
      </c>
      <c r="R219" s="49">
        <f>IF(A219="","",IF(P219&gt;=N219-0.01,"محصّل بالكامل",IF(P219&gt;0,"محصّل جزئياً","غير محصّل")))</f>
        <v/>
      </c>
    </row>
    <row r="220">
      <c r="A220" s="39">
        <f>IF(B220="","","IPC-"&amp;TEXT(ROW()-4,"0000"))</f>
        <v/>
      </c>
      <c r="B220" s="50" t="n"/>
      <c r="C220" s="49">
        <f>IF(B220="","",IFERROR(INDEX('المشروعات'!$B$5:$B$304,MATCH(B220,'المشروعات'!$A$5:$A$304,0)),""))</f>
        <v/>
      </c>
      <c r="D220" s="47" t="n"/>
      <c r="E220" s="47" t="n"/>
      <c r="F220" s="41" t="n"/>
      <c r="G220" s="46">
        <f>IF(B220="","",SUMIFS($H$4:H219,$B$4:B219,B220))</f>
        <v/>
      </c>
      <c r="H220" s="46">
        <f>IF(B220="","",F220-G220)</f>
        <v/>
      </c>
      <c r="I220" s="46">
        <f>IF(B220="","",H220*S_Ret)</f>
        <v/>
      </c>
      <c r="J220" s="41" t="n"/>
      <c r="K220" s="41" t="n"/>
      <c r="L220" s="46">
        <f>IF(B220="","",H220-I220-N(J220)-N(K220))</f>
        <v/>
      </c>
      <c r="M220" s="46">
        <f>IF(B220="","",L220*S_VAT)</f>
        <v/>
      </c>
      <c r="N220" s="46">
        <f>IF(B220="","",L220+M220)</f>
        <v/>
      </c>
      <c r="O220" s="40" t="n"/>
      <c r="P220" s="46">
        <f>IF(A220="","",SUMIFS('سندات القبض'!$K$5:$K$304,'سندات القبض'!$F$5:$F$304,A220))</f>
        <v/>
      </c>
      <c r="Q220" s="46">
        <f>IF(A220="","",N220-P220)</f>
        <v/>
      </c>
      <c r="R220" s="49">
        <f>IF(A220="","",IF(P220&gt;=N220-0.01,"محصّل بالكامل",IF(P220&gt;0,"محصّل جزئياً","غير محصّل")))</f>
        <v/>
      </c>
    </row>
    <row r="221">
      <c r="A221" s="39">
        <f>IF(B221="","","IPC-"&amp;TEXT(ROW()-4,"0000"))</f>
        <v/>
      </c>
      <c r="B221" s="50" t="n"/>
      <c r="C221" s="49">
        <f>IF(B221="","",IFERROR(INDEX('المشروعات'!$B$5:$B$304,MATCH(B221,'المشروعات'!$A$5:$A$304,0)),""))</f>
        <v/>
      </c>
      <c r="D221" s="47" t="n"/>
      <c r="E221" s="47" t="n"/>
      <c r="F221" s="41" t="n"/>
      <c r="G221" s="46">
        <f>IF(B221="","",SUMIFS($H$4:H220,$B$4:B220,B221))</f>
        <v/>
      </c>
      <c r="H221" s="46">
        <f>IF(B221="","",F221-G221)</f>
        <v/>
      </c>
      <c r="I221" s="46">
        <f>IF(B221="","",H221*S_Ret)</f>
        <v/>
      </c>
      <c r="J221" s="41" t="n"/>
      <c r="K221" s="41" t="n"/>
      <c r="L221" s="46">
        <f>IF(B221="","",H221-I221-N(J221)-N(K221))</f>
        <v/>
      </c>
      <c r="M221" s="46">
        <f>IF(B221="","",L221*S_VAT)</f>
        <v/>
      </c>
      <c r="N221" s="46">
        <f>IF(B221="","",L221+M221)</f>
        <v/>
      </c>
      <c r="O221" s="40" t="n"/>
      <c r="P221" s="46">
        <f>IF(A221="","",SUMIFS('سندات القبض'!$K$5:$K$304,'سندات القبض'!$F$5:$F$304,A221))</f>
        <v/>
      </c>
      <c r="Q221" s="46">
        <f>IF(A221="","",N221-P221)</f>
        <v/>
      </c>
      <c r="R221" s="49">
        <f>IF(A221="","",IF(P221&gt;=N221-0.01,"محصّل بالكامل",IF(P221&gt;0,"محصّل جزئياً","غير محصّل")))</f>
        <v/>
      </c>
    </row>
    <row r="222">
      <c r="A222" s="39">
        <f>IF(B222="","","IPC-"&amp;TEXT(ROW()-4,"0000"))</f>
        <v/>
      </c>
      <c r="B222" s="50" t="n"/>
      <c r="C222" s="49">
        <f>IF(B222="","",IFERROR(INDEX('المشروعات'!$B$5:$B$304,MATCH(B222,'المشروعات'!$A$5:$A$304,0)),""))</f>
        <v/>
      </c>
      <c r="D222" s="47" t="n"/>
      <c r="E222" s="47" t="n"/>
      <c r="F222" s="41" t="n"/>
      <c r="G222" s="46">
        <f>IF(B222="","",SUMIFS($H$4:H221,$B$4:B221,B222))</f>
        <v/>
      </c>
      <c r="H222" s="46">
        <f>IF(B222="","",F222-G222)</f>
        <v/>
      </c>
      <c r="I222" s="46">
        <f>IF(B222="","",H222*S_Ret)</f>
        <v/>
      </c>
      <c r="J222" s="41" t="n"/>
      <c r="K222" s="41" t="n"/>
      <c r="L222" s="46">
        <f>IF(B222="","",H222-I222-N(J222)-N(K222))</f>
        <v/>
      </c>
      <c r="M222" s="46">
        <f>IF(B222="","",L222*S_VAT)</f>
        <v/>
      </c>
      <c r="N222" s="46">
        <f>IF(B222="","",L222+M222)</f>
        <v/>
      </c>
      <c r="O222" s="40" t="n"/>
      <c r="P222" s="46">
        <f>IF(A222="","",SUMIFS('سندات القبض'!$K$5:$K$304,'سندات القبض'!$F$5:$F$304,A222))</f>
        <v/>
      </c>
      <c r="Q222" s="46">
        <f>IF(A222="","",N222-P222)</f>
        <v/>
      </c>
      <c r="R222" s="49">
        <f>IF(A222="","",IF(P222&gt;=N222-0.01,"محصّل بالكامل",IF(P222&gt;0,"محصّل جزئياً","غير محصّل")))</f>
        <v/>
      </c>
    </row>
    <row r="223">
      <c r="A223" s="39">
        <f>IF(B223="","","IPC-"&amp;TEXT(ROW()-4,"0000"))</f>
        <v/>
      </c>
      <c r="B223" s="50" t="n"/>
      <c r="C223" s="49">
        <f>IF(B223="","",IFERROR(INDEX('المشروعات'!$B$5:$B$304,MATCH(B223,'المشروعات'!$A$5:$A$304,0)),""))</f>
        <v/>
      </c>
      <c r="D223" s="47" t="n"/>
      <c r="E223" s="47" t="n"/>
      <c r="F223" s="41" t="n"/>
      <c r="G223" s="46">
        <f>IF(B223="","",SUMIFS($H$4:H222,$B$4:B222,B223))</f>
        <v/>
      </c>
      <c r="H223" s="46">
        <f>IF(B223="","",F223-G223)</f>
        <v/>
      </c>
      <c r="I223" s="46">
        <f>IF(B223="","",H223*S_Ret)</f>
        <v/>
      </c>
      <c r="J223" s="41" t="n"/>
      <c r="K223" s="41" t="n"/>
      <c r="L223" s="46">
        <f>IF(B223="","",H223-I223-N(J223)-N(K223))</f>
        <v/>
      </c>
      <c r="M223" s="46">
        <f>IF(B223="","",L223*S_VAT)</f>
        <v/>
      </c>
      <c r="N223" s="46">
        <f>IF(B223="","",L223+M223)</f>
        <v/>
      </c>
      <c r="O223" s="40" t="n"/>
      <c r="P223" s="46">
        <f>IF(A223="","",SUMIFS('سندات القبض'!$K$5:$K$304,'سندات القبض'!$F$5:$F$304,A223))</f>
        <v/>
      </c>
      <c r="Q223" s="46">
        <f>IF(A223="","",N223-P223)</f>
        <v/>
      </c>
      <c r="R223" s="49">
        <f>IF(A223="","",IF(P223&gt;=N223-0.01,"محصّل بالكامل",IF(P223&gt;0,"محصّل جزئياً","غير محصّل")))</f>
        <v/>
      </c>
    </row>
    <row r="224">
      <c r="A224" s="39">
        <f>IF(B224="","","IPC-"&amp;TEXT(ROW()-4,"0000"))</f>
        <v/>
      </c>
      <c r="B224" s="50" t="n"/>
      <c r="C224" s="49">
        <f>IF(B224="","",IFERROR(INDEX('المشروعات'!$B$5:$B$304,MATCH(B224,'المشروعات'!$A$5:$A$304,0)),""))</f>
        <v/>
      </c>
      <c r="D224" s="47" t="n"/>
      <c r="E224" s="47" t="n"/>
      <c r="F224" s="41" t="n"/>
      <c r="G224" s="46">
        <f>IF(B224="","",SUMIFS($H$4:H223,$B$4:B223,B224))</f>
        <v/>
      </c>
      <c r="H224" s="46">
        <f>IF(B224="","",F224-G224)</f>
        <v/>
      </c>
      <c r="I224" s="46">
        <f>IF(B224="","",H224*S_Ret)</f>
        <v/>
      </c>
      <c r="J224" s="41" t="n"/>
      <c r="K224" s="41" t="n"/>
      <c r="L224" s="46">
        <f>IF(B224="","",H224-I224-N(J224)-N(K224))</f>
        <v/>
      </c>
      <c r="M224" s="46">
        <f>IF(B224="","",L224*S_VAT)</f>
        <v/>
      </c>
      <c r="N224" s="46">
        <f>IF(B224="","",L224+M224)</f>
        <v/>
      </c>
      <c r="O224" s="40" t="n"/>
      <c r="P224" s="46">
        <f>IF(A224="","",SUMIFS('سندات القبض'!$K$5:$K$304,'سندات القبض'!$F$5:$F$304,A224))</f>
        <v/>
      </c>
      <c r="Q224" s="46">
        <f>IF(A224="","",N224-P224)</f>
        <v/>
      </c>
      <c r="R224" s="49">
        <f>IF(A224="","",IF(P224&gt;=N224-0.01,"محصّل بالكامل",IF(P224&gt;0,"محصّل جزئياً","غير محصّل")))</f>
        <v/>
      </c>
    </row>
    <row r="225">
      <c r="A225" s="39">
        <f>IF(B225="","","IPC-"&amp;TEXT(ROW()-4,"0000"))</f>
        <v/>
      </c>
      <c r="B225" s="50" t="n"/>
      <c r="C225" s="49">
        <f>IF(B225="","",IFERROR(INDEX('المشروعات'!$B$5:$B$304,MATCH(B225,'المشروعات'!$A$5:$A$304,0)),""))</f>
        <v/>
      </c>
      <c r="D225" s="47" t="n"/>
      <c r="E225" s="47" t="n"/>
      <c r="F225" s="41" t="n"/>
      <c r="G225" s="46">
        <f>IF(B225="","",SUMIFS($H$4:H224,$B$4:B224,B225))</f>
        <v/>
      </c>
      <c r="H225" s="46">
        <f>IF(B225="","",F225-G225)</f>
        <v/>
      </c>
      <c r="I225" s="46">
        <f>IF(B225="","",H225*S_Ret)</f>
        <v/>
      </c>
      <c r="J225" s="41" t="n"/>
      <c r="K225" s="41" t="n"/>
      <c r="L225" s="46">
        <f>IF(B225="","",H225-I225-N(J225)-N(K225))</f>
        <v/>
      </c>
      <c r="M225" s="46">
        <f>IF(B225="","",L225*S_VAT)</f>
        <v/>
      </c>
      <c r="N225" s="46">
        <f>IF(B225="","",L225+M225)</f>
        <v/>
      </c>
      <c r="O225" s="40" t="n"/>
      <c r="P225" s="46">
        <f>IF(A225="","",SUMIFS('سندات القبض'!$K$5:$K$304,'سندات القبض'!$F$5:$F$304,A225))</f>
        <v/>
      </c>
      <c r="Q225" s="46">
        <f>IF(A225="","",N225-P225)</f>
        <v/>
      </c>
      <c r="R225" s="49">
        <f>IF(A225="","",IF(P225&gt;=N225-0.01,"محصّل بالكامل",IF(P225&gt;0,"محصّل جزئياً","غير محصّل")))</f>
        <v/>
      </c>
    </row>
    <row r="226">
      <c r="A226" s="39">
        <f>IF(B226="","","IPC-"&amp;TEXT(ROW()-4,"0000"))</f>
        <v/>
      </c>
      <c r="B226" s="50" t="n"/>
      <c r="C226" s="49">
        <f>IF(B226="","",IFERROR(INDEX('المشروعات'!$B$5:$B$304,MATCH(B226,'المشروعات'!$A$5:$A$304,0)),""))</f>
        <v/>
      </c>
      <c r="D226" s="47" t="n"/>
      <c r="E226" s="47" t="n"/>
      <c r="F226" s="41" t="n"/>
      <c r="G226" s="46">
        <f>IF(B226="","",SUMIFS($H$4:H225,$B$4:B225,B226))</f>
        <v/>
      </c>
      <c r="H226" s="46">
        <f>IF(B226="","",F226-G226)</f>
        <v/>
      </c>
      <c r="I226" s="46">
        <f>IF(B226="","",H226*S_Ret)</f>
        <v/>
      </c>
      <c r="J226" s="41" t="n"/>
      <c r="K226" s="41" t="n"/>
      <c r="L226" s="46">
        <f>IF(B226="","",H226-I226-N(J226)-N(K226))</f>
        <v/>
      </c>
      <c r="M226" s="46">
        <f>IF(B226="","",L226*S_VAT)</f>
        <v/>
      </c>
      <c r="N226" s="46">
        <f>IF(B226="","",L226+M226)</f>
        <v/>
      </c>
      <c r="O226" s="40" t="n"/>
      <c r="P226" s="46">
        <f>IF(A226="","",SUMIFS('سندات القبض'!$K$5:$K$304,'سندات القبض'!$F$5:$F$304,A226))</f>
        <v/>
      </c>
      <c r="Q226" s="46">
        <f>IF(A226="","",N226-P226)</f>
        <v/>
      </c>
      <c r="R226" s="49">
        <f>IF(A226="","",IF(P226&gt;=N226-0.01,"محصّل بالكامل",IF(P226&gt;0,"محصّل جزئياً","غير محصّل")))</f>
        <v/>
      </c>
    </row>
    <row r="227">
      <c r="A227" s="39">
        <f>IF(B227="","","IPC-"&amp;TEXT(ROW()-4,"0000"))</f>
        <v/>
      </c>
      <c r="B227" s="50" t="n"/>
      <c r="C227" s="49">
        <f>IF(B227="","",IFERROR(INDEX('المشروعات'!$B$5:$B$304,MATCH(B227,'المشروعات'!$A$5:$A$304,0)),""))</f>
        <v/>
      </c>
      <c r="D227" s="47" t="n"/>
      <c r="E227" s="47" t="n"/>
      <c r="F227" s="41" t="n"/>
      <c r="G227" s="46">
        <f>IF(B227="","",SUMIFS($H$4:H226,$B$4:B226,B227))</f>
        <v/>
      </c>
      <c r="H227" s="46">
        <f>IF(B227="","",F227-G227)</f>
        <v/>
      </c>
      <c r="I227" s="46">
        <f>IF(B227="","",H227*S_Ret)</f>
        <v/>
      </c>
      <c r="J227" s="41" t="n"/>
      <c r="K227" s="41" t="n"/>
      <c r="L227" s="46">
        <f>IF(B227="","",H227-I227-N(J227)-N(K227))</f>
        <v/>
      </c>
      <c r="M227" s="46">
        <f>IF(B227="","",L227*S_VAT)</f>
        <v/>
      </c>
      <c r="N227" s="46">
        <f>IF(B227="","",L227+M227)</f>
        <v/>
      </c>
      <c r="O227" s="40" t="n"/>
      <c r="P227" s="46">
        <f>IF(A227="","",SUMIFS('سندات القبض'!$K$5:$K$304,'سندات القبض'!$F$5:$F$304,A227))</f>
        <v/>
      </c>
      <c r="Q227" s="46">
        <f>IF(A227="","",N227-P227)</f>
        <v/>
      </c>
      <c r="R227" s="49">
        <f>IF(A227="","",IF(P227&gt;=N227-0.01,"محصّل بالكامل",IF(P227&gt;0,"محصّل جزئياً","غير محصّل")))</f>
        <v/>
      </c>
    </row>
    <row r="228">
      <c r="A228" s="39">
        <f>IF(B228="","","IPC-"&amp;TEXT(ROW()-4,"0000"))</f>
        <v/>
      </c>
      <c r="B228" s="50" t="n"/>
      <c r="C228" s="49">
        <f>IF(B228="","",IFERROR(INDEX('المشروعات'!$B$5:$B$304,MATCH(B228,'المشروعات'!$A$5:$A$304,0)),""))</f>
        <v/>
      </c>
      <c r="D228" s="47" t="n"/>
      <c r="E228" s="47" t="n"/>
      <c r="F228" s="41" t="n"/>
      <c r="G228" s="46">
        <f>IF(B228="","",SUMIFS($H$4:H227,$B$4:B227,B228))</f>
        <v/>
      </c>
      <c r="H228" s="46">
        <f>IF(B228="","",F228-G228)</f>
        <v/>
      </c>
      <c r="I228" s="46">
        <f>IF(B228="","",H228*S_Ret)</f>
        <v/>
      </c>
      <c r="J228" s="41" t="n"/>
      <c r="K228" s="41" t="n"/>
      <c r="L228" s="46">
        <f>IF(B228="","",H228-I228-N(J228)-N(K228))</f>
        <v/>
      </c>
      <c r="M228" s="46">
        <f>IF(B228="","",L228*S_VAT)</f>
        <v/>
      </c>
      <c r="N228" s="46">
        <f>IF(B228="","",L228+M228)</f>
        <v/>
      </c>
      <c r="O228" s="40" t="n"/>
      <c r="P228" s="46">
        <f>IF(A228="","",SUMIFS('سندات القبض'!$K$5:$K$304,'سندات القبض'!$F$5:$F$304,A228))</f>
        <v/>
      </c>
      <c r="Q228" s="46">
        <f>IF(A228="","",N228-P228)</f>
        <v/>
      </c>
      <c r="R228" s="49">
        <f>IF(A228="","",IF(P228&gt;=N228-0.01,"محصّل بالكامل",IF(P228&gt;0,"محصّل جزئياً","غير محصّل")))</f>
        <v/>
      </c>
    </row>
    <row r="229">
      <c r="A229" s="39">
        <f>IF(B229="","","IPC-"&amp;TEXT(ROW()-4,"0000"))</f>
        <v/>
      </c>
      <c r="B229" s="50" t="n"/>
      <c r="C229" s="49">
        <f>IF(B229="","",IFERROR(INDEX('المشروعات'!$B$5:$B$304,MATCH(B229,'المشروعات'!$A$5:$A$304,0)),""))</f>
        <v/>
      </c>
      <c r="D229" s="47" t="n"/>
      <c r="E229" s="47" t="n"/>
      <c r="F229" s="41" t="n"/>
      <c r="G229" s="46">
        <f>IF(B229="","",SUMIFS($H$4:H228,$B$4:B228,B229))</f>
        <v/>
      </c>
      <c r="H229" s="46">
        <f>IF(B229="","",F229-G229)</f>
        <v/>
      </c>
      <c r="I229" s="46">
        <f>IF(B229="","",H229*S_Ret)</f>
        <v/>
      </c>
      <c r="J229" s="41" t="n"/>
      <c r="K229" s="41" t="n"/>
      <c r="L229" s="46">
        <f>IF(B229="","",H229-I229-N(J229)-N(K229))</f>
        <v/>
      </c>
      <c r="M229" s="46">
        <f>IF(B229="","",L229*S_VAT)</f>
        <v/>
      </c>
      <c r="N229" s="46">
        <f>IF(B229="","",L229+M229)</f>
        <v/>
      </c>
      <c r="O229" s="40" t="n"/>
      <c r="P229" s="46">
        <f>IF(A229="","",SUMIFS('سندات القبض'!$K$5:$K$304,'سندات القبض'!$F$5:$F$304,A229))</f>
        <v/>
      </c>
      <c r="Q229" s="46">
        <f>IF(A229="","",N229-P229)</f>
        <v/>
      </c>
      <c r="R229" s="49">
        <f>IF(A229="","",IF(P229&gt;=N229-0.01,"محصّل بالكامل",IF(P229&gt;0,"محصّل جزئياً","غير محصّل")))</f>
        <v/>
      </c>
    </row>
    <row r="230">
      <c r="A230" s="39">
        <f>IF(B230="","","IPC-"&amp;TEXT(ROW()-4,"0000"))</f>
        <v/>
      </c>
      <c r="B230" s="50" t="n"/>
      <c r="C230" s="49">
        <f>IF(B230="","",IFERROR(INDEX('المشروعات'!$B$5:$B$304,MATCH(B230,'المشروعات'!$A$5:$A$304,0)),""))</f>
        <v/>
      </c>
      <c r="D230" s="47" t="n"/>
      <c r="E230" s="47" t="n"/>
      <c r="F230" s="41" t="n"/>
      <c r="G230" s="46">
        <f>IF(B230="","",SUMIFS($H$4:H229,$B$4:B229,B230))</f>
        <v/>
      </c>
      <c r="H230" s="46">
        <f>IF(B230="","",F230-G230)</f>
        <v/>
      </c>
      <c r="I230" s="46">
        <f>IF(B230="","",H230*S_Ret)</f>
        <v/>
      </c>
      <c r="J230" s="41" t="n"/>
      <c r="K230" s="41" t="n"/>
      <c r="L230" s="46">
        <f>IF(B230="","",H230-I230-N(J230)-N(K230))</f>
        <v/>
      </c>
      <c r="M230" s="46">
        <f>IF(B230="","",L230*S_VAT)</f>
        <v/>
      </c>
      <c r="N230" s="46">
        <f>IF(B230="","",L230+M230)</f>
        <v/>
      </c>
      <c r="O230" s="40" t="n"/>
      <c r="P230" s="46">
        <f>IF(A230="","",SUMIFS('سندات القبض'!$K$5:$K$304,'سندات القبض'!$F$5:$F$304,A230))</f>
        <v/>
      </c>
      <c r="Q230" s="46">
        <f>IF(A230="","",N230-P230)</f>
        <v/>
      </c>
      <c r="R230" s="49">
        <f>IF(A230="","",IF(P230&gt;=N230-0.01,"محصّل بالكامل",IF(P230&gt;0,"محصّل جزئياً","غير محصّل")))</f>
        <v/>
      </c>
    </row>
    <row r="231">
      <c r="A231" s="39">
        <f>IF(B231="","","IPC-"&amp;TEXT(ROW()-4,"0000"))</f>
        <v/>
      </c>
      <c r="B231" s="50" t="n"/>
      <c r="C231" s="49">
        <f>IF(B231="","",IFERROR(INDEX('المشروعات'!$B$5:$B$304,MATCH(B231,'المشروعات'!$A$5:$A$304,0)),""))</f>
        <v/>
      </c>
      <c r="D231" s="47" t="n"/>
      <c r="E231" s="47" t="n"/>
      <c r="F231" s="41" t="n"/>
      <c r="G231" s="46">
        <f>IF(B231="","",SUMIFS($H$4:H230,$B$4:B230,B231))</f>
        <v/>
      </c>
      <c r="H231" s="46">
        <f>IF(B231="","",F231-G231)</f>
        <v/>
      </c>
      <c r="I231" s="46">
        <f>IF(B231="","",H231*S_Ret)</f>
        <v/>
      </c>
      <c r="J231" s="41" t="n"/>
      <c r="K231" s="41" t="n"/>
      <c r="L231" s="46">
        <f>IF(B231="","",H231-I231-N(J231)-N(K231))</f>
        <v/>
      </c>
      <c r="M231" s="46">
        <f>IF(B231="","",L231*S_VAT)</f>
        <v/>
      </c>
      <c r="N231" s="46">
        <f>IF(B231="","",L231+M231)</f>
        <v/>
      </c>
      <c r="O231" s="40" t="n"/>
      <c r="P231" s="46">
        <f>IF(A231="","",SUMIFS('سندات القبض'!$K$5:$K$304,'سندات القبض'!$F$5:$F$304,A231))</f>
        <v/>
      </c>
      <c r="Q231" s="46">
        <f>IF(A231="","",N231-P231)</f>
        <v/>
      </c>
      <c r="R231" s="49">
        <f>IF(A231="","",IF(P231&gt;=N231-0.01,"محصّل بالكامل",IF(P231&gt;0,"محصّل جزئياً","غير محصّل")))</f>
        <v/>
      </c>
    </row>
    <row r="232">
      <c r="A232" s="39">
        <f>IF(B232="","","IPC-"&amp;TEXT(ROW()-4,"0000"))</f>
        <v/>
      </c>
      <c r="B232" s="50" t="n"/>
      <c r="C232" s="49">
        <f>IF(B232="","",IFERROR(INDEX('المشروعات'!$B$5:$B$304,MATCH(B232,'المشروعات'!$A$5:$A$304,0)),""))</f>
        <v/>
      </c>
      <c r="D232" s="47" t="n"/>
      <c r="E232" s="47" t="n"/>
      <c r="F232" s="41" t="n"/>
      <c r="G232" s="46">
        <f>IF(B232="","",SUMIFS($H$4:H231,$B$4:B231,B232))</f>
        <v/>
      </c>
      <c r="H232" s="46">
        <f>IF(B232="","",F232-G232)</f>
        <v/>
      </c>
      <c r="I232" s="46">
        <f>IF(B232="","",H232*S_Ret)</f>
        <v/>
      </c>
      <c r="J232" s="41" t="n"/>
      <c r="K232" s="41" t="n"/>
      <c r="L232" s="46">
        <f>IF(B232="","",H232-I232-N(J232)-N(K232))</f>
        <v/>
      </c>
      <c r="M232" s="46">
        <f>IF(B232="","",L232*S_VAT)</f>
        <v/>
      </c>
      <c r="N232" s="46">
        <f>IF(B232="","",L232+M232)</f>
        <v/>
      </c>
      <c r="O232" s="40" t="n"/>
      <c r="P232" s="46">
        <f>IF(A232="","",SUMIFS('سندات القبض'!$K$5:$K$304,'سندات القبض'!$F$5:$F$304,A232))</f>
        <v/>
      </c>
      <c r="Q232" s="46">
        <f>IF(A232="","",N232-P232)</f>
        <v/>
      </c>
      <c r="R232" s="49">
        <f>IF(A232="","",IF(P232&gt;=N232-0.01,"محصّل بالكامل",IF(P232&gt;0,"محصّل جزئياً","غير محصّل")))</f>
        <v/>
      </c>
    </row>
    <row r="233">
      <c r="A233" s="39">
        <f>IF(B233="","","IPC-"&amp;TEXT(ROW()-4,"0000"))</f>
        <v/>
      </c>
      <c r="B233" s="50" t="n"/>
      <c r="C233" s="49">
        <f>IF(B233="","",IFERROR(INDEX('المشروعات'!$B$5:$B$304,MATCH(B233,'المشروعات'!$A$5:$A$304,0)),""))</f>
        <v/>
      </c>
      <c r="D233" s="47" t="n"/>
      <c r="E233" s="47" t="n"/>
      <c r="F233" s="41" t="n"/>
      <c r="G233" s="46">
        <f>IF(B233="","",SUMIFS($H$4:H232,$B$4:B232,B233))</f>
        <v/>
      </c>
      <c r="H233" s="46">
        <f>IF(B233="","",F233-G233)</f>
        <v/>
      </c>
      <c r="I233" s="46">
        <f>IF(B233="","",H233*S_Ret)</f>
        <v/>
      </c>
      <c r="J233" s="41" t="n"/>
      <c r="K233" s="41" t="n"/>
      <c r="L233" s="46">
        <f>IF(B233="","",H233-I233-N(J233)-N(K233))</f>
        <v/>
      </c>
      <c r="M233" s="46">
        <f>IF(B233="","",L233*S_VAT)</f>
        <v/>
      </c>
      <c r="N233" s="46">
        <f>IF(B233="","",L233+M233)</f>
        <v/>
      </c>
      <c r="O233" s="40" t="n"/>
      <c r="P233" s="46">
        <f>IF(A233="","",SUMIFS('سندات القبض'!$K$5:$K$304,'سندات القبض'!$F$5:$F$304,A233))</f>
        <v/>
      </c>
      <c r="Q233" s="46">
        <f>IF(A233="","",N233-P233)</f>
        <v/>
      </c>
      <c r="R233" s="49">
        <f>IF(A233="","",IF(P233&gt;=N233-0.01,"محصّل بالكامل",IF(P233&gt;0,"محصّل جزئياً","غير محصّل")))</f>
        <v/>
      </c>
    </row>
    <row r="234">
      <c r="A234" s="39">
        <f>IF(B234="","","IPC-"&amp;TEXT(ROW()-4,"0000"))</f>
        <v/>
      </c>
      <c r="B234" s="50" t="n"/>
      <c r="C234" s="49">
        <f>IF(B234="","",IFERROR(INDEX('المشروعات'!$B$5:$B$304,MATCH(B234,'المشروعات'!$A$5:$A$304,0)),""))</f>
        <v/>
      </c>
      <c r="D234" s="47" t="n"/>
      <c r="E234" s="47" t="n"/>
      <c r="F234" s="41" t="n"/>
      <c r="G234" s="46">
        <f>IF(B234="","",SUMIFS($H$4:H233,$B$4:B233,B234))</f>
        <v/>
      </c>
      <c r="H234" s="46">
        <f>IF(B234="","",F234-G234)</f>
        <v/>
      </c>
      <c r="I234" s="46">
        <f>IF(B234="","",H234*S_Ret)</f>
        <v/>
      </c>
      <c r="J234" s="41" t="n"/>
      <c r="K234" s="41" t="n"/>
      <c r="L234" s="46">
        <f>IF(B234="","",H234-I234-N(J234)-N(K234))</f>
        <v/>
      </c>
      <c r="M234" s="46">
        <f>IF(B234="","",L234*S_VAT)</f>
        <v/>
      </c>
      <c r="N234" s="46">
        <f>IF(B234="","",L234+M234)</f>
        <v/>
      </c>
      <c r="O234" s="40" t="n"/>
      <c r="P234" s="46">
        <f>IF(A234="","",SUMIFS('سندات القبض'!$K$5:$K$304,'سندات القبض'!$F$5:$F$304,A234))</f>
        <v/>
      </c>
      <c r="Q234" s="46">
        <f>IF(A234="","",N234-P234)</f>
        <v/>
      </c>
      <c r="R234" s="49">
        <f>IF(A234="","",IF(P234&gt;=N234-0.01,"محصّل بالكامل",IF(P234&gt;0,"محصّل جزئياً","غير محصّل")))</f>
        <v/>
      </c>
    </row>
    <row r="235">
      <c r="A235" s="39">
        <f>IF(B235="","","IPC-"&amp;TEXT(ROW()-4,"0000"))</f>
        <v/>
      </c>
      <c r="B235" s="50" t="n"/>
      <c r="C235" s="49">
        <f>IF(B235="","",IFERROR(INDEX('المشروعات'!$B$5:$B$304,MATCH(B235,'المشروعات'!$A$5:$A$304,0)),""))</f>
        <v/>
      </c>
      <c r="D235" s="47" t="n"/>
      <c r="E235" s="47" t="n"/>
      <c r="F235" s="41" t="n"/>
      <c r="G235" s="46">
        <f>IF(B235="","",SUMIFS($H$4:H234,$B$4:B234,B235))</f>
        <v/>
      </c>
      <c r="H235" s="46">
        <f>IF(B235="","",F235-G235)</f>
        <v/>
      </c>
      <c r="I235" s="46">
        <f>IF(B235="","",H235*S_Ret)</f>
        <v/>
      </c>
      <c r="J235" s="41" t="n"/>
      <c r="K235" s="41" t="n"/>
      <c r="L235" s="46">
        <f>IF(B235="","",H235-I235-N(J235)-N(K235))</f>
        <v/>
      </c>
      <c r="M235" s="46">
        <f>IF(B235="","",L235*S_VAT)</f>
        <v/>
      </c>
      <c r="N235" s="46">
        <f>IF(B235="","",L235+M235)</f>
        <v/>
      </c>
      <c r="O235" s="40" t="n"/>
      <c r="P235" s="46">
        <f>IF(A235="","",SUMIFS('سندات القبض'!$K$5:$K$304,'سندات القبض'!$F$5:$F$304,A235))</f>
        <v/>
      </c>
      <c r="Q235" s="46">
        <f>IF(A235="","",N235-P235)</f>
        <v/>
      </c>
      <c r="R235" s="49">
        <f>IF(A235="","",IF(P235&gt;=N235-0.01,"محصّل بالكامل",IF(P235&gt;0,"محصّل جزئياً","غير محصّل")))</f>
        <v/>
      </c>
    </row>
    <row r="236">
      <c r="A236" s="39">
        <f>IF(B236="","","IPC-"&amp;TEXT(ROW()-4,"0000"))</f>
        <v/>
      </c>
      <c r="B236" s="50" t="n"/>
      <c r="C236" s="49">
        <f>IF(B236="","",IFERROR(INDEX('المشروعات'!$B$5:$B$304,MATCH(B236,'المشروعات'!$A$5:$A$304,0)),""))</f>
        <v/>
      </c>
      <c r="D236" s="47" t="n"/>
      <c r="E236" s="47" t="n"/>
      <c r="F236" s="41" t="n"/>
      <c r="G236" s="46">
        <f>IF(B236="","",SUMIFS($H$4:H235,$B$4:B235,B236))</f>
        <v/>
      </c>
      <c r="H236" s="46">
        <f>IF(B236="","",F236-G236)</f>
        <v/>
      </c>
      <c r="I236" s="46">
        <f>IF(B236="","",H236*S_Ret)</f>
        <v/>
      </c>
      <c r="J236" s="41" t="n"/>
      <c r="K236" s="41" t="n"/>
      <c r="L236" s="46">
        <f>IF(B236="","",H236-I236-N(J236)-N(K236))</f>
        <v/>
      </c>
      <c r="M236" s="46">
        <f>IF(B236="","",L236*S_VAT)</f>
        <v/>
      </c>
      <c r="N236" s="46">
        <f>IF(B236="","",L236+M236)</f>
        <v/>
      </c>
      <c r="O236" s="40" t="n"/>
      <c r="P236" s="46">
        <f>IF(A236="","",SUMIFS('سندات القبض'!$K$5:$K$304,'سندات القبض'!$F$5:$F$304,A236))</f>
        <v/>
      </c>
      <c r="Q236" s="46">
        <f>IF(A236="","",N236-P236)</f>
        <v/>
      </c>
      <c r="R236" s="49">
        <f>IF(A236="","",IF(P236&gt;=N236-0.01,"محصّل بالكامل",IF(P236&gt;0,"محصّل جزئياً","غير محصّل")))</f>
        <v/>
      </c>
    </row>
    <row r="237">
      <c r="A237" s="39">
        <f>IF(B237="","","IPC-"&amp;TEXT(ROW()-4,"0000"))</f>
        <v/>
      </c>
      <c r="B237" s="50" t="n"/>
      <c r="C237" s="49">
        <f>IF(B237="","",IFERROR(INDEX('المشروعات'!$B$5:$B$304,MATCH(B237,'المشروعات'!$A$5:$A$304,0)),""))</f>
        <v/>
      </c>
      <c r="D237" s="47" t="n"/>
      <c r="E237" s="47" t="n"/>
      <c r="F237" s="41" t="n"/>
      <c r="G237" s="46">
        <f>IF(B237="","",SUMIFS($H$4:H236,$B$4:B236,B237))</f>
        <v/>
      </c>
      <c r="H237" s="46">
        <f>IF(B237="","",F237-G237)</f>
        <v/>
      </c>
      <c r="I237" s="46">
        <f>IF(B237="","",H237*S_Ret)</f>
        <v/>
      </c>
      <c r="J237" s="41" t="n"/>
      <c r="K237" s="41" t="n"/>
      <c r="L237" s="46">
        <f>IF(B237="","",H237-I237-N(J237)-N(K237))</f>
        <v/>
      </c>
      <c r="M237" s="46">
        <f>IF(B237="","",L237*S_VAT)</f>
        <v/>
      </c>
      <c r="N237" s="46">
        <f>IF(B237="","",L237+M237)</f>
        <v/>
      </c>
      <c r="O237" s="40" t="n"/>
      <c r="P237" s="46">
        <f>IF(A237="","",SUMIFS('سندات القبض'!$K$5:$K$304,'سندات القبض'!$F$5:$F$304,A237))</f>
        <v/>
      </c>
      <c r="Q237" s="46">
        <f>IF(A237="","",N237-P237)</f>
        <v/>
      </c>
      <c r="R237" s="49">
        <f>IF(A237="","",IF(P237&gt;=N237-0.01,"محصّل بالكامل",IF(P237&gt;0,"محصّل جزئياً","غير محصّل")))</f>
        <v/>
      </c>
    </row>
    <row r="238">
      <c r="A238" s="39">
        <f>IF(B238="","","IPC-"&amp;TEXT(ROW()-4,"0000"))</f>
        <v/>
      </c>
      <c r="B238" s="50" t="n"/>
      <c r="C238" s="49">
        <f>IF(B238="","",IFERROR(INDEX('المشروعات'!$B$5:$B$304,MATCH(B238,'المشروعات'!$A$5:$A$304,0)),""))</f>
        <v/>
      </c>
      <c r="D238" s="47" t="n"/>
      <c r="E238" s="47" t="n"/>
      <c r="F238" s="41" t="n"/>
      <c r="G238" s="46">
        <f>IF(B238="","",SUMIFS($H$4:H237,$B$4:B237,B238))</f>
        <v/>
      </c>
      <c r="H238" s="46">
        <f>IF(B238="","",F238-G238)</f>
        <v/>
      </c>
      <c r="I238" s="46">
        <f>IF(B238="","",H238*S_Ret)</f>
        <v/>
      </c>
      <c r="J238" s="41" t="n"/>
      <c r="K238" s="41" t="n"/>
      <c r="L238" s="46">
        <f>IF(B238="","",H238-I238-N(J238)-N(K238))</f>
        <v/>
      </c>
      <c r="M238" s="46">
        <f>IF(B238="","",L238*S_VAT)</f>
        <v/>
      </c>
      <c r="N238" s="46">
        <f>IF(B238="","",L238+M238)</f>
        <v/>
      </c>
      <c r="O238" s="40" t="n"/>
      <c r="P238" s="46">
        <f>IF(A238="","",SUMIFS('سندات القبض'!$K$5:$K$304,'سندات القبض'!$F$5:$F$304,A238))</f>
        <v/>
      </c>
      <c r="Q238" s="46">
        <f>IF(A238="","",N238-P238)</f>
        <v/>
      </c>
      <c r="R238" s="49">
        <f>IF(A238="","",IF(P238&gt;=N238-0.01,"محصّل بالكامل",IF(P238&gt;0,"محصّل جزئياً","غير محصّل")))</f>
        <v/>
      </c>
    </row>
    <row r="239">
      <c r="A239" s="39">
        <f>IF(B239="","","IPC-"&amp;TEXT(ROW()-4,"0000"))</f>
        <v/>
      </c>
      <c r="B239" s="50" t="n"/>
      <c r="C239" s="49">
        <f>IF(B239="","",IFERROR(INDEX('المشروعات'!$B$5:$B$304,MATCH(B239,'المشروعات'!$A$5:$A$304,0)),""))</f>
        <v/>
      </c>
      <c r="D239" s="47" t="n"/>
      <c r="E239" s="47" t="n"/>
      <c r="F239" s="41" t="n"/>
      <c r="G239" s="46">
        <f>IF(B239="","",SUMIFS($H$4:H238,$B$4:B238,B239))</f>
        <v/>
      </c>
      <c r="H239" s="46">
        <f>IF(B239="","",F239-G239)</f>
        <v/>
      </c>
      <c r="I239" s="46">
        <f>IF(B239="","",H239*S_Ret)</f>
        <v/>
      </c>
      <c r="J239" s="41" t="n"/>
      <c r="K239" s="41" t="n"/>
      <c r="L239" s="46">
        <f>IF(B239="","",H239-I239-N(J239)-N(K239))</f>
        <v/>
      </c>
      <c r="M239" s="46">
        <f>IF(B239="","",L239*S_VAT)</f>
        <v/>
      </c>
      <c r="N239" s="46">
        <f>IF(B239="","",L239+M239)</f>
        <v/>
      </c>
      <c r="O239" s="40" t="n"/>
      <c r="P239" s="46">
        <f>IF(A239="","",SUMIFS('سندات القبض'!$K$5:$K$304,'سندات القبض'!$F$5:$F$304,A239))</f>
        <v/>
      </c>
      <c r="Q239" s="46">
        <f>IF(A239="","",N239-P239)</f>
        <v/>
      </c>
      <c r="R239" s="49">
        <f>IF(A239="","",IF(P239&gt;=N239-0.01,"محصّل بالكامل",IF(P239&gt;0,"محصّل جزئياً","غير محصّل")))</f>
        <v/>
      </c>
    </row>
    <row r="240">
      <c r="A240" s="39">
        <f>IF(B240="","","IPC-"&amp;TEXT(ROW()-4,"0000"))</f>
        <v/>
      </c>
      <c r="B240" s="50" t="n"/>
      <c r="C240" s="49">
        <f>IF(B240="","",IFERROR(INDEX('المشروعات'!$B$5:$B$304,MATCH(B240,'المشروعات'!$A$5:$A$304,0)),""))</f>
        <v/>
      </c>
      <c r="D240" s="47" t="n"/>
      <c r="E240" s="47" t="n"/>
      <c r="F240" s="41" t="n"/>
      <c r="G240" s="46">
        <f>IF(B240="","",SUMIFS($H$4:H239,$B$4:B239,B240))</f>
        <v/>
      </c>
      <c r="H240" s="46">
        <f>IF(B240="","",F240-G240)</f>
        <v/>
      </c>
      <c r="I240" s="46">
        <f>IF(B240="","",H240*S_Ret)</f>
        <v/>
      </c>
      <c r="J240" s="41" t="n"/>
      <c r="K240" s="41" t="n"/>
      <c r="L240" s="46">
        <f>IF(B240="","",H240-I240-N(J240)-N(K240))</f>
        <v/>
      </c>
      <c r="M240" s="46">
        <f>IF(B240="","",L240*S_VAT)</f>
        <v/>
      </c>
      <c r="N240" s="46">
        <f>IF(B240="","",L240+M240)</f>
        <v/>
      </c>
      <c r="O240" s="40" t="n"/>
      <c r="P240" s="46">
        <f>IF(A240="","",SUMIFS('سندات القبض'!$K$5:$K$304,'سندات القبض'!$F$5:$F$304,A240))</f>
        <v/>
      </c>
      <c r="Q240" s="46">
        <f>IF(A240="","",N240-P240)</f>
        <v/>
      </c>
      <c r="R240" s="49">
        <f>IF(A240="","",IF(P240&gt;=N240-0.01,"محصّل بالكامل",IF(P240&gt;0,"محصّل جزئياً","غير محصّل")))</f>
        <v/>
      </c>
    </row>
    <row r="241">
      <c r="A241" s="39">
        <f>IF(B241="","","IPC-"&amp;TEXT(ROW()-4,"0000"))</f>
        <v/>
      </c>
      <c r="B241" s="50" t="n"/>
      <c r="C241" s="49">
        <f>IF(B241="","",IFERROR(INDEX('المشروعات'!$B$5:$B$304,MATCH(B241,'المشروعات'!$A$5:$A$304,0)),""))</f>
        <v/>
      </c>
      <c r="D241" s="47" t="n"/>
      <c r="E241" s="47" t="n"/>
      <c r="F241" s="41" t="n"/>
      <c r="G241" s="46">
        <f>IF(B241="","",SUMIFS($H$4:H240,$B$4:B240,B241))</f>
        <v/>
      </c>
      <c r="H241" s="46">
        <f>IF(B241="","",F241-G241)</f>
        <v/>
      </c>
      <c r="I241" s="46">
        <f>IF(B241="","",H241*S_Ret)</f>
        <v/>
      </c>
      <c r="J241" s="41" t="n"/>
      <c r="K241" s="41" t="n"/>
      <c r="L241" s="46">
        <f>IF(B241="","",H241-I241-N(J241)-N(K241))</f>
        <v/>
      </c>
      <c r="M241" s="46">
        <f>IF(B241="","",L241*S_VAT)</f>
        <v/>
      </c>
      <c r="N241" s="46">
        <f>IF(B241="","",L241+M241)</f>
        <v/>
      </c>
      <c r="O241" s="40" t="n"/>
      <c r="P241" s="46">
        <f>IF(A241="","",SUMIFS('سندات القبض'!$K$5:$K$304,'سندات القبض'!$F$5:$F$304,A241))</f>
        <v/>
      </c>
      <c r="Q241" s="46">
        <f>IF(A241="","",N241-P241)</f>
        <v/>
      </c>
      <c r="R241" s="49">
        <f>IF(A241="","",IF(P241&gt;=N241-0.01,"محصّل بالكامل",IF(P241&gt;0,"محصّل جزئياً","غير محصّل")))</f>
        <v/>
      </c>
    </row>
    <row r="242">
      <c r="A242" s="39">
        <f>IF(B242="","","IPC-"&amp;TEXT(ROW()-4,"0000"))</f>
        <v/>
      </c>
      <c r="B242" s="50" t="n"/>
      <c r="C242" s="49">
        <f>IF(B242="","",IFERROR(INDEX('المشروعات'!$B$5:$B$304,MATCH(B242,'المشروعات'!$A$5:$A$304,0)),""))</f>
        <v/>
      </c>
      <c r="D242" s="47" t="n"/>
      <c r="E242" s="47" t="n"/>
      <c r="F242" s="41" t="n"/>
      <c r="G242" s="46">
        <f>IF(B242="","",SUMIFS($H$4:H241,$B$4:B241,B242))</f>
        <v/>
      </c>
      <c r="H242" s="46">
        <f>IF(B242="","",F242-G242)</f>
        <v/>
      </c>
      <c r="I242" s="46">
        <f>IF(B242="","",H242*S_Ret)</f>
        <v/>
      </c>
      <c r="J242" s="41" t="n"/>
      <c r="K242" s="41" t="n"/>
      <c r="L242" s="46">
        <f>IF(B242="","",H242-I242-N(J242)-N(K242))</f>
        <v/>
      </c>
      <c r="M242" s="46">
        <f>IF(B242="","",L242*S_VAT)</f>
        <v/>
      </c>
      <c r="N242" s="46">
        <f>IF(B242="","",L242+M242)</f>
        <v/>
      </c>
      <c r="O242" s="40" t="n"/>
      <c r="P242" s="46">
        <f>IF(A242="","",SUMIFS('سندات القبض'!$K$5:$K$304,'سندات القبض'!$F$5:$F$304,A242))</f>
        <v/>
      </c>
      <c r="Q242" s="46">
        <f>IF(A242="","",N242-P242)</f>
        <v/>
      </c>
      <c r="R242" s="49">
        <f>IF(A242="","",IF(P242&gt;=N242-0.01,"محصّل بالكامل",IF(P242&gt;0,"محصّل جزئياً","غير محصّل")))</f>
        <v/>
      </c>
    </row>
    <row r="243">
      <c r="A243" s="39">
        <f>IF(B243="","","IPC-"&amp;TEXT(ROW()-4,"0000"))</f>
        <v/>
      </c>
      <c r="B243" s="50" t="n"/>
      <c r="C243" s="49">
        <f>IF(B243="","",IFERROR(INDEX('المشروعات'!$B$5:$B$304,MATCH(B243,'المشروعات'!$A$5:$A$304,0)),""))</f>
        <v/>
      </c>
      <c r="D243" s="47" t="n"/>
      <c r="E243" s="47" t="n"/>
      <c r="F243" s="41" t="n"/>
      <c r="G243" s="46">
        <f>IF(B243="","",SUMIFS($H$4:H242,$B$4:B242,B243))</f>
        <v/>
      </c>
      <c r="H243" s="46">
        <f>IF(B243="","",F243-G243)</f>
        <v/>
      </c>
      <c r="I243" s="46">
        <f>IF(B243="","",H243*S_Ret)</f>
        <v/>
      </c>
      <c r="J243" s="41" t="n"/>
      <c r="K243" s="41" t="n"/>
      <c r="L243" s="46">
        <f>IF(B243="","",H243-I243-N(J243)-N(K243))</f>
        <v/>
      </c>
      <c r="M243" s="46">
        <f>IF(B243="","",L243*S_VAT)</f>
        <v/>
      </c>
      <c r="N243" s="46">
        <f>IF(B243="","",L243+M243)</f>
        <v/>
      </c>
      <c r="O243" s="40" t="n"/>
      <c r="P243" s="46">
        <f>IF(A243="","",SUMIFS('سندات القبض'!$K$5:$K$304,'سندات القبض'!$F$5:$F$304,A243))</f>
        <v/>
      </c>
      <c r="Q243" s="46">
        <f>IF(A243="","",N243-P243)</f>
        <v/>
      </c>
      <c r="R243" s="49">
        <f>IF(A243="","",IF(P243&gt;=N243-0.01,"محصّل بالكامل",IF(P243&gt;0,"محصّل جزئياً","غير محصّل")))</f>
        <v/>
      </c>
    </row>
    <row r="244">
      <c r="A244" s="39">
        <f>IF(B244="","","IPC-"&amp;TEXT(ROW()-4,"0000"))</f>
        <v/>
      </c>
      <c r="B244" s="50" t="n"/>
      <c r="C244" s="49">
        <f>IF(B244="","",IFERROR(INDEX('المشروعات'!$B$5:$B$304,MATCH(B244,'المشروعات'!$A$5:$A$304,0)),""))</f>
        <v/>
      </c>
      <c r="D244" s="47" t="n"/>
      <c r="E244" s="47" t="n"/>
      <c r="F244" s="41" t="n"/>
      <c r="G244" s="46">
        <f>IF(B244="","",SUMIFS($H$4:H243,$B$4:B243,B244))</f>
        <v/>
      </c>
      <c r="H244" s="46">
        <f>IF(B244="","",F244-G244)</f>
        <v/>
      </c>
      <c r="I244" s="46">
        <f>IF(B244="","",H244*S_Ret)</f>
        <v/>
      </c>
      <c r="J244" s="41" t="n"/>
      <c r="K244" s="41" t="n"/>
      <c r="L244" s="46">
        <f>IF(B244="","",H244-I244-N(J244)-N(K244))</f>
        <v/>
      </c>
      <c r="M244" s="46">
        <f>IF(B244="","",L244*S_VAT)</f>
        <v/>
      </c>
      <c r="N244" s="46">
        <f>IF(B244="","",L244+M244)</f>
        <v/>
      </c>
      <c r="O244" s="40" t="n"/>
      <c r="P244" s="46">
        <f>IF(A244="","",SUMIFS('سندات القبض'!$K$5:$K$304,'سندات القبض'!$F$5:$F$304,A244))</f>
        <v/>
      </c>
      <c r="Q244" s="46">
        <f>IF(A244="","",N244-P244)</f>
        <v/>
      </c>
      <c r="R244" s="49">
        <f>IF(A244="","",IF(P244&gt;=N244-0.01,"محصّل بالكامل",IF(P244&gt;0,"محصّل جزئياً","غير محصّل")))</f>
        <v/>
      </c>
    </row>
    <row r="245">
      <c r="A245" s="39">
        <f>IF(B245="","","IPC-"&amp;TEXT(ROW()-4,"0000"))</f>
        <v/>
      </c>
      <c r="B245" s="50" t="n"/>
      <c r="C245" s="49">
        <f>IF(B245="","",IFERROR(INDEX('المشروعات'!$B$5:$B$304,MATCH(B245,'المشروعات'!$A$5:$A$304,0)),""))</f>
        <v/>
      </c>
      <c r="D245" s="47" t="n"/>
      <c r="E245" s="47" t="n"/>
      <c r="F245" s="41" t="n"/>
      <c r="G245" s="46">
        <f>IF(B245="","",SUMIFS($H$4:H244,$B$4:B244,B245))</f>
        <v/>
      </c>
      <c r="H245" s="46">
        <f>IF(B245="","",F245-G245)</f>
        <v/>
      </c>
      <c r="I245" s="46">
        <f>IF(B245="","",H245*S_Ret)</f>
        <v/>
      </c>
      <c r="J245" s="41" t="n"/>
      <c r="K245" s="41" t="n"/>
      <c r="L245" s="46">
        <f>IF(B245="","",H245-I245-N(J245)-N(K245))</f>
        <v/>
      </c>
      <c r="M245" s="46">
        <f>IF(B245="","",L245*S_VAT)</f>
        <v/>
      </c>
      <c r="N245" s="46">
        <f>IF(B245="","",L245+M245)</f>
        <v/>
      </c>
      <c r="O245" s="40" t="n"/>
      <c r="P245" s="46">
        <f>IF(A245="","",SUMIFS('سندات القبض'!$K$5:$K$304,'سندات القبض'!$F$5:$F$304,A245))</f>
        <v/>
      </c>
      <c r="Q245" s="46">
        <f>IF(A245="","",N245-P245)</f>
        <v/>
      </c>
      <c r="R245" s="49">
        <f>IF(A245="","",IF(P245&gt;=N245-0.01,"محصّل بالكامل",IF(P245&gt;0,"محصّل جزئياً","غير محصّل")))</f>
        <v/>
      </c>
    </row>
    <row r="246">
      <c r="A246" s="39">
        <f>IF(B246="","","IPC-"&amp;TEXT(ROW()-4,"0000"))</f>
        <v/>
      </c>
      <c r="B246" s="50" t="n"/>
      <c r="C246" s="49">
        <f>IF(B246="","",IFERROR(INDEX('المشروعات'!$B$5:$B$304,MATCH(B246,'المشروعات'!$A$5:$A$304,0)),""))</f>
        <v/>
      </c>
      <c r="D246" s="47" t="n"/>
      <c r="E246" s="47" t="n"/>
      <c r="F246" s="41" t="n"/>
      <c r="G246" s="46">
        <f>IF(B246="","",SUMIFS($H$4:H245,$B$4:B245,B246))</f>
        <v/>
      </c>
      <c r="H246" s="46">
        <f>IF(B246="","",F246-G246)</f>
        <v/>
      </c>
      <c r="I246" s="46">
        <f>IF(B246="","",H246*S_Ret)</f>
        <v/>
      </c>
      <c r="J246" s="41" t="n"/>
      <c r="K246" s="41" t="n"/>
      <c r="L246" s="46">
        <f>IF(B246="","",H246-I246-N(J246)-N(K246))</f>
        <v/>
      </c>
      <c r="M246" s="46">
        <f>IF(B246="","",L246*S_VAT)</f>
        <v/>
      </c>
      <c r="N246" s="46">
        <f>IF(B246="","",L246+M246)</f>
        <v/>
      </c>
      <c r="O246" s="40" t="n"/>
      <c r="P246" s="46">
        <f>IF(A246="","",SUMIFS('سندات القبض'!$K$5:$K$304,'سندات القبض'!$F$5:$F$304,A246))</f>
        <v/>
      </c>
      <c r="Q246" s="46">
        <f>IF(A246="","",N246-P246)</f>
        <v/>
      </c>
      <c r="R246" s="49">
        <f>IF(A246="","",IF(P246&gt;=N246-0.01,"محصّل بالكامل",IF(P246&gt;0,"محصّل جزئياً","غير محصّل")))</f>
        <v/>
      </c>
    </row>
    <row r="247">
      <c r="A247" s="39">
        <f>IF(B247="","","IPC-"&amp;TEXT(ROW()-4,"0000"))</f>
        <v/>
      </c>
      <c r="B247" s="50" t="n"/>
      <c r="C247" s="49">
        <f>IF(B247="","",IFERROR(INDEX('المشروعات'!$B$5:$B$304,MATCH(B247,'المشروعات'!$A$5:$A$304,0)),""))</f>
        <v/>
      </c>
      <c r="D247" s="47" t="n"/>
      <c r="E247" s="47" t="n"/>
      <c r="F247" s="41" t="n"/>
      <c r="G247" s="46">
        <f>IF(B247="","",SUMIFS($H$4:H246,$B$4:B246,B247))</f>
        <v/>
      </c>
      <c r="H247" s="46">
        <f>IF(B247="","",F247-G247)</f>
        <v/>
      </c>
      <c r="I247" s="46">
        <f>IF(B247="","",H247*S_Ret)</f>
        <v/>
      </c>
      <c r="J247" s="41" t="n"/>
      <c r="K247" s="41" t="n"/>
      <c r="L247" s="46">
        <f>IF(B247="","",H247-I247-N(J247)-N(K247))</f>
        <v/>
      </c>
      <c r="M247" s="46">
        <f>IF(B247="","",L247*S_VAT)</f>
        <v/>
      </c>
      <c r="N247" s="46">
        <f>IF(B247="","",L247+M247)</f>
        <v/>
      </c>
      <c r="O247" s="40" t="n"/>
      <c r="P247" s="46">
        <f>IF(A247="","",SUMIFS('سندات القبض'!$K$5:$K$304,'سندات القبض'!$F$5:$F$304,A247))</f>
        <v/>
      </c>
      <c r="Q247" s="46">
        <f>IF(A247="","",N247-P247)</f>
        <v/>
      </c>
      <c r="R247" s="49">
        <f>IF(A247="","",IF(P247&gt;=N247-0.01,"محصّل بالكامل",IF(P247&gt;0,"محصّل جزئياً","غير محصّل")))</f>
        <v/>
      </c>
    </row>
    <row r="248">
      <c r="A248" s="39">
        <f>IF(B248="","","IPC-"&amp;TEXT(ROW()-4,"0000"))</f>
        <v/>
      </c>
      <c r="B248" s="50" t="n"/>
      <c r="C248" s="49">
        <f>IF(B248="","",IFERROR(INDEX('المشروعات'!$B$5:$B$304,MATCH(B248,'المشروعات'!$A$5:$A$304,0)),""))</f>
        <v/>
      </c>
      <c r="D248" s="47" t="n"/>
      <c r="E248" s="47" t="n"/>
      <c r="F248" s="41" t="n"/>
      <c r="G248" s="46">
        <f>IF(B248="","",SUMIFS($H$4:H247,$B$4:B247,B248))</f>
        <v/>
      </c>
      <c r="H248" s="46">
        <f>IF(B248="","",F248-G248)</f>
        <v/>
      </c>
      <c r="I248" s="46">
        <f>IF(B248="","",H248*S_Ret)</f>
        <v/>
      </c>
      <c r="J248" s="41" t="n"/>
      <c r="K248" s="41" t="n"/>
      <c r="L248" s="46">
        <f>IF(B248="","",H248-I248-N(J248)-N(K248))</f>
        <v/>
      </c>
      <c r="M248" s="46">
        <f>IF(B248="","",L248*S_VAT)</f>
        <v/>
      </c>
      <c r="N248" s="46">
        <f>IF(B248="","",L248+M248)</f>
        <v/>
      </c>
      <c r="O248" s="40" t="n"/>
      <c r="P248" s="46">
        <f>IF(A248="","",SUMIFS('سندات القبض'!$K$5:$K$304,'سندات القبض'!$F$5:$F$304,A248))</f>
        <v/>
      </c>
      <c r="Q248" s="46">
        <f>IF(A248="","",N248-P248)</f>
        <v/>
      </c>
      <c r="R248" s="49">
        <f>IF(A248="","",IF(P248&gt;=N248-0.01,"محصّل بالكامل",IF(P248&gt;0,"محصّل جزئياً","غير محصّل")))</f>
        <v/>
      </c>
    </row>
    <row r="249">
      <c r="A249" s="39">
        <f>IF(B249="","","IPC-"&amp;TEXT(ROW()-4,"0000"))</f>
        <v/>
      </c>
      <c r="B249" s="50" t="n"/>
      <c r="C249" s="49">
        <f>IF(B249="","",IFERROR(INDEX('المشروعات'!$B$5:$B$304,MATCH(B249,'المشروعات'!$A$5:$A$304,0)),""))</f>
        <v/>
      </c>
      <c r="D249" s="47" t="n"/>
      <c r="E249" s="47" t="n"/>
      <c r="F249" s="41" t="n"/>
      <c r="G249" s="46">
        <f>IF(B249="","",SUMIFS($H$4:H248,$B$4:B248,B249))</f>
        <v/>
      </c>
      <c r="H249" s="46">
        <f>IF(B249="","",F249-G249)</f>
        <v/>
      </c>
      <c r="I249" s="46">
        <f>IF(B249="","",H249*S_Ret)</f>
        <v/>
      </c>
      <c r="J249" s="41" t="n"/>
      <c r="K249" s="41" t="n"/>
      <c r="L249" s="46">
        <f>IF(B249="","",H249-I249-N(J249)-N(K249))</f>
        <v/>
      </c>
      <c r="M249" s="46">
        <f>IF(B249="","",L249*S_VAT)</f>
        <v/>
      </c>
      <c r="N249" s="46">
        <f>IF(B249="","",L249+M249)</f>
        <v/>
      </c>
      <c r="O249" s="40" t="n"/>
      <c r="P249" s="46">
        <f>IF(A249="","",SUMIFS('سندات القبض'!$K$5:$K$304,'سندات القبض'!$F$5:$F$304,A249))</f>
        <v/>
      </c>
      <c r="Q249" s="46">
        <f>IF(A249="","",N249-P249)</f>
        <v/>
      </c>
      <c r="R249" s="49">
        <f>IF(A249="","",IF(P249&gt;=N249-0.01,"محصّل بالكامل",IF(P249&gt;0,"محصّل جزئياً","غير محصّل")))</f>
        <v/>
      </c>
    </row>
    <row r="250">
      <c r="A250" s="39">
        <f>IF(B250="","","IPC-"&amp;TEXT(ROW()-4,"0000"))</f>
        <v/>
      </c>
      <c r="B250" s="50" t="n"/>
      <c r="C250" s="49">
        <f>IF(B250="","",IFERROR(INDEX('المشروعات'!$B$5:$B$304,MATCH(B250,'المشروعات'!$A$5:$A$304,0)),""))</f>
        <v/>
      </c>
      <c r="D250" s="47" t="n"/>
      <c r="E250" s="47" t="n"/>
      <c r="F250" s="41" t="n"/>
      <c r="G250" s="46">
        <f>IF(B250="","",SUMIFS($H$4:H249,$B$4:B249,B250))</f>
        <v/>
      </c>
      <c r="H250" s="46">
        <f>IF(B250="","",F250-G250)</f>
        <v/>
      </c>
      <c r="I250" s="46">
        <f>IF(B250="","",H250*S_Ret)</f>
        <v/>
      </c>
      <c r="J250" s="41" t="n"/>
      <c r="K250" s="41" t="n"/>
      <c r="L250" s="46">
        <f>IF(B250="","",H250-I250-N(J250)-N(K250))</f>
        <v/>
      </c>
      <c r="M250" s="46">
        <f>IF(B250="","",L250*S_VAT)</f>
        <v/>
      </c>
      <c r="N250" s="46">
        <f>IF(B250="","",L250+M250)</f>
        <v/>
      </c>
      <c r="O250" s="40" t="n"/>
      <c r="P250" s="46">
        <f>IF(A250="","",SUMIFS('سندات القبض'!$K$5:$K$304,'سندات القبض'!$F$5:$F$304,A250))</f>
        <v/>
      </c>
      <c r="Q250" s="46">
        <f>IF(A250="","",N250-P250)</f>
        <v/>
      </c>
      <c r="R250" s="49">
        <f>IF(A250="","",IF(P250&gt;=N250-0.01,"محصّل بالكامل",IF(P250&gt;0,"محصّل جزئياً","غير محصّل")))</f>
        <v/>
      </c>
    </row>
    <row r="251">
      <c r="A251" s="39">
        <f>IF(B251="","","IPC-"&amp;TEXT(ROW()-4,"0000"))</f>
        <v/>
      </c>
      <c r="B251" s="50" t="n"/>
      <c r="C251" s="49">
        <f>IF(B251="","",IFERROR(INDEX('المشروعات'!$B$5:$B$304,MATCH(B251,'المشروعات'!$A$5:$A$304,0)),""))</f>
        <v/>
      </c>
      <c r="D251" s="47" t="n"/>
      <c r="E251" s="47" t="n"/>
      <c r="F251" s="41" t="n"/>
      <c r="G251" s="46">
        <f>IF(B251="","",SUMIFS($H$4:H250,$B$4:B250,B251))</f>
        <v/>
      </c>
      <c r="H251" s="46">
        <f>IF(B251="","",F251-G251)</f>
        <v/>
      </c>
      <c r="I251" s="46">
        <f>IF(B251="","",H251*S_Ret)</f>
        <v/>
      </c>
      <c r="J251" s="41" t="n"/>
      <c r="K251" s="41" t="n"/>
      <c r="L251" s="46">
        <f>IF(B251="","",H251-I251-N(J251)-N(K251))</f>
        <v/>
      </c>
      <c r="M251" s="46">
        <f>IF(B251="","",L251*S_VAT)</f>
        <v/>
      </c>
      <c r="N251" s="46">
        <f>IF(B251="","",L251+M251)</f>
        <v/>
      </c>
      <c r="O251" s="40" t="n"/>
      <c r="P251" s="46">
        <f>IF(A251="","",SUMIFS('سندات القبض'!$K$5:$K$304,'سندات القبض'!$F$5:$F$304,A251))</f>
        <v/>
      </c>
      <c r="Q251" s="46">
        <f>IF(A251="","",N251-P251)</f>
        <v/>
      </c>
      <c r="R251" s="49">
        <f>IF(A251="","",IF(P251&gt;=N251-0.01,"محصّل بالكامل",IF(P251&gt;0,"محصّل جزئياً","غير محصّل")))</f>
        <v/>
      </c>
    </row>
    <row r="252">
      <c r="A252" s="39">
        <f>IF(B252="","","IPC-"&amp;TEXT(ROW()-4,"0000"))</f>
        <v/>
      </c>
      <c r="B252" s="50" t="n"/>
      <c r="C252" s="49">
        <f>IF(B252="","",IFERROR(INDEX('المشروعات'!$B$5:$B$304,MATCH(B252,'المشروعات'!$A$5:$A$304,0)),""))</f>
        <v/>
      </c>
      <c r="D252" s="47" t="n"/>
      <c r="E252" s="47" t="n"/>
      <c r="F252" s="41" t="n"/>
      <c r="G252" s="46">
        <f>IF(B252="","",SUMIFS($H$4:H251,$B$4:B251,B252))</f>
        <v/>
      </c>
      <c r="H252" s="46">
        <f>IF(B252="","",F252-G252)</f>
        <v/>
      </c>
      <c r="I252" s="46">
        <f>IF(B252="","",H252*S_Ret)</f>
        <v/>
      </c>
      <c r="J252" s="41" t="n"/>
      <c r="K252" s="41" t="n"/>
      <c r="L252" s="46">
        <f>IF(B252="","",H252-I252-N(J252)-N(K252))</f>
        <v/>
      </c>
      <c r="M252" s="46">
        <f>IF(B252="","",L252*S_VAT)</f>
        <v/>
      </c>
      <c r="N252" s="46">
        <f>IF(B252="","",L252+M252)</f>
        <v/>
      </c>
      <c r="O252" s="40" t="n"/>
      <c r="P252" s="46">
        <f>IF(A252="","",SUMIFS('سندات القبض'!$K$5:$K$304,'سندات القبض'!$F$5:$F$304,A252))</f>
        <v/>
      </c>
      <c r="Q252" s="46">
        <f>IF(A252="","",N252-P252)</f>
        <v/>
      </c>
      <c r="R252" s="49">
        <f>IF(A252="","",IF(P252&gt;=N252-0.01,"محصّل بالكامل",IF(P252&gt;0,"محصّل جزئياً","غير محصّل")))</f>
        <v/>
      </c>
    </row>
    <row r="253">
      <c r="A253" s="39">
        <f>IF(B253="","","IPC-"&amp;TEXT(ROW()-4,"0000"))</f>
        <v/>
      </c>
      <c r="B253" s="50" t="n"/>
      <c r="C253" s="49">
        <f>IF(B253="","",IFERROR(INDEX('المشروعات'!$B$5:$B$304,MATCH(B253,'المشروعات'!$A$5:$A$304,0)),""))</f>
        <v/>
      </c>
      <c r="D253" s="47" t="n"/>
      <c r="E253" s="47" t="n"/>
      <c r="F253" s="41" t="n"/>
      <c r="G253" s="46">
        <f>IF(B253="","",SUMIFS($H$4:H252,$B$4:B252,B253))</f>
        <v/>
      </c>
      <c r="H253" s="46">
        <f>IF(B253="","",F253-G253)</f>
        <v/>
      </c>
      <c r="I253" s="46">
        <f>IF(B253="","",H253*S_Ret)</f>
        <v/>
      </c>
      <c r="J253" s="41" t="n"/>
      <c r="K253" s="41" t="n"/>
      <c r="L253" s="46">
        <f>IF(B253="","",H253-I253-N(J253)-N(K253))</f>
        <v/>
      </c>
      <c r="M253" s="46">
        <f>IF(B253="","",L253*S_VAT)</f>
        <v/>
      </c>
      <c r="N253" s="46">
        <f>IF(B253="","",L253+M253)</f>
        <v/>
      </c>
      <c r="O253" s="40" t="n"/>
      <c r="P253" s="46">
        <f>IF(A253="","",SUMIFS('سندات القبض'!$K$5:$K$304,'سندات القبض'!$F$5:$F$304,A253))</f>
        <v/>
      </c>
      <c r="Q253" s="46">
        <f>IF(A253="","",N253-P253)</f>
        <v/>
      </c>
      <c r="R253" s="49">
        <f>IF(A253="","",IF(P253&gt;=N253-0.01,"محصّل بالكامل",IF(P253&gt;0,"محصّل جزئياً","غير محصّل")))</f>
        <v/>
      </c>
    </row>
    <row r="254">
      <c r="A254" s="39">
        <f>IF(B254="","","IPC-"&amp;TEXT(ROW()-4,"0000"))</f>
        <v/>
      </c>
      <c r="B254" s="50" t="n"/>
      <c r="C254" s="49">
        <f>IF(B254="","",IFERROR(INDEX('المشروعات'!$B$5:$B$304,MATCH(B254,'المشروعات'!$A$5:$A$304,0)),""))</f>
        <v/>
      </c>
      <c r="D254" s="47" t="n"/>
      <c r="E254" s="47" t="n"/>
      <c r="F254" s="41" t="n"/>
      <c r="G254" s="46">
        <f>IF(B254="","",SUMIFS($H$4:H253,$B$4:B253,B254))</f>
        <v/>
      </c>
      <c r="H254" s="46">
        <f>IF(B254="","",F254-G254)</f>
        <v/>
      </c>
      <c r="I254" s="46">
        <f>IF(B254="","",H254*S_Ret)</f>
        <v/>
      </c>
      <c r="J254" s="41" t="n"/>
      <c r="K254" s="41" t="n"/>
      <c r="L254" s="46">
        <f>IF(B254="","",H254-I254-N(J254)-N(K254))</f>
        <v/>
      </c>
      <c r="M254" s="46">
        <f>IF(B254="","",L254*S_VAT)</f>
        <v/>
      </c>
      <c r="N254" s="46">
        <f>IF(B254="","",L254+M254)</f>
        <v/>
      </c>
      <c r="O254" s="40" t="n"/>
      <c r="P254" s="46">
        <f>IF(A254="","",SUMIFS('سندات القبض'!$K$5:$K$304,'سندات القبض'!$F$5:$F$304,A254))</f>
        <v/>
      </c>
      <c r="Q254" s="46">
        <f>IF(A254="","",N254-P254)</f>
        <v/>
      </c>
      <c r="R254" s="49">
        <f>IF(A254="","",IF(P254&gt;=N254-0.01,"محصّل بالكامل",IF(P254&gt;0,"محصّل جزئياً","غير محصّل")))</f>
        <v/>
      </c>
    </row>
    <row r="255">
      <c r="A255" s="39">
        <f>IF(B255="","","IPC-"&amp;TEXT(ROW()-4,"0000"))</f>
        <v/>
      </c>
      <c r="B255" s="50" t="n"/>
      <c r="C255" s="49">
        <f>IF(B255="","",IFERROR(INDEX('المشروعات'!$B$5:$B$304,MATCH(B255,'المشروعات'!$A$5:$A$304,0)),""))</f>
        <v/>
      </c>
      <c r="D255" s="47" t="n"/>
      <c r="E255" s="47" t="n"/>
      <c r="F255" s="41" t="n"/>
      <c r="G255" s="46">
        <f>IF(B255="","",SUMIFS($H$4:H254,$B$4:B254,B255))</f>
        <v/>
      </c>
      <c r="H255" s="46">
        <f>IF(B255="","",F255-G255)</f>
        <v/>
      </c>
      <c r="I255" s="46">
        <f>IF(B255="","",H255*S_Ret)</f>
        <v/>
      </c>
      <c r="J255" s="41" t="n"/>
      <c r="K255" s="41" t="n"/>
      <c r="L255" s="46">
        <f>IF(B255="","",H255-I255-N(J255)-N(K255))</f>
        <v/>
      </c>
      <c r="M255" s="46">
        <f>IF(B255="","",L255*S_VAT)</f>
        <v/>
      </c>
      <c r="N255" s="46">
        <f>IF(B255="","",L255+M255)</f>
        <v/>
      </c>
      <c r="O255" s="40" t="n"/>
      <c r="P255" s="46">
        <f>IF(A255="","",SUMIFS('سندات القبض'!$K$5:$K$304,'سندات القبض'!$F$5:$F$304,A255))</f>
        <v/>
      </c>
      <c r="Q255" s="46">
        <f>IF(A255="","",N255-P255)</f>
        <v/>
      </c>
      <c r="R255" s="49">
        <f>IF(A255="","",IF(P255&gt;=N255-0.01,"محصّل بالكامل",IF(P255&gt;0,"محصّل جزئياً","غير محصّل")))</f>
        <v/>
      </c>
    </row>
    <row r="256">
      <c r="A256" s="39">
        <f>IF(B256="","","IPC-"&amp;TEXT(ROW()-4,"0000"))</f>
        <v/>
      </c>
      <c r="B256" s="50" t="n"/>
      <c r="C256" s="49">
        <f>IF(B256="","",IFERROR(INDEX('المشروعات'!$B$5:$B$304,MATCH(B256,'المشروعات'!$A$5:$A$304,0)),""))</f>
        <v/>
      </c>
      <c r="D256" s="47" t="n"/>
      <c r="E256" s="47" t="n"/>
      <c r="F256" s="41" t="n"/>
      <c r="G256" s="46">
        <f>IF(B256="","",SUMIFS($H$4:H255,$B$4:B255,B256))</f>
        <v/>
      </c>
      <c r="H256" s="46">
        <f>IF(B256="","",F256-G256)</f>
        <v/>
      </c>
      <c r="I256" s="46">
        <f>IF(B256="","",H256*S_Ret)</f>
        <v/>
      </c>
      <c r="J256" s="41" t="n"/>
      <c r="K256" s="41" t="n"/>
      <c r="L256" s="46">
        <f>IF(B256="","",H256-I256-N(J256)-N(K256))</f>
        <v/>
      </c>
      <c r="M256" s="46">
        <f>IF(B256="","",L256*S_VAT)</f>
        <v/>
      </c>
      <c r="N256" s="46">
        <f>IF(B256="","",L256+M256)</f>
        <v/>
      </c>
      <c r="O256" s="40" t="n"/>
      <c r="P256" s="46">
        <f>IF(A256="","",SUMIFS('سندات القبض'!$K$5:$K$304,'سندات القبض'!$F$5:$F$304,A256))</f>
        <v/>
      </c>
      <c r="Q256" s="46">
        <f>IF(A256="","",N256-P256)</f>
        <v/>
      </c>
      <c r="R256" s="49">
        <f>IF(A256="","",IF(P256&gt;=N256-0.01,"محصّل بالكامل",IF(P256&gt;0,"محصّل جزئياً","غير محصّل")))</f>
        <v/>
      </c>
    </row>
    <row r="257">
      <c r="A257" s="39">
        <f>IF(B257="","","IPC-"&amp;TEXT(ROW()-4,"0000"))</f>
        <v/>
      </c>
      <c r="B257" s="50" t="n"/>
      <c r="C257" s="49">
        <f>IF(B257="","",IFERROR(INDEX('المشروعات'!$B$5:$B$304,MATCH(B257,'المشروعات'!$A$5:$A$304,0)),""))</f>
        <v/>
      </c>
      <c r="D257" s="47" t="n"/>
      <c r="E257" s="47" t="n"/>
      <c r="F257" s="41" t="n"/>
      <c r="G257" s="46">
        <f>IF(B257="","",SUMIFS($H$4:H256,$B$4:B256,B257))</f>
        <v/>
      </c>
      <c r="H257" s="46">
        <f>IF(B257="","",F257-G257)</f>
        <v/>
      </c>
      <c r="I257" s="46">
        <f>IF(B257="","",H257*S_Ret)</f>
        <v/>
      </c>
      <c r="J257" s="41" t="n"/>
      <c r="K257" s="41" t="n"/>
      <c r="L257" s="46">
        <f>IF(B257="","",H257-I257-N(J257)-N(K257))</f>
        <v/>
      </c>
      <c r="M257" s="46">
        <f>IF(B257="","",L257*S_VAT)</f>
        <v/>
      </c>
      <c r="N257" s="46">
        <f>IF(B257="","",L257+M257)</f>
        <v/>
      </c>
      <c r="O257" s="40" t="n"/>
      <c r="P257" s="46">
        <f>IF(A257="","",SUMIFS('سندات القبض'!$K$5:$K$304,'سندات القبض'!$F$5:$F$304,A257))</f>
        <v/>
      </c>
      <c r="Q257" s="46">
        <f>IF(A257="","",N257-P257)</f>
        <v/>
      </c>
      <c r="R257" s="49">
        <f>IF(A257="","",IF(P257&gt;=N257-0.01,"محصّل بالكامل",IF(P257&gt;0,"محصّل جزئياً","غير محصّل")))</f>
        <v/>
      </c>
    </row>
    <row r="258">
      <c r="A258" s="39">
        <f>IF(B258="","","IPC-"&amp;TEXT(ROW()-4,"0000"))</f>
        <v/>
      </c>
      <c r="B258" s="50" t="n"/>
      <c r="C258" s="49">
        <f>IF(B258="","",IFERROR(INDEX('المشروعات'!$B$5:$B$304,MATCH(B258,'المشروعات'!$A$5:$A$304,0)),""))</f>
        <v/>
      </c>
      <c r="D258" s="47" t="n"/>
      <c r="E258" s="47" t="n"/>
      <c r="F258" s="41" t="n"/>
      <c r="G258" s="46">
        <f>IF(B258="","",SUMIFS($H$4:H257,$B$4:B257,B258))</f>
        <v/>
      </c>
      <c r="H258" s="46">
        <f>IF(B258="","",F258-G258)</f>
        <v/>
      </c>
      <c r="I258" s="46">
        <f>IF(B258="","",H258*S_Ret)</f>
        <v/>
      </c>
      <c r="J258" s="41" t="n"/>
      <c r="K258" s="41" t="n"/>
      <c r="L258" s="46">
        <f>IF(B258="","",H258-I258-N(J258)-N(K258))</f>
        <v/>
      </c>
      <c r="M258" s="46">
        <f>IF(B258="","",L258*S_VAT)</f>
        <v/>
      </c>
      <c r="N258" s="46">
        <f>IF(B258="","",L258+M258)</f>
        <v/>
      </c>
      <c r="O258" s="40" t="n"/>
      <c r="P258" s="46">
        <f>IF(A258="","",SUMIFS('سندات القبض'!$K$5:$K$304,'سندات القبض'!$F$5:$F$304,A258))</f>
        <v/>
      </c>
      <c r="Q258" s="46">
        <f>IF(A258="","",N258-P258)</f>
        <v/>
      </c>
      <c r="R258" s="49">
        <f>IF(A258="","",IF(P258&gt;=N258-0.01,"محصّل بالكامل",IF(P258&gt;0,"محصّل جزئياً","غير محصّل")))</f>
        <v/>
      </c>
    </row>
    <row r="259">
      <c r="A259" s="39">
        <f>IF(B259="","","IPC-"&amp;TEXT(ROW()-4,"0000"))</f>
        <v/>
      </c>
      <c r="B259" s="50" t="n"/>
      <c r="C259" s="49">
        <f>IF(B259="","",IFERROR(INDEX('المشروعات'!$B$5:$B$304,MATCH(B259,'المشروعات'!$A$5:$A$304,0)),""))</f>
        <v/>
      </c>
      <c r="D259" s="47" t="n"/>
      <c r="E259" s="47" t="n"/>
      <c r="F259" s="41" t="n"/>
      <c r="G259" s="46">
        <f>IF(B259="","",SUMIFS($H$4:H258,$B$4:B258,B259))</f>
        <v/>
      </c>
      <c r="H259" s="46">
        <f>IF(B259="","",F259-G259)</f>
        <v/>
      </c>
      <c r="I259" s="46">
        <f>IF(B259="","",H259*S_Ret)</f>
        <v/>
      </c>
      <c r="J259" s="41" t="n"/>
      <c r="K259" s="41" t="n"/>
      <c r="L259" s="46">
        <f>IF(B259="","",H259-I259-N(J259)-N(K259))</f>
        <v/>
      </c>
      <c r="M259" s="46">
        <f>IF(B259="","",L259*S_VAT)</f>
        <v/>
      </c>
      <c r="N259" s="46">
        <f>IF(B259="","",L259+M259)</f>
        <v/>
      </c>
      <c r="O259" s="40" t="n"/>
      <c r="P259" s="46">
        <f>IF(A259="","",SUMIFS('سندات القبض'!$K$5:$K$304,'سندات القبض'!$F$5:$F$304,A259))</f>
        <v/>
      </c>
      <c r="Q259" s="46">
        <f>IF(A259="","",N259-P259)</f>
        <v/>
      </c>
      <c r="R259" s="49">
        <f>IF(A259="","",IF(P259&gt;=N259-0.01,"محصّل بالكامل",IF(P259&gt;0,"محصّل جزئياً","غير محصّل")))</f>
        <v/>
      </c>
    </row>
    <row r="260">
      <c r="A260" s="39">
        <f>IF(B260="","","IPC-"&amp;TEXT(ROW()-4,"0000"))</f>
        <v/>
      </c>
      <c r="B260" s="50" t="n"/>
      <c r="C260" s="49">
        <f>IF(B260="","",IFERROR(INDEX('المشروعات'!$B$5:$B$304,MATCH(B260,'المشروعات'!$A$5:$A$304,0)),""))</f>
        <v/>
      </c>
      <c r="D260" s="47" t="n"/>
      <c r="E260" s="47" t="n"/>
      <c r="F260" s="41" t="n"/>
      <c r="G260" s="46">
        <f>IF(B260="","",SUMIFS($H$4:H259,$B$4:B259,B260))</f>
        <v/>
      </c>
      <c r="H260" s="46">
        <f>IF(B260="","",F260-G260)</f>
        <v/>
      </c>
      <c r="I260" s="46">
        <f>IF(B260="","",H260*S_Ret)</f>
        <v/>
      </c>
      <c r="J260" s="41" t="n"/>
      <c r="K260" s="41" t="n"/>
      <c r="L260" s="46">
        <f>IF(B260="","",H260-I260-N(J260)-N(K260))</f>
        <v/>
      </c>
      <c r="M260" s="46">
        <f>IF(B260="","",L260*S_VAT)</f>
        <v/>
      </c>
      <c r="N260" s="46">
        <f>IF(B260="","",L260+M260)</f>
        <v/>
      </c>
      <c r="O260" s="40" t="n"/>
      <c r="P260" s="46">
        <f>IF(A260="","",SUMIFS('سندات القبض'!$K$5:$K$304,'سندات القبض'!$F$5:$F$304,A260))</f>
        <v/>
      </c>
      <c r="Q260" s="46">
        <f>IF(A260="","",N260-P260)</f>
        <v/>
      </c>
      <c r="R260" s="49">
        <f>IF(A260="","",IF(P260&gt;=N260-0.01,"محصّل بالكامل",IF(P260&gt;0,"محصّل جزئياً","غير محصّل")))</f>
        <v/>
      </c>
    </row>
    <row r="261">
      <c r="A261" s="39">
        <f>IF(B261="","","IPC-"&amp;TEXT(ROW()-4,"0000"))</f>
        <v/>
      </c>
      <c r="B261" s="50" t="n"/>
      <c r="C261" s="49">
        <f>IF(B261="","",IFERROR(INDEX('المشروعات'!$B$5:$B$304,MATCH(B261,'المشروعات'!$A$5:$A$304,0)),""))</f>
        <v/>
      </c>
      <c r="D261" s="47" t="n"/>
      <c r="E261" s="47" t="n"/>
      <c r="F261" s="41" t="n"/>
      <c r="G261" s="46">
        <f>IF(B261="","",SUMIFS($H$4:H260,$B$4:B260,B261))</f>
        <v/>
      </c>
      <c r="H261" s="46">
        <f>IF(B261="","",F261-G261)</f>
        <v/>
      </c>
      <c r="I261" s="46">
        <f>IF(B261="","",H261*S_Ret)</f>
        <v/>
      </c>
      <c r="J261" s="41" t="n"/>
      <c r="K261" s="41" t="n"/>
      <c r="L261" s="46">
        <f>IF(B261="","",H261-I261-N(J261)-N(K261))</f>
        <v/>
      </c>
      <c r="M261" s="46">
        <f>IF(B261="","",L261*S_VAT)</f>
        <v/>
      </c>
      <c r="N261" s="46">
        <f>IF(B261="","",L261+M261)</f>
        <v/>
      </c>
      <c r="O261" s="40" t="n"/>
      <c r="P261" s="46">
        <f>IF(A261="","",SUMIFS('سندات القبض'!$K$5:$K$304,'سندات القبض'!$F$5:$F$304,A261))</f>
        <v/>
      </c>
      <c r="Q261" s="46">
        <f>IF(A261="","",N261-P261)</f>
        <v/>
      </c>
      <c r="R261" s="49">
        <f>IF(A261="","",IF(P261&gt;=N261-0.01,"محصّل بالكامل",IF(P261&gt;0,"محصّل جزئياً","غير محصّل")))</f>
        <v/>
      </c>
    </row>
    <row r="262">
      <c r="A262" s="39">
        <f>IF(B262="","","IPC-"&amp;TEXT(ROW()-4,"0000"))</f>
        <v/>
      </c>
      <c r="B262" s="50" t="n"/>
      <c r="C262" s="49">
        <f>IF(B262="","",IFERROR(INDEX('المشروعات'!$B$5:$B$304,MATCH(B262,'المشروعات'!$A$5:$A$304,0)),""))</f>
        <v/>
      </c>
      <c r="D262" s="47" t="n"/>
      <c r="E262" s="47" t="n"/>
      <c r="F262" s="41" t="n"/>
      <c r="G262" s="46">
        <f>IF(B262="","",SUMIFS($H$4:H261,$B$4:B261,B262))</f>
        <v/>
      </c>
      <c r="H262" s="46">
        <f>IF(B262="","",F262-G262)</f>
        <v/>
      </c>
      <c r="I262" s="46">
        <f>IF(B262="","",H262*S_Ret)</f>
        <v/>
      </c>
      <c r="J262" s="41" t="n"/>
      <c r="K262" s="41" t="n"/>
      <c r="L262" s="46">
        <f>IF(B262="","",H262-I262-N(J262)-N(K262))</f>
        <v/>
      </c>
      <c r="M262" s="46">
        <f>IF(B262="","",L262*S_VAT)</f>
        <v/>
      </c>
      <c r="N262" s="46">
        <f>IF(B262="","",L262+M262)</f>
        <v/>
      </c>
      <c r="O262" s="40" t="n"/>
      <c r="P262" s="46">
        <f>IF(A262="","",SUMIFS('سندات القبض'!$K$5:$K$304,'سندات القبض'!$F$5:$F$304,A262))</f>
        <v/>
      </c>
      <c r="Q262" s="46">
        <f>IF(A262="","",N262-P262)</f>
        <v/>
      </c>
      <c r="R262" s="49">
        <f>IF(A262="","",IF(P262&gt;=N262-0.01,"محصّل بالكامل",IF(P262&gt;0,"محصّل جزئياً","غير محصّل")))</f>
        <v/>
      </c>
    </row>
    <row r="263">
      <c r="A263" s="39">
        <f>IF(B263="","","IPC-"&amp;TEXT(ROW()-4,"0000"))</f>
        <v/>
      </c>
      <c r="B263" s="50" t="n"/>
      <c r="C263" s="49">
        <f>IF(B263="","",IFERROR(INDEX('المشروعات'!$B$5:$B$304,MATCH(B263,'المشروعات'!$A$5:$A$304,0)),""))</f>
        <v/>
      </c>
      <c r="D263" s="47" t="n"/>
      <c r="E263" s="47" t="n"/>
      <c r="F263" s="41" t="n"/>
      <c r="G263" s="46">
        <f>IF(B263="","",SUMIFS($H$4:H262,$B$4:B262,B263))</f>
        <v/>
      </c>
      <c r="H263" s="46">
        <f>IF(B263="","",F263-G263)</f>
        <v/>
      </c>
      <c r="I263" s="46">
        <f>IF(B263="","",H263*S_Ret)</f>
        <v/>
      </c>
      <c r="J263" s="41" t="n"/>
      <c r="K263" s="41" t="n"/>
      <c r="L263" s="46">
        <f>IF(B263="","",H263-I263-N(J263)-N(K263))</f>
        <v/>
      </c>
      <c r="M263" s="46">
        <f>IF(B263="","",L263*S_VAT)</f>
        <v/>
      </c>
      <c r="N263" s="46">
        <f>IF(B263="","",L263+M263)</f>
        <v/>
      </c>
      <c r="O263" s="40" t="n"/>
      <c r="P263" s="46">
        <f>IF(A263="","",SUMIFS('سندات القبض'!$K$5:$K$304,'سندات القبض'!$F$5:$F$304,A263))</f>
        <v/>
      </c>
      <c r="Q263" s="46">
        <f>IF(A263="","",N263-P263)</f>
        <v/>
      </c>
      <c r="R263" s="49">
        <f>IF(A263="","",IF(P263&gt;=N263-0.01,"محصّل بالكامل",IF(P263&gt;0,"محصّل جزئياً","غير محصّل")))</f>
        <v/>
      </c>
    </row>
    <row r="264">
      <c r="A264" s="39">
        <f>IF(B264="","","IPC-"&amp;TEXT(ROW()-4,"0000"))</f>
        <v/>
      </c>
      <c r="B264" s="50" t="n"/>
      <c r="C264" s="49">
        <f>IF(B264="","",IFERROR(INDEX('المشروعات'!$B$5:$B$304,MATCH(B264,'المشروعات'!$A$5:$A$304,0)),""))</f>
        <v/>
      </c>
      <c r="D264" s="47" t="n"/>
      <c r="E264" s="47" t="n"/>
      <c r="F264" s="41" t="n"/>
      <c r="G264" s="46">
        <f>IF(B264="","",SUMIFS($H$4:H263,$B$4:B263,B264))</f>
        <v/>
      </c>
      <c r="H264" s="46">
        <f>IF(B264="","",F264-G264)</f>
        <v/>
      </c>
      <c r="I264" s="46">
        <f>IF(B264="","",H264*S_Ret)</f>
        <v/>
      </c>
      <c r="J264" s="41" t="n"/>
      <c r="K264" s="41" t="n"/>
      <c r="L264" s="46">
        <f>IF(B264="","",H264-I264-N(J264)-N(K264))</f>
        <v/>
      </c>
      <c r="M264" s="46">
        <f>IF(B264="","",L264*S_VAT)</f>
        <v/>
      </c>
      <c r="N264" s="46">
        <f>IF(B264="","",L264+M264)</f>
        <v/>
      </c>
      <c r="O264" s="40" t="n"/>
      <c r="P264" s="46">
        <f>IF(A264="","",SUMIFS('سندات القبض'!$K$5:$K$304,'سندات القبض'!$F$5:$F$304,A264))</f>
        <v/>
      </c>
      <c r="Q264" s="46">
        <f>IF(A264="","",N264-P264)</f>
        <v/>
      </c>
      <c r="R264" s="49">
        <f>IF(A264="","",IF(P264&gt;=N264-0.01,"محصّل بالكامل",IF(P264&gt;0,"محصّل جزئياً","غير محصّل")))</f>
        <v/>
      </c>
    </row>
    <row r="265">
      <c r="A265" s="39">
        <f>IF(B265="","","IPC-"&amp;TEXT(ROW()-4,"0000"))</f>
        <v/>
      </c>
      <c r="B265" s="50" t="n"/>
      <c r="C265" s="49">
        <f>IF(B265="","",IFERROR(INDEX('المشروعات'!$B$5:$B$304,MATCH(B265,'المشروعات'!$A$5:$A$304,0)),""))</f>
        <v/>
      </c>
      <c r="D265" s="47" t="n"/>
      <c r="E265" s="47" t="n"/>
      <c r="F265" s="41" t="n"/>
      <c r="G265" s="46">
        <f>IF(B265="","",SUMIFS($H$4:H264,$B$4:B264,B265))</f>
        <v/>
      </c>
      <c r="H265" s="46">
        <f>IF(B265="","",F265-G265)</f>
        <v/>
      </c>
      <c r="I265" s="46">
        <f>IF(B265="","",H265*S_Ret)</f>
        <v/>
      </c>
      <c r="J265" s="41" t="n"/>
      <c r="K265" s="41" t="n"/>
      <c r="L265" s="46">
        <f>IF(B265="","",H265-I265-N(J265)-N(K265))</f>
        <v/>
      </c>
      <c r="M265" s="46">
        <f>IF(B265="","",L265*S_VAT)</f>
        <v/>
      </c>
      <c r="N265" s="46">
        <f>IF(B265="","",L265+M265)</f>
        <v/>
      </c>
      <c r="O265" s="40" t="n"/>
      <c r="P265" s="46">
        <f>IF(A265="","",SUMIFS('سندات القبض'!$K$5:$K$304,'سندات القبض'!$F$5:$F$304,A265))</f>
        <v/>
      </c>
      <c r="Q265" s="46">
        <f>IF(A265="","",N265-P265)</f>
        <v/>
      </c>
      <c r="R265" s="49">
        <f>IF(A265="","",IF(P265&gt;=N265-0.01,"محصّل بالكامل",IF(P265&gt;0,"محصّل جزئياً","غير محصّل")))</f>
        <v/>
      </c>
    </row>
    <row r="266">
      <c r="A266" s="39">
        <f>IF(B266="","","IPC-"&amp;TEXT(ROW()-4,"0000"))</f>
        <v/>
      </c>
      <c r="B266" s="50" t="n"/>
      <c r="C266" s="49">
        <f>IF(B266="","",IFERROR(INDEX('المشروعات'!$B$5:$B$304,MATCH(B266,'المشروعات'!$A$5:$A$304,0)),""))</f>
        <v/>
      </c>
      <c r="D266" s="47" t="n"/>
      <c r="E266" s="47" t="n"/>
      <c r="F266" s="41" t="n"/>
      <c r="G266" s="46">
        <f>IF(B266="","",SUMIFS($H$4:H265,$B$4:B265,B266))</f>
        <v/>
      </c>
      <c r="H266" s="46">
        <f>IF(B266="","",F266-G266)</f>
        <v/>
      </c>
      <c r="I266" s="46">
        <f>IF(B266="","",H266*S_Ret)</f>
        <v/>
      </c>
      <c r="J266" s="41" t="n"/>
      <c r="K266" s="41" t="n"/>
      <c r="L266" s="46">
        <f>IF(B266="","",H266-I266-N(J266)-N(K266))</f>
        <v/>
      </c>
      <c r="M266" s="46">
        <f>IF(B266="","",L266*S_VAT)</f>
        <v/>
      </c>
      <c r="N266" s="46">
        <f>IF(B266="","",L266+M266)</f>
        <v/>
      </c>
      <c r="O266" s="40" t="n"/>
      <c r="P266" s="46">
        <f>IF(A266="","",SUMIFS('سندات القبض'!$K$5:$K$304,'سندات القبض'!$F$5:$F$304,A266))</f>
        <v/>
      </c>
      <c r="Q266" s="46">
        <f>IF(A266="","",N266-P266)</f>
        <v/>
      </c>
      <c r="R266" s="49">
        <f>IF(A266="","",IF(P266&gt;=N266-0.01,"محصّل بالكامل",IF(P266&gt;0,"محصّل جزئياً","غير محصّل")))</f>
        <v/>
      </c>
    </row>
    <row r="267">
      <c r="A267" s="39">
        <f>IF(B267="","","IPC-"&amp;TEXT(ROW()-4,"0000"))</f>
        <v/>
      </c>
      <c r="B267" s="50" t="n"/>
      <c r="C267" s="49">
        <f>IF(B267="","",IFERROR(INDEX('المشروعات'!$B$5:$B$304,MATCH(B267,'المشروعات'!$A$5:$A$304,0)),""))</f>
        <v/>
      </c>
      <c r="D267" s="47" t="n"/>
      <c r="E267" s="47" t="n"/>
      <c r="F267" s="41" t="n"/>
      <c r="G267" s="46">
        <f>IF(B267="","",SUMIFS($H$4:H266,$B$4:B266,B267))</f>
        <v/>
      </c>
      <c r="H267" s="46">
        <f>IF(B267="","",F267-G267)</f>
        <v/>
      </c>
      <c r="I267" s="46">
        <f>IF(B267="","",H267*S_Ret)</f>
        <v/>
      </c>
      <c r="J267" s="41" t="n"/>
      <c r="K267" s="41" t="n"/>
      <c r="L267" s="46">
        <f>IF(B267="","",H267-I267-N(J267)-N(K267))</f>
        <v/>
      </c>
      <c r="M267" s="46">
        <f>IF(B267="","",L267*S_VAT)</f>
        <v/>
      </c>
      <c r="N267" s="46">
        <f>IF(B267="","",L267+M267)</f>
        <v/>
      </c>
      <c r="O267" s="40" t="n"/>
      <c r="P267" s="46">
        <f>IF(A267="","",SUMIFS('سندات القبض'!$K$5:$K$304,'سندات القبض'!$F$5:$F$304,A267))</f>
        <v/>
      </c>
      <c r="Q267" s="46">
        <f>IF(A267="","",N267-P267)</f>
        <v/>
      </c>
      <c r="R267" s="49">
        <f>IF(A267="","",IF(P267&gt;=N267-0.01,"محصّل بالكامل",IF(P267&gt;0,"محصّل جزئياً","غير محصّل")))</f>
        <v/>
      </c>
    </row>
    <row r="268">
      <c r="A268" s="39">
        <f>IF(B268="","","IPC-"&amp;TEXT(ROW()-4,"0000"))</f>
        <v/>
      </c>
      <c r="B268" s="50" t="n"/>
      <c r="C268" s="49">
        <f>IF(B268="","",IFERROR(INDEX('المشروعات'!$B$5:$B$304,MATCH(B268,'المشروعات'!$A$5:$A$304,0)),""))</f>
        <v/>
      </c>
      <c r="D268" s="47" t="n"/>
      <c r="E268" s="47" t="n"/>
      <c r="F268" s="41" t="n"/>
      <c r="G268" s="46">
        <f>IF(B268="","",SUMIFS($H$4:H267,$B$4:B267,B268))</f>
        <v/>
      </c>
      <c r="H268" s="46">
        <f>IF(B268="","",F268-G268)</f>
        <v/>
      </c>
      <c r="I268" s="46">
        <f>IF(B268="","",H268*S_Ret)</f>
        <v/>
      </c>
      <c r="J268" s="41" t="n"/>
      <c r="K268" s="41" t="n"/>
      <c r="L268" s="46">
        <f>IF(B268="","",H268-I268-N(J268)-N(K268))</f>
        <v/>
      </c>
      <c r="M268" s="46">
        <f>IF(B268="","",L268*S_VAT)</f>
        <v/>
      </c>
      <c r="N268" s="46">
        <f>IF(B268="","",L268+M268)</f>
        <v/>
      </c>
      <c r="O268" s="40" t="n"/>
      <c r="P268" s="46">
        <f>IF(A268="","",SUMIFS('سندات القبض'!$K$5:$K$304,'سندات القبض'!$F$5:$F$304,A268))</f>
        <v/>
      </c>
      <c r="Q268" s="46">
        <f>IF(A268="","",N268-P268)</f>
        <v/>
      </c>
      <c r="R268" s="49">
        <f>IF(A268="","",IF(P268&gt;=N268-0.01,"محصّل بالكامل",IF(P268&gt;0,"محصّل جزئياً","غير محصّل")))</f>
        <v/>
      </c>
    </row>
    <row r="269">
      <c r="A269" s="39">
        <f>IF(B269="","","IPC-"&amp;TEXT(ROW()-4,"0000"))</f>
        <v/>
      </c>
      <c r="B269" s="50" t="n"/>
      <c r="C269" s="49">
        <f>IF(B269="","",IFERROR(INDEX('المشروعات'!$B$5:$B$304,MATCH(B269,'المشروعات'!$A$5:$A$304,0)),""))</f>
        <v/>
      </c>
      <c r="D269" s="47" t="n"/>
      <c r="E269" s="47" t="n"/>
      <c r="F269" s="41" t="n"/>
      <c r="G269" s="46">
        <f>IF(B269="","",SUMIFS($H$4:H268,$B$4:B268,B269))</f>
        <v/>
      </c>
      <c r="H269" s="46">
        <f>IF(B269="","",F269-G269)</f>
        <v/>
      </c>
      <c r="I269" s="46">
        <f>IF(B269="","",H269*S_Ret)</f>
        <v/>
      </c>
      <c r="J269" s="41" t="n"/>
      <c r="K269" s="41" t="n"/>
      <c r="L269" s="46">
        <f>IF(B269="","",H269-I269-N(J269)-N(K269))</f>
        <v/>
      </c>
      <c r="M269" s="46">
        <f>IF(B269="","",L269*S_VAT)</f>
        <v/>
      </c>
      <c r="N269" s="46">
        <f>IF(B269="","",L269+M269)</f>
        <v/>
      </c>
      <c r="O269" s="40" t="n"/>
      <c r="P269" s="46">
        <f>IF(A269="","",SUMIFS('سندات القبض'!$K$5:$K$304,'سندات القبض'!$F$5:$F$304,A269))</f>
        <v/>
      </c>
      <c r="Q269" s="46">
        <f>IF(A269="","",N269-P269)</f>
        <v/>
      </c>
      <c r="R269" s="49">
        <f>IF(A269="","",IF(P269&gt;=N269-0.01,"محصّل بالكامل",IF(P269&gt;0,"محصّل جزئياً","غير محصّل")))</f>
        <v/>
      </c>
    </row>
    <row r="270">
      <c r="A270" s="39">
        <f>IF(B270="","","IPC-"&amp;TEXT(ROW()-4,"0000"))</f>
        <v/>
      </c>
      <c r="B270" s="50" t="n"/>
      <c r="C270" s="49">
        <f>IF(B270="","",IFERROR(INDEX('المشروعات'!$B$5:$B$304,MATCH(B270,'المشروعات'!$A$5:$A$304,0)),""))</f>
        <v/>
      </c>
      <c r="D270" s="47" t="n"/>
      <c r="E270" s="47" t="n"/>
      <c r="F270" s="41" t="n"/>
      <c r="G270" s="46">
        <f>IF(B270="","",SUMIFS($H$4:H269,$B$4:B269,B270))</f>
        <v/>
      </c>
      <c r="H270" s="46">
        <f>IF(B270="","",F270-G270)</f>
        <v/>
      </c>
      <c r="I270" s="46">
        <f>IF(B270="","",H270*S_Ret)</f>
        <v/>
      </c>
      <c r="J270" s="41" t="n"/>
      <c r="K270" s="41" t="n"/>
      <c r="L270" s="46">
        <f>IF(B270="","",H270-I270-N(J270)-N(K270))</f>
        <v/>
      </c>
      <c r="M270" s="46">
        <f>IF(B270="","",L270*S_VAT)</f>
        <v/>
      </c>
      <c r="N270" s="46">
        <f>IF(B270="","",L270+M270)</f>
        <v/>
      </c>
      <c r="O270" s="40" t="n"/>
      <c r="P270" s="46">
        <f>IF(A270="","",SUMIFS('سندات القبض'!$K$5:$K$304,'سندات القبض'!$F$5:$F$304,A270))</f>
        <v/>
      </c>
      <c r="Q270" s="46">
        <f>IF(A270="","",N270-P270)</f>
        <v/>
      </c>
      <c r="R270" s="49">
        <f>IF(A270="","",IF(P270&gt;=N270-0.01,"محصّل بالكامل",IF(P270&gt;0,"محصّل جزئياً","غير محصّل")))</f>
        <v/>
      </c>
    </row>
    <row r="271">
      <c r="A271" s="39">
        <f>IF(B271="","","IPC-"&amp;TEXT(ROW()-4,"0000"))</f>
        <v/>
      </c>
      <c r="B271" s="50" t="n"/>
      <c r="C271" s="49">
        <f>IF(B271="","",IFERROR(INDEX('المشروعات'!$B$5:$B$304,MATCH(B271,'المشروعات'!$A$5:$A$304,0)),""))</f>
        <v/>
      </c>
      <c r="D271" s="47" t="n"/>
      <c r="E271" s="47" t="n"/>
      <c r="F271" s="41" t="n"/>
      <c r="G271" s="46">
        <f>IF(B271="","",SUMIFS($H$4:H270,$B$4:B270,B271))</f>
        <v/>
      </c>
      <c r="H271" s="46">
        <f>IF(B271="","",F271-G271)</f>
        <v/>
      </c>
      <c r="I271" s="46">
        <f>IF(B271="","",H271*S_Ret)</f>
        <v/>
      </c>
      <c r="J271" s="41" t="n"/>
      <c r="K271" s="41" t="n"/>
      <c r="L271" s="46">
        <f>IF(B271="","",H271-I271-N(J271)-N(K271))</f>
        <v/>
      </c>
      <c r="M271" s="46">
        <f>IF(B271="","",L271*S_VAT)</f>
        <v/>
      </c>
      <c r="N271" s="46">
        <f>IF(B271="","",L271+M271)</f>
        <v/>
      </c>
      <c r="O271" s="40" t="n"/>
      <c r="P271" s="46">
        <f>IF(A271="","",SUMIFS('سندات القبض'!$K$5:$K$304,'سندات القبض'!$F$5:$F$304,A271))</f>
        <v/>
      </c>
      <c r="Q271" s="46">
        <f>IF(A271="","",N271-P271)</f>
        <v/>
      </c>
      <c r="R271" s="49">
        <f>IF(A271="","",IF(P271&gt;=N271-0.01,"محصّل بالكامل",IF(P271&gt;0,"محصّل جزئياً","غير محصّل")))</f>
        <v/>
      </c>
    </row>
    <row r="272">
      <c r="A272" s="39">
        <f>IF(B272="","","IPC-"&amp;TEXT(ROW()-4,"0000"))</f>
        <v/>
      </c>
      <c r="B272" s="50" t="n"/>
      <c r="C272" s="49">
        <f>IF(B272="","",IFERROR(INDEX('المشروعات'!$B$5:$B$304,MATCH(B272,'المشروعات'!$A$5:$A$304,0)),""))</f>
        <v/>
      </c>
      <c r="D272" s="47" t="n"/>
      <c r="E272" s="47" t="n"/>
      <c r="F272" s="41" t="n"/>
      <c r="G272" s="46">
        <f>IF(B272="","",SUMIFS($H$4:H271,$B$4:B271,B272))</f>
        <v/>
      </c>
      <c r="H272" s="46">
        <f>IF(B272="","",F272-G272)</f>
        <v/>
      </c>
      <c r="I272" s="46">
        <f>IF(B272="","",H272*S_Ret)</f>
        <v/>
      </c>
      <c r="J272" s="41" t="n"/>
      <c r="K272" s="41" t="n"/>
      <c r="L272" s="46">
        <f>IF(B272="","",H272-I272-N(J272)-N(K272))</f>
        <v/>
      </c>
      <c r="M272" s="46">
        <f>IF(B272="","",L272*S_VAT)</f>
        <v/>
      </c>
      <c r="N272" s="46">
        <f>IF(B272="","",L272+M272)</f>
        <v/>
      </c>
      <c r="O272" s="40" t="n"/>
      <c r="P272" s="46">
        <f>IF(A272="","",SUMIFS('سندات القبض'!$K$5:$K$304,'سندات القبض'!$F$5:$F$304,A272))</f>
        <v/>
      </c>
      <c r="Q272" s="46">
        <f>IF(A272="","",N272-P272)</f>
        <v/>
      </c>
      <c r="R272" s="49">
        <f>IF(A272="","",IF(P272&gt;=N272-0.01,"محصّل بالكامل",IF(P272&gt;0,"محصّل جزئياً","غير محصّل")))</f>
        <v/>
      </c>
    </row>
    <row r="273">
      <c r="A273" s="39">
        <f>IF(B273="","","IPC-"&amp;TEXT(ROW()-4,"0000"))</f>
        <v/>
      </c>
      <c r="B273" s="50" t="n"/>
      <c r="C273" s="49">
        <f>IF(B273="","",IFERROR(INDEX('المشروعات'!$B$5:$B$304,MATCH(B273,'المشروعات'!$A$5:$A$304,0)),""))</f>
        <v/>
      </c>
      <c r="D273" s="47" t="n"/>
      <c r="E273" s="47" t="n"/>
      <c r="F273" s="41" t="n"/>
      <c r="G273" s="46">
        <f>IF(B273="","",SUMIFS($H$4:H272,$B$4:B272,B273))</f>
        <v/>
      </c>
      <c r="H273" s="46">
        <f>IF(B273="","",F273-G273)</f>
        <v/>
      </c>
      <c r="I273" s="46">
        <f>IF(B273="","",H273*S_Ret)</f>
        <v/>
      </c>
      <c r="J273" s="41" t="n"/>
      <c r="K273" s="41" t="n"/>
      <c r="L273" s="46">
        <f>IF(B273="","",H273-I273-N(J273)-N(K273))</f>
        <v/>
      </c>
      <c r="M273" s="46">
        <f>IF(B273="","",L273*S_VAT)</f>
        <v/>
      </c>
      <c r="N273" s="46">
        <f>IF(B273="","",L273+M273)</f>
        <v/>
      </c>
      <c r="O273" s="40" t="n"/>
      <c r="P273" s="46">
        <f>IF(A273="","",SUMIFS('سندات القبض'!$K$5:$K$304,'سندات القبض'!$F$5:$F$304,A273))</f>
        <v/>
      </c>
      <c r="Q273" s="46">
        <f>IF(A273="","",N273-P273)</f>
        <v/>
      </c>
      <c r="R273" s="49">
        <f>IF(A273="","",IF(P273&gt;=N273-0.01,"محصّل بالكامل",IF(P273&gt;0,"محصّل جزئياً","غير محصّل")))</f>
        <v/>
      </c>
    </row>
    <row r="274">
      <c r="A274" s="39">
        <f>IF(B274="","","IPC-"&amp;TEXT(ROW()-4,"0000"))</f>
        <v/>
      </c>
      <c r="B274" s="50" t="n"/>
      <c r="C274" s="49">
        <f>IF(B274="","",IFERROR(INDEX('المشروعات'!$B$5:$B$304,MATCH(B274,'المشروعات'!$A$5:$A$304,0)),""))</f>
        <v/>
      </c>
      <c r="D274" s="47" t="n"/>
      <c r="E274" s="47" t="n"/>
      <c r="F274" s="41" t="n"/>
      <c r="G274" s="46">
        <f>IF(B274="","",SUMIFS($H$4:H273,$B$4:B273,B274))</f>
        <v/>
      </c>
      <c r="H274" s="46">
        <f>IF(B274="","",F274-G274)</f>
        <v/>
      </c>
      <c r="I274" s="46">
        <f>IF(B274="","",H274*S_Ret)</f>
        <v/>
      </c>
      <c r="J274" s="41" t="n"/>
      <c r="K274" s="41" t="n"/>
      <c r="L274" s="46">
        <f>IF(B274="","",H274-I274-N(J274)-N(K274))</f>
        <v/>
      </c>
      <c r="M274" s="46">
        <f>IF(B274="","",L274*S_VAT)</f>
        <v/>
      </c>
      <c r="N274" s="46">
        <f>IF(B274="","",L274+M274)</f>
        <v/>
      </c>
      <c r="O274" s="40" t="n"/>
      <c r="P274" s="46">
        <f>IF(A274="","",SUMIFS('سندات القبض'!$K$5:$K$304,'سندات القبض'!$F$5:$F$304,A274))</f>
        <v/>
      </c>
      <c r="Q274" s="46">
        <f>IF(A274="","",N274-P274)</f>
        <v/>
      </c>
      <c r="R274" s="49">
        <f>IF(A274="","",IF(P274&gt;=N274-0.01,"محصّل بالكامل",IF(P274&gt;0,"محصّل جزئياً","غير محصّل")))</f>
        <v/>
      </c>
    </row>
    <row r="275">
      <c r="A275" s="39">
        <f>IF(B275="","","IPC-"&amp;TEXT(ROW()-4,"0000"))</f>
        <v/>
      </c>
      <c r="B275" s="50" t="n"/>
      <c r="C275" s="49">
        <f>IF(B275="","",IFERROR(INDEX('المشروعات'!$B$5:$B$304,MATCH(B275,'المشروعات'!$A$5:$A$304,0)),""))</f>
        <v/>
      </c>
      <c r="D275" s="47" t="n"/>
      <c r="E275" s="47" t="n"/>
      <c r="F275" s="41" t="n"/>
      <c r="G275" s="46">
        <f>IF(B275="","",SUMIFS($H$4:H274,$B$4:B274,B275))</f>
        <v/>
      </c>
      <c r="H275" s="46">
        <f>IF(B275="","",F275-G275)</f>
        <v/>
      </c>
      <c r="I275" s="46">
        <f>IF(B275="","",H275*S_Ret)</f>
        <v/>
      </c>
      <c r="J275" s="41" t="n"/>
      <c r="K275" s="41" t="n"/>
      <c r="L275" s="46">
        <f>IF(B275="","",H275-I275-N(J275)-N(K275))</f>
        <v/>
      </c>
      <c r="M275" s="46">
        <f>IF(B275="","",L275*S_VAT)</f>
        <v/>
      </c>
      <c r="N275" s="46">
        <f>IF(B275="","",L275+M275)</f>
        <v/>
      </c>
      <c r="O275" s="40" t="n"/>
      <c r="P275" s="46">
        <f>IF(A275="","",SUMIFS('سندات القبض'!$K$5:$K$304,'سندات القبض'!$F$5:$F$304,A275))</f>
        <v/>
      </c>
      <c r="Q275" s="46">
        <f>IF(A275="","",N275-P275)</f>
        <v/>
      </c>
      <c r="R275" s="49">
        <f>IF(A275="","",IF(P275&gt;=N275-0.01,"محصّل بالكامل",IF(P275&gt;0,"محصّل جزئياً","غير محصّل")))</f>
        <v/>
      </c>
    </row>
    <row r="276">
      <c r="A276" s="39">
        <f>IF(B276="","","IPC-"&amp;TEXT(ROW()-4,"0000"))</f>
        <v/>
      </c>
      <c r="B276" s="50" t="n"/>
      <c r="C276" s="49">
        <f>IF(B276="","",IFERROR(INDEX('المشروعات'!$B$5:$B$304,MATCH(B276,'المشروعات'!$A$5:$A$304,0)),""))</f>
        <v/>
      </c>
      <c r="D276" s="47" t="n"/>
      <c r="E276" s="47" t="n"/>
      <c r="F276" s="41" t="n"/>
      <c r="G276" s="46">
        <f>IF(B276="","",SUMIFS($H$4:H275,$B$4:B275,B276))</f>
        <v/>
      </c>
      <c r="H276" s="46">
        <f>IF(B276="","",F276-G276)</f>
        <v/>
      </c>
      <c r="I276" s="46">
        <f>IF(B276="","",H276*S_Ret)</f>
        <v/>
      </c>
      <c r="J276" s="41" t="n"/>
      <c r="K276" s="41" t="n"/>
      <c r="L276" s="46">
        <f>IF(B276="","",H276-I276-N(J276)-N(K276))</f>
        <v/>
      </c>
      <c r="M276" s="46">
        <f>IF(B276="","",L276*S_VAT)</f>
        <v/>
      </c>
      <c r="N276" s="46">
        <f>IF(B276="","",L276+M276)</f>
        <v/>
      </c>
      <c r="O276" s="40" t="n"/>
      <c r="P276" s="46">
        <f>IF(A276="","",SUMIFS('سندات القبض'!$K$5:$K$304,'سندات القبض'!$F$5:$F$304,A276))</f>
        <v/>
      </c>
      <c r="Q276" s="46">
        <f>IF(A276="","",N276-P276)</f>
        <v/>
      </c>
      <c r="R276" s="49">
        <f>IF(A276="","",IF(P276&gt;=N276-0.01,"محصّل بالكامل",IF(P276&gt;0,"محصّل جزئياً","غير محصّل")))</f>
        <v/>
      </c>
    </row>
    <row r="277">
      <c r="A277" s="39">
        <f>IF(B277="","","IPC-"&amp;TEXT(ROW()-4,"0000"))</f>
        <v/>
      </c>
      <c r="B277" s="50" t="n"/>
      <c r="C277" s="49">
        <f>IF(B277="","",IFERROR(INDEX('المشروعات'!$B$5:$B$304,MATCH(B277,'المشروعات'!$A$5:$A$304,0)),""))</f>
        <v/>
      </c>
      <c r="D277" s="47" t="n"/>
      <c r="E277" s="47" t="n"/>
      <c r="F277" s="41" t="n"/>
      <c r="G277" s="46">
        <f>IF(B277="","",SUMIFS($H$4:H276,$B$4:B276,B277))</f>
        <v/>
      </c>
      <c r="H277" s="46">
        <f>IF(B277="","",F277-G277)</f>
        <v/>
      </c>
      <c r="I277" s="46">
        <f>IF(B277="","",H277*S_Ret)</f>
        <v/>
      </c>
      <c r="J277" s="41" t="n"/>
      <c r="K277" s="41" t="n"/>
      <c r="L277" s="46">
        <f>IF(B277="","",H277-I277-N(J277)-N(K277))</f>
        <v/>
      </c>
      <c r="M277" s="46">
        <f>IF(B277="","",L277*S_VAT)</f>
        <v/>
      </c>
      <c r="N277" s="46">
        <f>IF(B277="","",L277+M277)</f>
        <v/>
      </c>
      <c r="O277" s="40" t="n"/>
      <c r="P277" s="46">
        <f>IF(A277="","",SUMIFS('سندات القبض'!$K$5:$K$304,'سندات القبض'!$F$5:$F$304,A277))</f>
        <v/>
      </c>
      <c r="Q277" s="46">
        <f>IF(A277="","",N277-P277)</f>
        <v/>
      </c>
      <c r="R277" s="49">
        <f>IF(A277="","",IF(P277&gt;=N277-0.01,"محصّل بالكامل",IF(P277&gt;0,"محصّل جزئياً","غير محصّل")))</f>
        <v/>
      </c>
    </row>
    <row r="278">
      <c r="A278" s="39">
        <f>IF(B278="","","IPC-"&amp;TEXT(ROW()-4,"0000"))</f>
        <v/>
      </c>
      <c r="B278" s="50" t="n"/>
      <c r="C278" s="49">
        <f>IF(B278="","",IFERROR(INDEX('المشروعات'!$B$5:$B$304,MATCH(B278,'المشروعات'!$A$5:$A$304,0)),""))</f>
        <v/>
      </c>
      <c r="D278" s="47" t="n"/>
      <c r="E278" s="47" t="n"/>
      <c r="F278" s="41" t="n"/>
      <c r="G278" s="46">
        <f>IF(B278="","",SUMIFS($H$4:H277,$B$4:B277,B278))</f>
        <v/>
      </c>
      <c r="H278" s="46">
        <f>IF(B278="","",F278-G278)</f>
        <v/>
      </c>
      <c r="I278" s="46">
        <f>IF(B278="","",H278*S_Ret)</f>
        <v/>
      </c>
      <c r="J278" s="41" t="n"/>
      <c r="K278" s="41" t="n"/>
      <c r="L278" s="46">
        <f>IF(B278="","",H278-I278-N(J278)-N(K278))</f>
        <v/>
      </c>
      <c r="M278" s="46">
        <f>IF(B278="","",L278*S_VAT)</f>
        <v/>
      </c>
      <c r="N278" s="46">
        <f>IF(B278="","",L278+M278)</f>
        <v/>
      </c>
      <c r="O278" s="40" t="n"/>
      <c r="P278" s="46">
        <f>IF(A278="","",SUMIFS('سندات القبض'!$K$5:$K$304,'سندات القبض'!$F$5:$F$304,A278))</f>
        <v/>
      </c>
      <c r="Q278" s="46">
        <f>IF(A278="","",N278-P278)</f>
        <v/>
      </c>
      <c r="R278" s="49">
        <f>IF(A278="","",IF(P278&gt;=N278-0.01,"محصّل بالكامل",IF(P278&gt;0,"محصّل جزئياً","غير محصّل")))</f>
        <v/>
      </c>
    </row>
    <row r="279">
      <c r="A279" s="39">
        <f>IF(B279="","","IPC-"&amp;TEXT(ROW()-4,"0000"))</f>
        <v/>
      </c>
      <c r="B279" s="50" t="n"/>
      <c r="C279" s="49">
        <f>IF(B279="","",IFERROR(INDEX('المشروعات'!$B$5:$B$304,MATCH(B279,'المشروعات'!$A$5:$A$304,0)),""))</f>
        <v/>
      </c>
      <c r="D279" s="47" t="n"/>
      <c r="E279" s="47" t="n"/>
      <c r="F279" s="41" t="n"/>
      <c r="G279" s="46">
        <f>IF(B279="","",SUMIFS($H$4:H278,$B$4:B278,B279))</f>
        <v/>
      </c>
      <c r="H279" s="46">
        <f>IF(B279="","",F279-G279)</f>
        <v/>
      </c>
      <c r="I279" s="46">
        <f>IF(B279="","",H279*S_Ret)</f>
        <v/>
      </c>
      <c r="J279" s="41" t="n"/>
      <c r="K279" s="41" t="n"/>
      <c r="L279" s="46">
        <f>IF(B279="","",H279-I279-N(J279)-N(K279))</f>
        <v/>
      </c>
      <c r="M279" s="46">
        <f>IF(B279="","",L279*S_VAT)</f>
        <v/>
      </c>
      <c r="N279" s="46">
        <f>IF(B279="","",L279+M279)</f>
        <v/>
      </c>
      <c r="O279" s="40" t="n"/>
      <c r="P279" s="46">
        <f>IF(A279="","",SUMIFS('سندات القبض'!$K$5:$K$304,'سندات القبض'!$F$5:$F$304,A279))</f>
        <v/>
      </c>
      <c r="Q279" s="46">
        <f>IF(A279="","",N279-P279)</f>
        <v/>
      </c>
      <c r="R279" s="49">
        <f>IF(A279="","",IF(P279&gt;=N279-0.01,"محصّل بالكامل",IF(P279&gt;0,"محصّل جزئياً","غير محصّل")))</f>
        <v/>
      </c>
    </row>
    <row r="280">
      <c r="A280" s="39">
        <f>IF(B280="","","IPC-"&amp;TEXT(ROW()-4,"0000"))</f>
        <v/>
      </c>
      <c r="B280" s="50" t="n"/>
      <c r="C280" s="49">
        <f>IF(B280="","",IFERROR(INDEX('المشروعات'!$B$5:$B$304,MATCH(B280,'المشروعات'!$A$5:$A$304,0)),""))</f>
        <v/>
      </c>
      <c r="D280" s="47" t="n"/>
      <c r="E280" s="47" t="n"/>
      <c r="F280" s="41" t="n"/>
      <c r="G280" s="46">
        <f>IF(B280="","",SUMIFS($H$4:H279,$B$4:B279,B280))</f>
        <v/>
      </c>
      <c r="H280" s="46">
        <f>IF(B280="","",F280-G280)</f>
        <v/>
      </c>
      <c r="I280" s="46">
        <f>IF(B280="","",H280*S_Ret)</f>
        <v/>
      </c>
      <c r="J280" s="41" t="n"/>
      <c r="K280" s="41" t="n"/>
      <c r="L280" s="46">
        <f>IF(B280="","",H280-I280-N(J280)-N(K280))</f>
        <v/>
      </c>
      <c r="M280" s="46">
        <f>IF(B280="","",L280*S_VAT)</f>
        <v/>
      </c>
      <c r="N280" s="46">
        <f>IF(B280="","",L280+M280)</f>
        <v/>
      </c>
      <c r="O280" s="40" t="n"/>
      <c r="P280" s="46">
        <f>IF(A280="","",SUMIFS('سندات القبض'!$K$5:$K$304,'سندات القبض'!$F$5:$F$304,A280))</f>
        <v/>
      </c>
      <c r="Q280" s="46">
        <f>IF(A280="","",N280-P280)</f>
        <v/>
      </c>
      <c r="R280" s="49">
        <f>IF(A280="","",IF(P280&gt;=N280-0.01,"محصّل بالكامل",IF(P280&gt;0,"محصّل جزئياً","غير محصّل")))</f>
        <v/>
      </c>
    </row>
    <row r="281">
      <c r="A281" s="39">
        <f>IF(B281="","","IPC-"&amp;TEXT(ROW()-4,"0000"))</f>
        <v/>
      </c>
      <c r="B281" s="50" t="n"/>
      <c r="C281" s="49">
        <f>IF(B281="","",IFERROR(INDEX('المشروعات'!$B$5:$B$304,MATCH(B281,'المشروعات'!$A$5:$A$304,0)),""))</f>
        <v/>
      </c>
      <c r="D281" s="47" t="n"/>
      <c r="E281" s="47" t="n"/>
      <c r="F281" s="41" t="n"/>
      <c r="G281" s="46">
        <f>IF(B281="","",SUMIFS($H$4:H280,$B$4:B280,B281))</f>
        <v/>
      </c>
      <c r="H281" s="46">
        <f>IF(B281="","",F281-G281)</f>
        <v/>
      </c>
      <c r="I281" s="46">
        <f>IF(B281="","",H281*S_Ret)</f>
        <v/>
      </c>
      <c r="J281" s="41" t="n"/>
      <c r="K281" s="41" t="n"/>
      <c r="L281" s="46">
        <f>IF(B281="","",H281-I281-N(J281)-N(K281))</f>
        <v/>
      </c>
      <c r="M281" s="46">
        <f>IF(B281="","",L281*S_VAT)</f>
        <v/>
      </c>
      <c r="N281" s="46">
        <f>IF(B281="","",L281+M281)</f>
        <v/>
      </c>
      <c r="O281" s="40" t="n"/>
      <c r="P281" s="46">
        <f>IF(A281="","",SUMIFS('سندات القبض'!$K$5:$K$304,'سندات القبض'!$F$5:$F$304,A281))</f>
        <v/>
      </c>
      <c r="Q281" s="46">
        <f>IF(A281="","",N281-P281)</f>
        <v/>
      </c>
      <c r="R281" s="49">
        <f>IF(A281="","",IF(P281&gt;=N281-0.01,"محصّل بالكامل",IF(P281&gt;0,"محصّل جزئياً","غير محصّل")))</f>
        <v/>
      </c>
    </row>
    <row r="282">
      <c r="A282" s="39">
        <f>IF(B282="","","IPC-"&amp;TEXT(ROW()-4,"0000"))</f>
        <v/>
      </c>
      <c r="B282" s="50" t="n"/>
      <c r="C282" s="49">
        <f>IF(B282="","",IFERROR(INDEX('المشروعات'!$B$5:$B$304,MATCH(B282,'المشروعات'!$A$5:$A$304,0)),""))</f>
        <v/>
      </c>
      <c r="D282" s="47" t="n"/>
      <c r="E282" s="47" t="n"/>
      <c r="F282" s="41" t="n"/>
      <c r="G282" s="46">
        <f>IF(B282="","",SUMIFS($H$4:H281,$B$4:B281,B282))</f>
        <v/>
      </c>
      <c r="H282" s="46">
        <f>IF(B282="","",F282-G282)</f>
        <v/>
      </c>
      <c r="I282" s="46">
        <f>IF(B282="","",H282*S_Ret)</f>
        <v/>
      </c>
      <c r="J282" s="41" t="n"/>
      <c r="K282" s="41" t="n"/>
      <c r="L282" s="46">
        <f>IF(B282="","",H282-I282-N(J282)-N(K282))</f>
        <v/>
      </c>
      <c r="M282" s="46">
        <f>IF(B282="","",L282*S_VAT)</f>
        <v/>
      </c>
      <c r="N282" s="46">
        <f>IF(B282="","",L282+M282)</f>
        <v/>
      </c>
      <c r="O282" s="40" t="n"/>
      <c r="P282" s="46">
        <f>IF(A282="","",SUMIFS('سندات القبض'!$K$5:$K$304,'سندات القبض'!$F$5:$F$304,A282))</f>
        <v/>
      </c>
      <c r="Q282" s="46">
        <f>IF(A282="","",N282-P282)</f>
        <v/>
      </c>
      <c r="R282" s="49">
        <f>IF(A282="","",IF(P282&gt;=N282-0.01,"محصّل بالكامل",IF(P282&gt;0,"محصّل جزئياً","غير محصّل")))</f>
        <v/>
      </c>
    </row>
    <row r="283">
      <c r="A283" s="39">
        <f>IF(B283="","","IPC-"&amp;TEXT(ROW()-4,"0000"))</f>
        <v/>
      </c>
      <c r="B283" s="50" t="n"/>
      <c r="C283" s="49">
        <f>IF(B283="","",IFERROR(INDEX('المشروعات'!$B$5:$B$304,MATCH(B283,'المشروعات'!$A$5:$A$304,0)),""))</f>
        <v/>
      </c>
      <c r="D283" s="47" t="n"/>
      <c r="E283" s="47" t="n"/>
      <c r="F283" s="41" t="n"/>
      <c r="G283" s="46">
        <f>IF(B283="","",SUMIFS($H$4:H282,$B$4:B282,B283))</f>
        <v/>
      </c>
      <c r="H283" s="46">
        <f>IF(B283="","",F283-G283)</f>
        <v/>
      </c>
      <c r="I283" s="46">
        <f>IF(B283="","",H283*S_Ret)</f>
        <v/>
      </c>
      <c r="J283" s="41" t="n"/>
      <c r="K283" s="41" t="n"/>
      <c r="L283" s="46">
        <f>IF(B283="","",H283-I283-N(J283)-N(K283))</f>
        <v/>
      </c>
      <c r="M283" s="46">
        <f>IF(B283="","",L283*S_VAT)</f>
        <v/>
      </c>
      <c r="N283" s="46">
        <f>IF(B283="","",L283+M283)</f>
        <v/>
      </c>
      <c r="O283" s="40" t="n"/>
      <c r="P283" s="46">
        <f>IF(A283="","",SUMIFS('سندات القبض'!$K$5:$K$304,'سندات القبض'!$F$5:$F$304,A283))</f>
        <v/>
      </c>
      <c r="Q283" s="46">
        <f>IF(A283="","",N283-P283)</f>
        <v/>
      </c>
      <c r="R283" s="49">
        <f>IF(A283="","",IF(P283&gt;=N283-0.01,"محصّل بالكامل",IF(P283&gt;0,"محصّل جزئياً","غير محصّل")))</f>
        <v/>
      </c>
    </row>
    <row r="284">
      <c r="A284" s="39">
        <f>IF(B284="","","IPC-"&amp;TEXT(ROW()-4,"0000"))</f>
        <v/>
      </c>
      <c r="B284" s="50" t="n"/>
      <c r="C284" s="49">
        <f>IF(B284="","",IFERROR(INDEX('المشروعات'!$B$5:$B$304,MATCH(B284,'المشروعات'!$A$5:$A$304,0)),""))</f>
        <v/>
      </c>
      <c r="D284" s="47" t="n"/>
      <c r="E284" s="47" t="n"/>
      <c r="F284" s="41" t="n"/>
      <c r="G284" s="46">
        <f>IF(B284="","",SUMIFS($H$4:H283,$B$4:B283,B284))</f>
        <v/>
      </c>
      <c r="H284" s="46">
        <f>IF(B284="","",F284-G284)</f>
        <v/>
      </c>
      <c r="I284" s="46">
        <f>IF(B284="","",H284*S_Ret)</f>
        <v/>
      </c>
      <c r="J284" s="41" t="n"/>
      <c r="K284" s="41" t="n"/>
      <c r="L284" s="46">
        <f>IF(B284="","",H284-I284-N(J284)-N(K284))</f>
        <v/>
      </c>
      <c r="M284" s="46">
        <f>IF(B284="","",L284*S_VAT)</f>
        <v/>
      </c>
      <c r="N284" s="46">
        <f>IF(B284="","",L284+M284)</f>
        <v/>
      </c>
      <c r="O284" s="40" t="n"/>
      <c r="P284" s="46">
        <f>IF(A284="","",SUMIFS('سندات القبض'!$K$5:$K$304,'سندات القبض'!$F$5:$F$304,A284))</f>
        <v/>
      </c>
      <c r="Q284" s="46">
        <f>IF(A284="","",N284-P284)</f>
        <v/>
      </c>
      <c r="R284" s="49">
        <f>IF(A284="","",IF(P284&gt;=N284-0.01,"محصّل بالكامل",IF(P284&gt;0,"محصّل جزئياً","غير محصّل")))</f>
        <v/>
      </c>
    </row>
    <row r="285">
      <c r="A285" s="39">
        <f>IF(B285="","","IPC-"&amp;TEXT(ROW()-4,"0000"))</f>
        <v/>
      </c>
      <c r="B285" s="50" t="n"/>
      <c r="C285" s="49">
        <f>IF(B285="","",IFERROR(INDEX('المشروعات'!$B$5:$B$304,MATCH(B285,'المشروعات'!$A$5:$A$304,0)),""))</f>
        <v/>
      </c>
      <c r="D285" s="47" t="n"/>
      <c r="E285" s="47" t="n"/>
      <c r="F285" s="41" t="n"/>
      <c r="G285" s="46">
        <f>IF(B285="","",SUMIFS($H$4:H284,$B$4:B284,B285))</f>
        <v/>
      </c>
      <c r="H285" s="46">
        <f>IF(B285="","",F285-G285)</f>
        <v/>
      </c>
      <c r="I285" s="46">
        <f>IF(B285="","",H285*S_Ret)</f>
        <v/>
      </c>
      <c r="J285" s="41" t="n"/>
      <c r="K285" s="41" t="n"/>
      <c r="L285" s="46">
        <f>IF(B285="","",H285-I285-N(J285)-N(K285))</f>
        <v/>
      </c>
      <c r="M285" s="46">
        <f>IF(B285="","",L285*S_VAT)</f>
        <v/>
      </c>
      <c r="N285" s="46">
        <f>IF(B285="","",L285+M285)</f>
        <v/>
      </c>
      <c r="O285" s="40" t="n"/>
      <c r="P285" s="46">
        <f>IF(A285="","",SUMIFS('سندات القبض'!$K$5:$K$304,'سندات القبض'!$F$5:$F$304,A285))</f>
        <v/>
      </c>
      <c r="Q285" s="46">
        <f>IF(A285="","",N285-P285)</f>
        <v/>
      </c>
      <c r="R285" s="49">
        <f>IF(A285="","",IF(P285&gt;=N285-0.01,"محصّل بالكامل",IF(P285&gt;0,"محصّل جزئياً","غير محصّل")))</f>
        <v/>
      </c>
    </row>
    <row r="286">
      <c r="A286" s="39">
        <f>IF(B286="","","IPC-"&amp;TEXT(ROW()-4,"0000"))</f>
        <v/>
      </c>
      <c r="B286" s="50" t="n"/>
      <c r="C286" s="49">
        <f>IF(B286="","",IFERROR(INDEX('المشروعات'!$B$5:$B$304,MATCH(B286,'المشروعات'!$A$5:$A$304,0)),""))</f>
        <v/>
      </c>
      <c r="D286" s="47" t="n"/>
      <c r="E286" s="47" t="n"/>
      <c r="F286" s="41" t="n"/>
      <c r="G286" s="46">
        <f>IF(B286="","",SUMIFS($H$4:H285,$B$4:B285,B286))</f>
        <v/>
      </c>
      <c r="H286" s="46">
        <f>IF(B286="","",F286-G286)</f>
        <v/>
      </c>
      <c r="I286" s="46">
        <f>IF(B286="","",H286*S_Ret)</f>
        <v/>
      </c>
      <c r="J286" s="41" t="n"/>
      <c r="K286" s="41" t="n"/>
      <c r="L286" s="46">
        <f>IF(B286="","",H286-I286-N(J286)-N(K286))</f>
        <v/>
      </c>
      <c r="M286" s="46">
        <f>IF(B286="","",L286*S_VAT)</f>
        <v/>
      </c>
      <c r="N286" s="46">
        <f>IF(B286="","",L286+M286)</f>
        <v/>
      </c>
      <c r="O286" s="40" t="n"/>
      <c r="P286" s="46">
        <f>IF(A286="","",SUMIFS('سندات القبض'!$K$5:$K$304,'سندات القبض'!$F$5:$F$304,A286))</f>
        <v/>
      </c>
      <c r="Q286" s="46">
        <f>IF(A286="","",N286-P286)</f>
        <v/>
      </c>
      <c r="R286" s="49">
        <f>IF(A286="","",IF(P286&gt;=N286-0.01,"محصّل بالكامل",IF(P286&gt;0,"محصّل جزئياً","غير محصّل")))</f>
        <v/>
      </c>
    </row>
    <row r="287">
      <c r="A287" s="39">
        <f>IF(B287="","","IPC-"&amp;TEXT(ROW()-4,"0000"))</f>
        <v/>
      </c>
      <c r="B287" s="50" t="n"/>
      <c r="C287" s="49">
        <f>IF(B287="","",IFERROR(INDEX('المشروعات'!$B$5:$B$304,MATCH(B287,'المشروعات'!$A$5:$A$304,0)),""))</f>
        <v/>
      </c>
      <c r="D287" s="47" t="n"/>
      <c r="E287" s="47" t="n"/>
      <c r="F287" s="41" t="n"/>
      <c r="G287" s="46">
        <f>IF(B287="","",SUMIFS($H$4:H286,$B$4:B286,B287))</f>
        <v/>
      </c>
      <c r="H287" s="46">
        <f>IF(B287="","",F287-G287)</f>
        <v/>
      </c>
      <c r="I287" s="46">
        <f>IF(B287="","",H287*S_Ret)</f>
        <v/>
      </c>
      <c r="J287" s="41" t="n"/>
      <c r="K287" s="41" t="n"/>
      <c r="L287" s="46">
        <f>IF(B287="","",H287-I287-N(J287)-N(K287))</f>
        <v/>
      </c>
      <c r="M287" s="46">
        <f>IF(B287="","",L287*S_VAT)</f>
        <v/>
      </c>
      <c r="N287" s="46">
        <f>IF(B287="","",L287+M287)</f>
        <v/>
      </c>
      <c r="O287" s="40" t="n"/>
      <c r="P287" s="46">
        <f>IF(A287="","",SUMIFS('سندات القبض'!$K$5:$K$304,'سندات القبض'!$F$5:$F$304,A287))</f>
        <v/>
      </c>
      <c r="Q287" s="46">
        <f>IF(A287="","",N287-P287)</f>
        <v/>
      </c>
      <c r="R287" s="49">
        <f>IF(A287="","",IF(P287&gt;=N287-0.01,"محصّل بالكامل",IF(P287&gt;0,"محصّل جزئياً","غير محصّل")))</f>
        <v/>
      </c>
    </row>
    <row r="288">
      <c r="A288" s="39">
        <f>IF(B288="","","IPC-"&amp;TEXT(ROW()-4,"0000"))</f>
        <v/>
      </c>
      <c r="B288" s="50" t="n"/>
      <c r="C288" s="49">
        <f>IF(B288="","",IFERROR(INDEX('المشروعات'!$B$5:$B$304,MATCH(B288,'المشروعات'!$A$5:$A$304,0)),""))</f>
        <v/>
      </c>
      <c r="D288" s="47" t="n"/>
      <c r="E288" s="47" t="n"/>
      <c r="F288" s="41" t="n"/>
      <c r="G288" s="46">
        <f>IF(B288="","",SUMIFS($H$4:H287,$B$4:B287,B288))</f>
        <v/>
      </c>
      <c r="H288" s="46">
        <f>IF(B288="","",F288-G288)</f>
        <v/>
      </c>
      <c r="I288" s="46">
        <f>IF(B288="","",H288*S_Ret)</f>
        <v/>
      </c>
      <c r="J288" s="41" t="n"/>
      <c r="K288" s="41" t="n"/>
      <c r="L288" s="46">
        <f>IF(B288="","",H288-I288-N(J288)-N(K288))</f>
        <v/>
      </c>
      <c r="M288" s="46">
        <f>IF(B288="","",L288*S_VAT)</f>
        <v/>
      </c>
      <c r="N288" s="46">
        <f>IF(B288="","",L288+M288)</f>
        <v/>
      </c>
      <c r="O288" s="40" t="n"/>
      <c r="P288" s="46">
        <f>IF(A288="","",SUMIFS('سندات القبض'!$K$5:$K$304,'سندات القبض'!$F$5:$F$304,A288))</f>
        <v/>
      </c>
      <c r="Q288" s="46">
        <f>IF(A288="","",N288-P288)</f>
        <v/>
      </c>
      <c r="R288" s="49">
        <f>IF(A288="","",IF(P288&gt;=N288-0.01,"محصّل بالكامل",IF(P288&gt;0,"محصّل جزئياً","غير محصّل")))</f>
        <v/>
      </c>
    </row>
    <row r="289">
      <c r="A289" s="39">
        <f>IF(B289="","","IPC-"&amp;TEXT(ROW()-4,"0000"))</f>
        <v/>
      </c>
      <c r="B289" s="50" t="n"/>
      <c r="C289" s="49">
        <f>IF(B289="","",IFERROR(INDEX('المشروعات'!$B$5:$B$304,MATCH(B289,'المشروعات'!$A$5:$A$304,0)),""))</f>
        <v/>
      </c>
      <c r="D289" s="47" t="n"/>
      <c r="E289" s="47" t="n"/>
      <c r="F289" s="41" t="n"/>
      <c r="G289" s="46">
        <f>IF(B289="","",SUMIFS($H$4:H288,$B$4:B288,B289))</f>
        <v/>
      </c>
      <c r="H289" s="46">
        <f>IF(B289="","",F289-G289)</f>
        <v/>
      </c>
      <c r="I289" s="46">
        <f>IF(B289="","",H289*S_Ret)</f>
        <v/>
      </c>
      <c r="J289" s="41" t="n"/>
      <c r="K289" s="41" t="n"/>
      <c r="L289" s="46">
        <f>IF(B289="","",H289-I289-N(J289)-N(K289))</f>
        <v/>
      </c>
      <c r="M289" s="46">
        <f>IF(B289="","",L289*S_VAT)</f>
        <v/>
      </c>
      <c r="N289" s="46">
        <f>IF(B289="","",L289+M289)</f>
        <v/>
      </c>
      <c r="O289" s="40" t="n"/>
      <c r="P289" s="46">
        <f>IF(A289="","",SUMIFS('سندات القبض'!$K$5:$K$304,'سندات القبض'!$F$5:$F$304,A289))</f>
        <v/>
      </c>
      <c r="Q289" s="46">
        <f>IF(A289="","",N289-P289)</f>
        <v/>
      </c>
      <c r="R289" s="49">
        <f>IF(A289="","",IF(P289&gt;=N289-0.01,"محصّل بالكامل",IF(P289&gt;0,"محصّل جزئياً","غير محصّل")))</f>
        <v/>
      </c>
    </row>
    <row r="290">
      <c r="A290" s="39">
        <f>IF(B290="","","IPC-"&amp;TEXT(ROW()-4,"0000"))</f>
        <v/>
      </c>
      <c r="B290" s="50" t="n"/>
      <c r="C290" s="49">
        <f>IF(B290="","",IFERROR(INDEX('المشروعات'!$B$5:$B$304,MATCH(B290,'المشروعات'!$A$5:$A$304,0)),""))</f>
        <v/>
      </c>
      <c r="D290" s="47" t="n"/>
      <c r="E290" s="47" t="n"/>
      <c r="F290" s="41" t="n"/>
      <c r="G290" s="46">
        <f>IF(B290="","",SUMIFS($H$4:H289,$B$4:B289,B290))</f>
        <v/>
      </c>
      <c r="H290" s="46">
        <f>IF(B290="","",F290-G290)</f>
        <v/>
      </c>
      <c r="I290" s="46">
        <f>IF(B290="","",H290*S_Ret)</f>
        <v/>
      </c>
      <c r="J290" s="41" t="n"/>
      <c r="K290" s="41" t="n"/>
      <c r="L290" s="46">
        <f>IF(B290="","",H290-I290-N(J290)-N(K290))</f>
        <v/>
      </c>
      <c r="M290" s="46">
        <f>IF(B290="","",L290*S_VAT)</f>
        <v/>
      </c>
      <c r="N290" s="46">
        <f>IF(B290="","",L290+M290)</f>
        <v/>
      </c>
      <c r="O290" s="40" t="n"/>
      <c r="P290" s="46">
        <f>IF(A290="","",SUMIFS('سندات القبض'!$K$5:$K$304,'سندات القبض'!$F$5:$F$304,A290))</f>
        <v/>
      </c>
      <c r="Q290" s="46">
        <f>IF(A290="","",N290-P290)</f>
        <v/>
      </c>
      <c r="R290" s="49">
        <f>IF(A290="","",IF(P290&gt;=N290-0.01,"محصّل بالكامل",IF(P290&gt;0,"محصّل جزئياً","غير محصّل")))</f>
        <v/>
      </c>
    </row>
    <row r="291">
      <c r="A291" s="39">
        <f>IF(B291="","","IPC-"&amp;TEXT(ROW()-4,"0000"))</f>
        <v/>
      </c>
      <c r="B291" s="50" t="n"/>
      <c r="C291" s="49">
        <f>IF(B291="","",IFERROR(INDEX('المشروعات'!$B$5:$B$304,MATCH(B291,'المشروعات'!$A$5:$A$304,0)),""))</f>
        <v/>
      </c>
      <c r="D291" s="47" t="n"/>
      <c r="E291" s="47" t="n"/>
      <c r="F291" s="41" t="n"/>
      <c r="G291" s="46">
        <f>IF(B291="","",SUMIFS($H$4:H290,$B$4:B290,B291))</f>
        <v/>
      </c>
      <c r="H291" s="46">
        <f>IF(B291="","",F291-G291)</f>
        <v/>
      </c>
      <c r="I291" s="46">
        <f>IF(B291="","",H291*S_Ret)</f>
        <v/>
      </c>
      <c r="J291" s="41" t="n"/>
      <c r="K291" s="41" t="n"/>
      <c r="L291" s="46">
        <f>IF(B291="","",H291-I291-N(J291)-N(K291))</f>
        <v/>
      </c>
      <c r="M291" s="46">
        <f>IF(B291="","",L291*S_VAT)</f>
        <v/>
      </c>
      <c r="N291" s="46">
        <f>IF(B291="","",L291+M291)</f>
        <v/>
      </c>
      <c r="O291" s="40" t="n"/>
      <c r="P291" s="46">
        <f>IF(A291="","",SUMIFS('سندات القبض'!$K$5:$K$304,'سندات القبض'!$F$5:$F$304,A291))</f>
        <v/>
      </c>
      <c r="Q291" s="46">
        <f>IF(A291="","",N291-P291)</f>
        <v/>
      </c>
      <c r="R291" s="49">
        <f>IF(A291="","",IF(P291&gt;=N291-0.01,"محصّل بالكامل",IF(P291&gt;0,"محصّل جزئياً","غير محصّل")))</f>
        <v/>
      </c>
    </row>
    <row r="292">
      <c r="A292" s="39">
        <f>IF(B292="","","IPC-"&amp;TEXT(ROW()-4,"0000"))</f>
        <v/>
      </c>
      <c r="B292" s="50" t="n"/>
      <c r="C292" s="49">
        <f>IF(B292="","",IFERROR(INDEX('المشروعات'!$B$5:$B$304,MATCH(B292,'المشروعات'!$A$5:$A$304,0)),""))</f>
        <v/>
      </c>
      <c r="D292" s="47" t="n"/>
      <c r="E292" s="47" t="n"/>
      <c r="F292" s="41" t="n"/>
      <c r="G292" s="46">
        <f>IF(B292="","",SUMIFS($H$4:H291,$B$4:B291,B292))</f>
        <v/>
      </c>
      <c r="H292" s="46">
        <f>IF(B292="","",F292-G292)</f>
        <v/>
      </c>
      <c r="I292" s="46">
        <f>IF(B292="","",H292*S_Ret)</f>
        <v/>
      </c>
      <c r="J292" s="41" t="n"/>
      <c r="K292" s="41" t="n"/>
      <c r="L292" s="46">
        <f>IF(B292="","",H292-I292-N(J292)-N(K292))</f>
        <v/>
      </c>
      <c r="M292" s="46">
        <f>IF(B292="","",L292*S_VAT)</f>
        <v/>
      </c>
      <c r="N292" s="46">
        <f>IF(B292="","",L292+M292)</f>
        <v/>
      </c>
      <c r="O292" s="40" t="n"/>
      <c r="P292" s="46">
        <f>IF(A292="","",SUMIFS('سندات القبض'!$K$5:$K$304,'سندات القبض'!$F$5:$F$304,A292))</f>
        <v/>
      </c>
      <c r="Q292" s="46">
        <f>IF(A292="","",N292-P292)</f>
        <v/>
      </c>
      <c r="R292" s="49">
        <f>IF(A292="","",IF(P292&gt;=N292-0.01,"محصّل بالكامل",IF(P292&gt;0,"محصّل جزئياً","غير محصّل")))</f>
        <v/>
      </c>
    </row>
    <row r="293">
      <c r="A293" s="39">
        <f>IF(B293="","","IPC-"&amp;TEXT(ROW()-4,"0000"))</f>
        <v/>
      </c>
      <c r="B293" s="50" t="n"/>
      <c r="C293" s="49">
        <f>IF(B293="","",IFERROR(INDEX('المشروعات'!$B$5:$B$304,MATCH(B293,'المشروعات'!$A$5:$A$304,0)),""))</f>
        <v/>
      </c>
      <c r="D293" s="47" t="n"/>
      <c r="E293" s="47" t="n"/>
      <c r="F293" s="41" t="n"/>
      <c r="G293" s="46">
        <f>IF(B293="","",SUMIFS($H$4:H292,$B$4:B292,B293))</f>
        <v/>
      </c>
      <c r="H293" s="46">
        <f>IF(B293="","",F293-G293)</f>
        <v/>
      </c>
      <c r="I293" s="46">
        <f>IF(B293="","",H293*S_Ret)</f>
        <v/>
      </c>
      <c r="J293" s="41" t="n"/>
      <c r="K293" s="41" t="n"/>
      <c r="L293" s="46">
        <f>IF(B293="","",H293-I293-N(J293)-N(K293))</f>
        <v/>
      </c>
      <c r="M293" s="46">
        <f>IF(B293="","",L293*S_VAT)</f>
        <v/>
      </c>
      <c r="N293" s="46">
        <f>IF(B293="","",L293+M293)</f>
        <v/>
      </c>
      <c r="O293" s="40" t="n"/>
      <c r="P293" s="46">
        <f>IF(A293="","",SUMIFS('سندات القبض'!$K$5:$K$304,'سندات القبض'!$F$5:$F$304,A293))</f>
        <v/>
      </c>
      <c r="Q293" s="46">
        <f>IF(A293="","",N293-P293)</f>
        <v/>
      </c>
      <c r="R293" s="49">
        <f>IF(A293="","",IF(P293&gt;=N293-0.01,"محصّل بالكامل",IF(P293&gt;0,"محصّل جزئياً","غير محصّل")))</f>
        <v/>
      </c>
    </row>
    <row r="294">
      <c r="A294" s="39">
        <f>IF(B294="","","IPC-"&amp;TEXT(ROW()-4,"0000"))</f>
        <v/>
      </c>
      <c r="B294" s="50" t="n"/>
      <c r="C294" s="49">
        <f>IF(B294="","",IFERROR(INDEX('المشروعات'!$B$5:$B$304,MATCH(B294,'المشروعات'!$A$5:$A$304,0)),""))</f>
        <v/>
      </c>
      <c r="D294" s="47" t="n"/>
      <c r="E294" s="47" t="n"/>
      <c r="F294" s="41" t="n"/>
      <c r="G294" s="46">
        <f>IF(B294="","",SUMIFS($H$4:H293,$B$4:B293,B294))</f>
        <v/>
      </c>
      <c r="H294" s="46">
        <f>IF(B294="","",F294-G294)</f>
        <v/>
      </c>
      <c r="I294" s="46">
        <f>IF(B294="","",H294*S_Ret)</f>
        <v/>
      </c>
      <c r="J294" s="41" t="n"/>
      <c r="K294" s="41" t="n"/>
      <c r="L294" s="46">
        <f>IF(B294="","",H294-I294-N(J294)-N(K294))</f>
        <v/>
      </c>
      <c r="M294" s="46">
        <f>IF(B294="","",L294*S_VAT)</f>
        <v/>
      </c>
      <c r="N294" s="46">
        <f>IF(B294="","",L294+M294)</f>
        <v/>
      </c>
      <c r="O294" s="40" t="n"/>
      <c r="P294" s="46">
        <f>IF(A294="","",SUMIFS('سندات القبض'!$K$5:$K$304,'سندات القبض'!$F$5:$F$304,A294))</f>
        <v/>
      </c>
      <c r="Q294" s="46">
        <f>IF(A294="","",N294-P294)</f>
        <v/>
      </c>
      <c r="R294" s="49">
        <f>IF(A294="","",IF(P294&gt;=N294-0.01,"محصّل بالكامل",IF(P294&gt;0,"محصّل جزئياً","غير محصّل")))</f>
        <v/>
      </c>
    </row>
    <row r="295">
      <c r="A295" s="39">
        <f>IF(B295="","","IPC-"&amp;TEXT(ROW()-4,"0000"))</f>
        <v/>
      </c>
      <c r="B295" s="50" t="n"/>
      <c r="C295" s="49">
        <f>IF(B295="","",IFERROR(INDEX('المشروعات'!$B$5:$B$304,MATCH(B295,'المشروعات'!$A$5:$A$304,0)),""))</f>
        <v/>
      </c>
      <c r="D295" s="47" t="n"/>
      <c r="E295" s="47" t="n"/>
      <c r="F295" s="41" t="n"/>
      <c r="G295" s="46">
        <f>IF(B295="","",SUMIFS($H$4:H294,$B$4:B294,B295))</f>
        <v/>
      </c>
      <c r="H295" s="46">
        <f>IF(B295="","",F295-G295)</f>
        <v/>
      </c>
      <c r="I295" s="46">
        <f>IF(B295="","",H295*S_Ret)</f>
        <v/>
      </c>
      <c r="J295" s="41" t="n"/>
      <c r="K295" s="41" t="n"/>
      <c r="L295" s="46">
        <f>IF(B295="","",H295-I295-N(J295)-N(K295))</f>
        <v/>
      </c>
      <c r="M295" s="46">
        <f>IF(B295="","",L295*S_VAT)</f>
        <v/>
      </c>
      <c r="N295" s="46">
        <f>IF(B295="","",L295+M295)</f>
        <v/>
      </c>
      <c r="O295" s="40" t="n"/>
      <c r="P295" s="46">
        <f>IF(A295="","",SUMIFS('سندات القبض'!$K$5:$K$304,'سندات القبض'!$F$5:$F$304,A295))</f>
        <v/>
      </c>
      <c r="Q295" s="46">
        <f>IF(A295="","",N295-P295)</f>
        <v/>
      </c>
      <c r="R295" s="49">
        <f>IF(A295="","",IF(P295&gt;=N295-0.01,"محصّل بالكامل",IF(P295&gt;0,"محصّل جزئياً","غير محصّل")))</f>
        <v/>
      </c>
    </row>
    <row r="296">
      <c r="A296" s="39">
        <f>IF(B296="","","IPC-"&amp;TEXT(ROW()-4,"0000"))</f>
        <v/>
      </c>
      <c r="B296" s="50" t="n"/>
      <c r="C296" s="49">
        <f>IF(B296="","",IFERROR(INDEX('المشروعات'!$B$5:$B$304,MATCH(B296,'المشروعات'!$A$5:$A$304,0)),""))</f>
        <v/>
      </c>
      <c r="D296" s="47" t="n"/>
      <c r="E296" s="47" t="n"/>
      <c r="F296" s="41" t="n"/>
      <c r="G296" s="46">
        <f>IF(B296="","",SUMIFS($H$4:H295,$B$4:B295,B296))</f>
        <v/>
      </c>
      <c r="H296" s="46">
        <f>IF(B296="","",F296-G296)</f>
        <v/>
      </c>
      <c r="I296" s="46">
        <f>IF(B296="","",H296*S_Ret)</f>
        <v/>
      </c>
      <c r="J296" s="41" t="n"/>
      <c r="K296" s="41" t="n"/>
      <c r="L296" s="46">
        <f>IF(B296="","",H296-I296-N(J296)-N(K296))</f>
        <v/>
      </c>
      <c r="M296" s="46">
        <f>IF(B296="","",L296*S_VAT)</f>
        <v/>
      </c>
      <c r="N296" s="46">
        <f>IF(B296="","",L296+M296)</f>
        <v/>
      </c>
      <c r="O296" s="40" t="n"/>
      <c r="P296" s="46">
        <f>IF(A296="","",SUMIFS('سندات القبض'!$K$5:$K$304,'سندات القبض'!$F$5:$F$304,A296))</f>
        <v/>
      </c>
      <c r="Q296" s="46">
        <f>IF(A296="","",N296-P296)</f>
        <v/>
      </c>
      <c r="R296" s="49">
        <f>IF(A296="","",IF(P296&gt;=N296-0.01,"محصّل بالكامل",IF(P296&gt;0,"محصّل جزئياً","غير محصّل")))</f>
        <v/>
      </c>
    </row>
    <row r="297">
      <c r="A297" s="39">
        <f>IF(B297="","","IPC-"&amp;TEXT(ROW()-4,"0000"))</f>
        <v/>
      </c>
      <c r="B297" s="50" t="n"/>
      <c r="C297" s="49">
        <f>IF(B297="","",IFERROR(INDEX('المشروعات'!$B$5:$B$304,MATCH(B297,'المشروعات'!$A$5:$A$304,0)),""))</f>
        <v/>
      </c>
      <c r="D297" s="47" t="n"/>
      <c r="E297" s="47" t="n"/>
      <c r="F297" s="41" t="n"/>
      <c r="G297" s="46">
        <f>IF(B297="","",SUMIFS($H$4:H296,$B$4:B296,B297))</f>
        <v/>
      </c>
      <c r="H297" s="46">
        <f>IF(B297="","",F297-G297)</f>
        <v/>
      </c>
      <c r="I297" s="46">
        <f>IF(B297="","",H297*S_Ret)</f>
        <v/>
      </c>
      <c r="J297" s="41" t="n"/>
      <c r="K297" s="41" t="n"/>
      <c r="L297" s="46">
        <f>IF(B297="","",H297-I297-N(J297)-N(K297))</f>
        <v/>
      </c>
      <c r="M297" s="46">
        <f>IF(B297="","",L297*S_VAT)</f>
        <v/>
      </c>
      <c r="N297" s="46">
        <f>IF(B297="","",L297+M297)</f>
        <v/>
      </c>
      <c r="O297" s="40" t="n"/>
      <c r="P297" s="46">
        <f>IF(A297="","",SUMIFS('سندات القبض'!$K$5:$K$304,'سندات القبض'!$F$5:$F$304,A297))</f>
        <v/>
      </c>
      <c r="Q297" s="46">
        <f>IF(A297="","",N297-P297)</f>
        <v/>
      </c>
      <c r="R297" s="49">
        <f>IF(A297="","",IF(P297&gt;=N297-0.01,"محصّل بالكامل",IF(P297&gt;0,"محصّل جزئياً","غير محصّل")))</f>
        <v/>
      </c>
    </row>
    <row r="298">
      <c r="A298" s="39">
        <f>IF(B298="","","IPC-"&amp;TEXT(ROW()-4,"0000"))</f>
        <v/>
      </c>
      <c r="B298" s="50" t="n"/>
      <c r="C298" s="49">
        <f>IF(B298="","",IFERROR(INDEX('المشروعات'!$B$5:$B$304,MATCH(B298,'المشروعات'!$A$5:$A$304,0)),""))</f>
        <v/>
      </c>
      <c r="D298" s="47" t="n"/>
      <c r="E298" s="47" t="n"/>
      <c r="F298" s="41" t="n"/>
      <c r="G298" s="46">
        <f>IF(B298="","",SUMIFS($H$4:H297,$B$4:B297,B298))</f>
        <v/>
      </c>
      <c r="H298" s="46">
        <f>IF(B298="","",F298-G298)</f>
        <v/>
      </c>
      <c r="I298" s="46">
        <f>IF(B298="","",H298*S_Ret)</f>
        <v/>
      </c>
      <c r="J298" s="41" t="n"/>
      <c r="K298" s="41" t="n"/>
      <c r="L298" s="46">
        <f>IF(B298="","",H298-I298-N(J298)-N(K298))</f>
        <v/>
      </c>
      <c r="M298" s="46">
        <f>IF(B298="","",L298*S_VAT)</f>
        <v/>
      </c>
      <c r="N298" s="46">
        <f>IF(B298="","",L298+M298)</f>
        <v/>
      </c>
      <c r="O298" s="40" t="n"/>
      <c r="P298" s="46">
        <f>IF(A298="","",SUMIFS('سندات القبض'!$K$5:$K$304,'سندات القبض'!$F$5:$F$304,A298))</f>
        <v/>
      </c>
      <c r="Q298" s="46">
        <f>IF(A298="","",N298-P298)</f>
        <v/>
      </c>
      <c r="R298" s="49">
        <f>IF(A298="","",IF(P298&gt;=N298-0.01,"محصّل بالكامل",IF(P298&gt;0,"محصّل جزئياً","غير محصّل")))</f>
        <v/>
      </c>
    </row>
    <row r="299">
      <c r="A299" s="39">
        <f>IF(B299="","","IPC-"&amp;TEXT(ROW()-4,"0000"))</f>
        <v/>
      </c>
      <c r="B299" s="50" t="n"/>
      <c r="C299" s="49">
        <f>IF(B299="","",IFERROR(INDEX('المشروعات'!$B$5:$B$304,MATCH(B299,'المشروعات'!$A$5:$A$304,0)),""))</f>
        <v/>
      </c>
      <c r="D299" s="47" t="n"/>
      <c r="E299" s="47" t="n"/>
      <c r="F299" s="41" t="n"/>
      <c r="G299" s="46">
        <f>IF(B299="","",SUMIFS($H$4:H298,$B$4:B298,B299))</f>
        <v/>
      </c>
      <c r="H299" s="46">
        <f>IF(B299="","",F299-G299)</f>
        <v/>
      </c>
      <c r="I299" s="46">
        <f>IF(B299="","",H299*S_Ret)</f>
        <v/>
      </c>
      <c r="J299" s="41" t="n"/>
      <c r="K299" s="41" t="n"/>
      <c r="L299" s="46">
        <f>IF(B299="","",H299-I299-N(J299)-N(K299))</f>
        <v/>
      </c>
      <c r="M299" s="46">
        <f>IF(B299="","",L299*S_VAT)</f>
        <v/>
      </c>
      <c r="N299" s="46">
        <f>IF(B299="","",L299+M299)</f>
        <v/>
      </c>
      <c r="O299" s="40" t="n"/>
      <c r="P299" s="46">
        <f>IF(A299="","",SUMIFS('سندات القبض'!$K$5:$K$304,'سندات القبض'!$F$5:$F$304,A299))</f>
        <v/>
      </c>
      <c r="Q299" s="46">
        <f>IF(A299="","",N299-P299)</f>
        <v/>
      </c>
      <c r="R299" s="49">
        <f>IF(A299="","",IF(P299&gt;=N299-0.01,"محصّل بالكامل",IF(P299&gt;0,"محصّل جزئياً","غير محصّل")))</f>
        <v/>
      </c>
    </row>
    <row r="300">
      <c r="A300" s="39">
        <f>IF(B300="","","IPC-"&amp;TEXT(ROW()-4,"0000"))</f>
        <v/>
      </c>
      <c r="B300" s="50" t="n"/>
      <c r="C300" s="49">
        <f>IF(B300="","",IFERROR(INDEX('المشروعات'!$B$5:$B$304,MATCH(B300,'المشروعات'!$A$5:$A$304,0)),""))</f>
        <v/>
      </c>
      <c r="D300" s="47" t="n"/>
      <c r="E300" s="47" t="n"/>
      <c r="F300" s="41" t="n"/>
      <c r="G300" s="46">
        <f>IF(B300="","",SUMIFS($H$4:H299,$B$4:B299,B300))</f>
        <v/>
      </c>
      <c r="H300" s="46">
        <f>IF(B300="","",F300-G300)</f>
        <v/>
      </c>
      <c r="I300" s="46">
        <f>IF(B300="","",H300*S_Ret)</f>
        <v/>
      </c>
      <c r="J300" s="41" t="n"/>
      <c r="K300" s="41" t="n"/>
      <c r="L300" s="46">
        <f>IF(B300="","",H300-I300-N(J300)-N(K300))</f>
        <v/>
      </c>
      <c r="M300" s="46">
        <f>IF(B300="","",L300*S_VAT)</f>
        <v/>
      </c>
      <c r="N300" s="46">
        <f>IF(B300="","",L300+M300)</f>
        <v/>
      </c>
      <c r="O300" s="40" t="n"/>
      <c r="P300" s="46">
        <f>IF(A300="","",SUMIFS('سندات القبض'!$K$5:$K$304,'سندات القبض'!$F$5:$F$304,A300))</f>
        <v/>
      </c>
      <c r="Q300" s="46">
        <f>IF(A300="","",N300-P300)</f>
        <v/>
      </c>
      <c r="R300" s="49">
        <f>IF(A300="","",IF(P300&gt;=N300-0.01,"محصّل بالكامل",IF(P300&gt;0,"محصّل جزئياً","غير محصّل")))</f>
        <v/>
      </c>
    </row>
    <row r="301">
      <c r="A301" s="39">
        <f>IF(B301="","","IPC-"&amp;TEXT(ROW()-4,"0000"))</f>
        <v/>
      </c>
      <c r="B301" s="50" t="n"/>
      <c r="C301" s="49">
        <f>IF(B301="","",IFERROR(INDEX('المشروعات'!$B$5:$B$304,MATCH(B301,'المشروعات'!$A$5:$A$304,0)),""))</f>
        <v/>
      </c>
      <c r="D301" s="47" t="n"/>
      <c r="E301" s="47" t="n"/>
      <c r="F301" s="41" t="n"/>
      <c r="G301" s="46">
        <f>IF(B301="","",SUMIFS($H$4:H300,$B$4:B300,B301))</f>
        <v/>
      </c>
      <c r="H301" s="46">
        <f>IF(B301="","",F301-G301)</f>
        <v/>
      </c>
      <c r="I301" s="46">
        <f>IF(B301="","",H301*S_Ret)</f>
        <v/>
      </c>
      <c r="J301" s="41" t="n"/>
      <c r="K301" s="41" t="n"/>
      <c r="L301" s="46">
        <f>IF(B301="","",H301-I301-N(J301)-N(K301))</f>
        <v/>
      </c>
      <c r="M301" s="46">
        <f>IF(B301="","",L301*S_VAT)</f>
        <v/>
      </c>
      <c r="N301" s="46">
        <f>IF(B301="","",L301+M301)</f>
        <v/>
      </c>
      <c r="O301" s="40" t="n"/>
      <c r="P301" s="46">
        <f>IF(A301="","",SUMIFS('سندات القبض'!$K$5:$K$304,'سندات القبض'!$F$5:$F$304,A301))</f>
        <v/>
      </c>
      <c r="Q301" s="46">
        <f>IF(A301="","",N301-P301)</f>
        <v/>
      </c>
      <c r="R301" s="49">
        <f>IF(A301="","",IF(P301&gt;=N301-0.01,"محصّل بالكامل",IF(P301&gt;0,"محصّل جزئياً","غير محصّل")))</f>
        <v/>
      </c>
    </row>
    <row r="302">
      <c r="A302" s="39">
        <f>IF(B302="","","IPC-"&amp;TEXT(ROW()-4,"0000"))</f>
        <v/>
      </c>
      <c r="B302" s="50" t="n"/>
      <c r="C302" s="49">
        <f>IF(B302="","",IFERROR(INDEX('المشروعات'!$B$5:$B$304,MATCH(B302,'المشروعات'!$A$5:$A$304,0)),""))</f>
        <v/>
      </c>
      <c r="D302" s="47" t="n"/>
      <c r="E302" s="47" t="n"/>
      <c r="F302" s="41" t="n"/>
      <c r="G302" s="46">
        <f>IF(B302="","",SUMIFS($H$4:H301,$B$4:B301,B302))</f>
        <v/>
      </c>
      <c r="H302" s="46">
        <f>IF(B302="","",F302-G302)</f>
        <v/>
      </c>
      <c r="I302" s="46">
        <f>IF(B302="","",H302*S_Ret)</f>
        <v/>
      </c>
      <c r="J302" s="41" t="n"/>
      <c r="K302" s="41" t="n"/>
      <c r="L302" s="46">
        <f>IF(B302="","",H302-I302-N(J302)-N(K302))</f>
        <v/>
      </c>
      <c r="M302" s="46">
        <f>IF(B302="","",L302*S_VAT)</f>
        <v/>
      </c>
      <c r="N302" s="46">
        <f>IF(B302="","",L302+M302)</f>
        <v/>
      </c>
      <c r="O302" s="40" t="n"/>
      <c r="P302" s="46">
        <f>IF(A302="","",SUMIFS('سندات القبض'!$K$5:$K$304,'سندات القبض'!$F$5:$F$304,A302))</f>
        <v/>
      </c>
      <c r="Q302" s="46">
        <f>IF(A302="","",N302-P302)</f>
        <v/>
      </c>
      <c r="R302" s="49">
        <f>IF(A302="","",IF(P302&gt;=N302-0.01,"محصّل بالكامل",IF(P302&gt;0,"محصّل جزئياً","غير محصّل")))</f>
        <v/>
      </c>
    </row>
    <row r="303">
      <c r="A303" s="39">
        <f>IF(B303="","","IPC-"&amp;TEXT(ROW()-4,"0000"))</f>
        <v/>
      </c>
      <c r="B303" s="50" t="n"/>
      <c r="C303" s="49">
        <f>IF(B303="","",IFERROR(INDEX('المشروعات'!$B$5:$B$304,MATCH(B303,'المشروعات'!$A$5:$A$304,0)),""))</f>
        <v/>
      </c>
      <c r="D303" s="47" t="n"/>
      <c r="E303" s="47" t="n"/>
      <c r="F303" s="41" t="n"/>
      <c r="G303" s="46">
        <f>IF(B303="","",SUMIFS($H$4:H302,$B$4:B302,B303))</f>
        <v/>
      </c>
      <c r="H303" s="46">
        <f>IF(B303="","",F303-G303)</f>
        <v/>
      </c>
      <c r="I303" s="46">
        <f>IF(B303="","",H303*S_Ret)</f>
        <v/>
      </c>
      <c r="J303" s="41" t="n"/>
      <c r="K303" s="41" t="n"/>
      <c r="L303" s="46">
        <f>IF(B303="","",H303-I303-N(J303)-N(K303))</f>
        <v/>
      </c>
      <c r="M303" s="46">
        <f>IF(B303="","",L303*S_VAT)</f>
        <v/>
      </c>
      <c r="N303" s="46">
        <f>IF(B303="","",L303+M303)</f>
        <v/>
      </c>
      <c r="O303" s="40" t="n"/>
      <c r="P303" s="46">
        <f>IF(A303="","",SUMIFS('سندات القبض'!$K$5:$K$304,'سندات القبض'!$F$5:$F$304,A303))</f>
        <v/>
      </c>
      <c r="Q303" s="46">
        <f>IF(A303="","",N303-P303)</f>
        <v/>
      </c>
      <c r="R303" s="49">
        <f>IF(A303="","",IF(P303&gt;=N303-0.01,"محصّل بالكامل",IF(P303&gt;0,"محصّل جزئياً","غير محصّل")))</f>
        <v/>
      </c>
    </row>
    <row r="304">
      <c r="A304" s="39">
        <f>IF(B304="","","IPC-"&amp;TEXT(ROW()-4,"0000"))</f>
        <v/>
      </c>
      <c r="B304" s="50" t="n"/>
      <c r="C304" s="49">
        <f>IF(B304="","",IFERROR(INDEX('المشروعات'!$B$5:$B$304,MATCH(B304,'المشروعات'!$A$5:$A$304,0)),""))</f>
        <v/>
      </c>
      <c r="D304" s="47" t="n"/>
      <c r="E304" s="47" t="n"/>
      <c r="F304" s="41" t="n"/>
      <c r="G304" s="46">
        <f>IF(B304="","",SUMIFS($H$4:H303,$B$4:B303,B304))</f>
        <v/>
      </c>
      <c r="H304" s="46">
        <f>IF(B304="","",F304-G304)</f>
        <v/>
      </c>
      <c r="I304" s="46">
        <f>IF(B304="","",H304*S_Ret)</f>
        <v/>
      </c>
      <c r="J304" s="41" t="n"/>
      <c r="K304" s="41" t="n"/>
      <c r="L304" s="46">
        <f>IF(B304="","",H304-I304-N(J304)-N(K304))</f>
        <v/>
      </c>
      <c r="M304" s="46">
        <f>IF(B304="","",L304*S_VAT)</f>
        <v/>
      </c>
      <c r="N304" s="46">
        <f>IF(B304="","",L304+M304)</f>
        <v/>
      </c>
      <c r="O304" s="40" t="n"/>
      <c r="P304" s="46">
        <f>IF(A304="","",SUMIFS('سندات القبض'!$K$5:$K$304,'سندات القبض'!$F$5:$F$304,A304))</f>
        <v/>
      </c>
      <c r="Q304" s="46">
        <f>IF(A304="","",N304-P304)</f>
        <v/>
      </c>
      <c r="R304" s="49">
        <f>IF(A304="","",IF(P304&gt;=N304-0.01,"محصّل بالكامل",IF(P304&gt;0,"محصّل جزئياً","غير محصّل")))</f>
        <v/>
      </c>
    </row>
  </sheetData>
  <autoFilter ref="A4:R304"/>
  <mergeCells count="2">
    <mergeCell ref="A2:R2"/>
    <mergeCell ref="A1:R1"/>
  </mergeCells>
  <conditionalFormatting sqref="R5:R304">
    <cfRule type="expression" priority="1" dxfId="0" stopIfTrue="1">
      <formula>OR(ISNUMBER(SEARCH("متأخر",R5)),ISNUMBER(SEARCH("مرفوض",R5)),ISNUMBER(SEARCH("غير معتمدة",R5)),ISNUMBER(SEARCH("غير محصّل",R5)),ISNUMBER(SEARCH("سالب",R5)),ISNUMBER(SEARCH("أكثر من الرصيد",R5)),ISNUMBER(SEARCH("بتحفظات",R5)))</formula>
    </cfRule>
    <cfRule type="expression" priority="2" dxfId="1" stopIfTrue="1">
      <formula>OR(ISNUMBER(SEARCH("قيد",R5)),ISNUMBER(SEARCH("جزئي",R5)),ISNUMBER(SEARCH("بانتظار",R5)),ISNUMBER(SEARCH("مفتوح",R5)),ISNUMBER(SEARCH("أعد الطلب",R5)),ISNUMBER(SEARCH("لم يُورد",R5)),ISNUMBER(SEARCH("فترة الضمان",R5)),ISNUMBER(SEARCH("مُقدم",R5)))</formula>
    </cfRule>
    <cfRule type="expression" priority="3" dxfId="2" stopIfTrue="1">
      <formula>OR(ISNUMBER(SEARCH("معتمد",R5)),ISNUMBER(SEARCH("مقبول",R5)),ISNUMBER(SEARCH("مكتمل",R5)),ISNUMBER(SEARCH("مغلق",R5)),ISNUMBER(SEARCH("بالكامل",R5)),ISNUMBER(SEARCH("مسلّم",R5)),ISNUMBER(SEARCH("كامل",R5)),ISNUMBER(SEARCH("متاح",R5)),ISNUMBER(SEARCH("جاري",R5)))</formula>
    </cfRule>
  </conditionalFormatting>
  <dataValidations count="4">
    <dataValidation sqref="B5:B304" showDropDown="0" showInputMessage="0" showErrorMessage="1" allowBlank="1" errorTitle="قيمة غير صحيحة" error="اختر من القائمة المنسدلة فقط" type="list">
      <formula1>=L_Proj</formula1>
    </dataValidation>
    <dataValidation sqref="D5:D304" showDropDown="0" showInputMessage="0" showErrorMessage="1" allowBlank="1" errorTitle="تاريخ" error="أدخل تاريخاً صحيحاً" type="date" operator="between">
      <formula1>DATE(2000,1,1)</formula1>
      <formula2>DATE(2100,12,31)</formula2>
    </dataValidation>
    <dataValidation sqref="E5:E304" showDropDown="0" showInputMessage="0" showErrorMessage="1" allowBlank="1" errorTitle="تاريخ" error="أدخل تاريخاً صحيحاً" type="date" operator="between">
      <formula1>DATE(2000,1,1)</formula1>
      <formula2>DATE(2100,12,31)</formula2>
    </dataValidation>
    <dataValidation sqref="O5:O304" showDropDown="0" showInputMessage="0" showErrorMessage="1" allowBlank="1" errorTitle="قيمة غير صحيحة" error="اختر من القائمة المنسدلة فقط" type="list">
      <formula1>=L_IPCAppr</formula1>
    </dataValidation>
  </dataValidations>
  <hyperlinks>
    <hyperlink xmlns:r="http://schemas.openxmlformats.org/officeDocument/2006/relationships" ref="A3" r:id="rId1"/>
  </hyperlinks>
  <printOptions horizontalCentered="1"/>
  <pageMargins left="0.75" right="0.75" top="1" bottom="1" header="0.5" footer="0.5"/>
  <pageSetup orientation="landscape" paperSize="9" fitToHeight="0" fitToWidth="1"/>
</worksheet>
</file>

<file path=xl/worksheets/sheet13.xml><?xml version="1.0" encoding="utf-8"?>
<worksheet xmlns="http://schemas.openxmlformats.org/spreadsheetml/2006/main">
  <sheetPr>
    <tabColor rgb="002E7D32"/>
    <outlinePr summaryBelow="1" summaryRight="1"/>
    <pageSetUpPr fitToPage="1"/>
  </sheetPr>
  <dimension ref="A1:M304"/>
  <sheetViews>
    <sheetView showGridLines="0" rightToLeft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22" customWidth="1" min="3" max="3"/>
    <col width="11" customWidth="1" min="4" max="4"/>
    <col width="20" customWidth="1" min="5" max="5"/>
    <col width="12" customWidth="1" min="6" max="6"/>
    <col width="28" customWidth="1" min="7" max="7"/>
    <col width="11" customWidth="1" min="8" max="8"/>
    <col width="13" customWidth="1" min="9" max="9"/>
    <col width="12" customWidth="1" min="10" max="10"/>
    <col width="15" customWidth="1" min="11" max="11"/>
    <col width="34" customWidth="1" min="12" max="12"/>
    <col width="16" customWidth="1" min="13" max="13"/>
  </cols>
  <sheetData>
    <row r="1" ht="32" customHeight="1">
      <c r="A1" s="34">
        <f>S_Company&amp;"  |  سندات القبض"</f>
        <v/>
      </c>
    </row>
    <row r="2">
      <c r="A2" s="35" t="inlineStr">
        <is>
          <t>دفتر سندات القبض – كل سند يُطبع من شاشة (طباعة سند قبض)</t>
        </is>
      </c>
    </row>
    <row r="3">
      <c r="A3" s="33" t="inlineStr">
        <is>
          <t>↩ الرئيسية</t>
        </is>
      </c>
      <c r="B3" s="36" t="inlineStr">
        <is>
          <t xml:space="preserve">   ■ أصفر = إدخال يدوي    ■ رمادي = معادلة تلقائية (لا تكتب فيها)    — الصفوف الأولى أمثلة توضيحية؛ احذف قيم الإدخال واستبدلها ببياناتك</t>
        </is>
      </c>
    </row>
    <row r="4" ht="42" customHeight="1">
      <c r="A4" s="37" t="inlineStr">
        <is>
          <t>رقم السند</t>
        </is>
      </c>
      <c r="B4" s="38" t="inlineStr">
        <is>
          <t>التاريخ</t>
        </is>
      </c>
      <c r="C4" s="38" t="inlineStr">
        <is>
          <t>استلمنا من</t>
        </is>
      </c>
      <c r="D4" s="38" t="inlineStr">
        <is>
          <t>كود المشروع</t>
        </is>
      </c>
      <c r="E4" s="37" t="inlineStr">
        <is>
          <t>اسم المشروع</t>
        </is>
      </c>
      <c r="F4" s="38" t="inlineStr">
        <is>
          <t>رقم المستخلص</t>
        </is>
      </c>
      <c r="G4" s="38" t="inlineStr">
        <is>
          <t>وذلك عن</t>
        </is>
      </c>
      <c r="H4" s="38" t="inlineStr">
        <is>
          <t>طريقة الدفع</t>
        </is>
      </c>
      <c r="I4" s="38" t="inlineStr">
        <is>
          <t>رقم الشيك / الحوالة</t>
        </is>
      </c>
      <c r="J4" s="38" t="inlineStr">
        <is>
          <t>البنك</t>
        </is>
      </c>
      <c r="K4" s="38" t="inlineStr">
        <is>
          <t>المبلغ</t>
        </is>
      </c>
      <c r="L4" s="38" t="inlineStr">
        <is>
          <t>المبلغ كتابةً</t>
        </is>
      </c>
      <c r="M4" s="38" t="inlineStr">
        <is>
          <t>المستلم (أمين الصندوق)</t>
        </is>
      </c>
    </row>
    <row r="5">
      <c r="A5" s="39">
        <f>IF(K5="","","RV-"&amp;TEXT(ROW()-4,"0000"))</f>
        <v/>
      </c>
      <c r="B5" s="47" t="n">
        <v>45950</v>
      </c>
      <c r="C5" s="40" t="inlineStr">
        <is>
          <t>شركة النخبة للاستثمار العقاري</t>
        </is>
      </c>
      <c r="D5" s="50" t="inlineStr">
        <is>
          <t>PRJ-001</t>
        </is>
      </c>
      <c r="E5" s="49">
        <f>IF(D5="","",IFERROR(INDEX('المشروعات'!$B$5:$B$304,MATCH(D5,'المشروعات'!$A$5:$A$304,0)),""))</f>
        <v/>
      </c>
      <c r="F5" s="40" t="n"/>
      <c r="G5" s="40" t="inlineStr">
        <is>
          <t>دفعة مقدمة 10% من قيمة العقد</t>
        </is>
      </c>
      <c r="H5" s="40" t="inlineStr">
        <is>
          <t>تحويل بنكي</t>
        </is>
      </c>
      <c r="I5" s="40" t="inlineStr">
        <is>
          <t>TRF-99812</t>
        </is>
      </c>
      <c r="J5" s="40" t="inlineStr">
        <is>
          <t>البنك الأهلي</t>
        </is>
      </c>
      <c r="K5" s="41" t="n">
        <v>4850000</v>
      </c>
      <c r="L5" s="40" t="inlineStr">
        <is>
          <t>أربعة ملايين وثمانمائة وخمسون ألف جنيه فقط لا غير</t>
        </is>
      </c>
      <c r="M5" s="40" t="inlineStr">
        <is>
          <t>أمين الصندوق</t>
        </is>
      </c>
    </row>
    <row r="6">
      <c r="A6" s="39">
        <f>IF(K6="","","RV-"&amp;TEXT(ROW()-4,"0000"))</f>
        <v/>
      </c>
      <c r="B6" s="47" t="n">
        <v>46078</v>
      </c>
      <c r="C6" s="40" t="inlineStr">
        <is>
          <t>شركة النخبة للاستثمار العقاري</t>
        </is>
      </c>
      <c r="D6" s="50" t="inlineStr">
        <is>
          <t>PRJ-001</t>
        </is>
      </c>
      <c r="E6" s="49">
        <f>IF(D6="","",IFERROR(INDEX('المشروعات'!$B$5:$B$304,MATCH(D6,'المشروعات'!$A$5:$A$304,0)),""))</f>
        <v/>
      </c>
      <c r="F6" s="40" t="inlineStr">
        <is>
          <t>IPC-0001</t>
        </is>
      </c>
      <c r="G6" s="40" t="inlineStr">
        <is>
          <t>قيمة المستخلص الأول</t>
        </is>
      </c>
      <c r="H6" s="40" t="inlineStr">
        <is>
          <t>شيك</t>
        </is>
      </c>
      <c r="I6" s="40" t="inlineStr">
        <is>
          <t>004512</t>
        </is>
      </c>
      <c r="J6" s="40" t="inlineStr">
        <is>
          <t>بنك مصر</t>
        </is>
      </c>
      <c r="K6" s="41" t="n">
        <v>6589200</v>
      </c>
      <c r="L6" s="40" t="inlineStr">
        <is>
          <t>ستة ملايين وخمسمائة وتسعة وثمانون ألفاً ومائتا جنيه فقط لا غير</t>
        </is>
      </c>
      <c r="M6" s="40" t="inlineStr">
        <is>
          <t>أمين الصندوق</t>
        </is>
      </c>
    </row>
    <row r="7">
      <c r="A7" s="39">
        <f>IF(K7="","","RV-"&amp;TEXT(ROW()-4,"0000"))</f>
        <v/>
      </c>
      <c r="B7" s="47" t="n">
        <v>46170</v>
      </c>
      <c r="C7" s="40" t="inlineStr">
        <is>
          <t>شركة النخبة للاستثمار العقاري</t>
        </is>
      </c>
      <c r="D7" s="50" t="inlineStr">
        <is>
          <t>PRJ-001</t>
        </is>
      </c>
      <c r="E7" s="49">
        <f>IF(D7="","",IFERROR(INDEX('المشروعات'!$B$5:$B$304,MATCH(D7,'المشروعات'!$A$5:$A$304,0)),""))</f>
        <v/>
      </c>
      <c r="F7" s="40" t="inlineStr">
        <is>
          <t>IPC-0002</t>
        </is>
      </c>
      <c r="G7" s="40" t="inlineStr">
        <is>
          <t>دفعة من المستخلص الثاني</t>
        </is>
      </c>
      <c r="H7" s="40" t="inlineStr">
        <is>
          <t>تحويل بنكي</t>
        </is>
      </c>
      <c r="I7" s="40" t="inlineStr">
        <is>
          <t>TRF-10233</t>
        </is>
      </c>
      <c r="J7" s="40" t="inlineStr">
        <is>
          <t>البنك الأهلي</t>
        </is>
      </c>
      <c r="K7" s="41" t="n">
        <v>4000000</v>
      </c>
      <c r="L7" s="40" t="inlineStr">
        <is>
          <t>أربعة ملايين جنيه فقط لا غير</t>
        </is>
      </c>
      <c r="M7" s="40" t="inlineStr">
        <is>
          <t>أمين الصندوق</t>
        </is>
      </c>
    </row>
    <row r="8">
      <c r="A8" s="39">
        <f>IF(K8="","","RV-"&amp;TEXT(ROW()-4,"0000"))</f>
        <v/>
      </c>
      <c r="B8" s="47" t="n"/>
      <c r="C8" s="40" t="n"/>
      <c r="D8" s="50" t="n"/>
      <c r="E8" s="49">
        <f>IF(D8="","",IFERROR(INDEX('المشروعات'!$B$5:$B$304,MATCH(D8,'المشروعات'!$A$5:$A$304,0)),""))</f>
        <v/>
      </c>
      <c r="F8" s="40" t="n"/>
      <c r="G8" s="40" t="n"/>
      <c r="H8" s="40" t="n"/>
      <c r="I8" s="40" t="n"/>
      <c r="J8" s="40" t="n"/>
      <c r="K8" s="41" t="n"/>
      <c r="L8" s="40" t="n"/>
      <c r="M8" s="40" t="n"/>
    </row>
    <row r="9">
      <c r="A9" s="39">
        <f>IF(K9="","","RV-"&amp;TEXT(ROW()-4,"0000"))</f>
        <v/>
      </c>
      <c r="B9" s="47" t="n"/>
      <c r="C9" s="40" t="n"/>
      <c r="D9" s="50" t="n"/>
      <c r="E9" s="49">
        <f>IF(D9="","",IFERROR(INDEX('المشروعات'!$B$5:$B$304,MATCH(D9,'المشروعات'!$A$5:$A$304,0)),""))</f>
        <v/>
      </c>
      <c r="F9" s="40" t="n"/>
      <c r="G9" s="40" t="n"/>
      <c r="H9" s="40" t="n"/>
      <c r="I9" s="40" t="n"/>
      <c r="J9" s="40" t="n"/>
      <c r="K9" s="41" t="n"/>
      <c r="L9" s="40" t="n"/>
      <c r="M9" s="40" t="n"/>
    </row>
    <row r="10">
      <c r="A10" s="39">
        <f>IF(K10="","","RV-"&amp;TEXT(ROW()-4,"0000"))</f>
        <v/>
      </c>
      <c r="B10" s="47" t="n"/>
      <c r="C10" s="40" t="n"/>
      <c r="D10" s="50" t="n"/>
      <c r="E10" s="49">
        <f>IF(D10="","",IFERROR(INDEX('المشروعات'!$B$5:$B$304,MATCH(D10,'المشروعات'!$A$5:$A$304,0)),""))</f>
        <v/>
      </c>
      <c r="F10" s="40" t="n"/>
      <c r="G10" s="40" t="n"/>
      <c r="H10" s="40" t="n"/>
      <c r="I10" s="40" t="n"/>
      <c r="J10" s="40" t="n"/>
      <c r="K10" s="41" t="n"/>
      <c r="L10" s="40" t="n"/>
      <c r="M10" s="40" t="n"/>
    </row>
    <row r="11">
      <c r="A11" s="39">
        <f>IF(K11="","","RV-"&amp;TEXT(ROW()-4,"0000"))</f>
        <v/>
      </c>
      <c r="B11" s="47" t="n"/>
      <c r="C11" s="40" t="n"/>
      <c r="D11" s="50" t="n"/>
      <c r="E11" s="49">
        <f>IF(D11="","",IFERROR(INDEX('المشروعات'!$B$5:$B$304,MATCH(D11,'المشروعات'!$A$5:$A$304,0)),""))</f>
        <v/>
      </c>
      <c r="F11" s="40" t="n"/>
      <c r="G11" s="40" t="n"/>
      <c r="H11" s="40" t="n"/>
      <c r="I11" s="40" t="n"/>
      <c r="J11" s="40" t="n"/>
      <c r="K11" s="41" t="n"/>
      <c r="L11" s="40" t="n"/>
      <c r="M11" s="40" t="n"/>
    </row>
    <row r="12">
      <c r="A12" s="39">
        <f>IF(K12="","","RV-"&amp;TEXT(ROW()-4,"0000"))</f>
        <v/>
      </c>
      <c r="B12" s="47" t="n"/>
      <c r="C12" s="40" t="n"/>
      <c r="D12" s="50" t="n"/>
      <c r="E12" s="49">
        <f>IF(D12="","",IFERROR(INDEX('المشروعات'!$B$5:$B$304,MATCH(D12,'المشروعات'!$A$5:$A$304,0)),""))</f>
        <v/>
      </c>
      <c r="F12" s="40" t="n"/>
      <c r="G12" s="40" t="n"/>
      <c r="H12" s="40" t="n"/>
      <c r="I12" s="40" t="n"/>
      <c r="J12" s="40" t="n"/>
      <c r="K12" s="41" t="n"/>
      <c r="L12" s="40" t="n"/>
      <c r="M12" s="40" t="n"/>
    </row>
    <row r="13">
      <c r="A13" s="39">
        <f>IF(K13="","","RV-"&amp;TEXT(ROW()-4,"0000"))</f>
        <v/>
      </c>
      <c r="B13" s="47" t="n"/>
      <c r="C13" s="40" t="n"/>
      <c r="D13" s="50" t="n"/>
      <c r="E13" s="49">
        <f>IF(D13="","",IFERROR(INDEX('المشروعات'!$B$5:$B$304,MATCH(D13,'المشروعات'!$A$5:$A$304,0)),""))</f>
        <v/>
      </c>
      <c r="F13" s="40" t="n"/>
      <c r="G13" s="40" t="n"/>
      <c r="H13" s="40" t="n"/>
      <c r="I13" s="40" t="n"/>
      <c r="J13" s="40" t="n"/>
      <c r="K13" s="41" t="n"/>
      <c r="L13" s="40" t="n"/>
      <c r="M13" s="40" t="n"/>
    </row>
    <row r="14">
      <c r="A14" s="39">
        <f>IF(K14="","","RV-"&amp;TEXT(ROW()-4,"0000"))</f>
        <v/>
      </c>
      <c r="B14" s="47" t="n"/>
      <c r="C14" s="40" t="n"/>
      <c r="D14" s="50" t="n"/>
      <c r="E14" s="49">
        <f>IF(D14="","",IFERROR(INDEX('المشروعات'!$B$5:$B$304,MATCH(D14,'المشروعات'!$A$5:$A$304,0)),""))</f>
        <v/>
      </c>
      <c r="F14" s="40" t="n"/>
      <c r="G14" s="40" t="n"/>
      <c r="H14" s="40" t="n"/>
      <c r="I14" s="40" t="n"/>
      <c r="J14" s="40" t="n"/>
      <c r="K14" s="41" t="n"/>
      <c r="L14" s="40" t="n"/>
      <c r="M14" s="40" t="n"/>
    </row>
    <row r="15">
      <c r="A15" s="39">
        <f>IF(K15="","","RV-"&amp;TEXT(ROW()-4,"0000"))</f>
        <v/>
      </c>
      <c r="B15" s="47" t="n"/>
      <c r="C15" s="40" t="n"/>
      <c r="D15" s="50" t="n"/>
      <c r="E15" s="49">
        <f>IF(D15="","",IFERROR(INDEX('المشروعات'!$B$5:$B$304,MATCH(D15,'المشروعات'!$A$5:$A$304,0)),""))</f>
        <v/>
      </c>
      <c r="F15" s="40" t="n"/>
      <c r="G15" s="40" t="n"/>
      <c r="H15" s="40" t="n"/>
      <c r="I15" s="40" t="n"/>
      <c r="J15" s="40" t="n"/>
      <c r="K15" s="41" t="n"/>
      <c r="L15" s="40" t="n"/>
      <c r="M15" s="40" t="n"/>
    </row>
    <row r="16">
      <c r="A16" s="39">
        <f>IF(K16="","","RV-"&amp;TEXT(ROW()-4,"0000"))</f>
        <v/>
      </c>
      <c r="B16" s="47" t="n"/>
      <c r="C16" s="40" t="n"/>
      <c r="D16" s="50" t="n"/>
      <c r="E16" s="49">
        <f>IF(D16="","",IFERROR(INDEX('المشروعات'!$B$5:$B$304,MATCH(D16,'المشروعات'!$A$5:$A$304,0)),""))</f>
        <v/>
      </c>
      <c r="F16" s="40" t="n"/>
      <c r="G16" s="40" t="n"/>
      <c r="H16" s="40" t="n"/>
      <c r="I16" s="40" t="n"/>
      <c r="J16" s="40" t="n"/>
      <c r="K16" s="41" t="n"/>
      <c r="L16" s="40" t="n"/>
      <c r="M16" s="40" t="n"/>
    </row>
    <row r="17">
      <c r="A17" s="39">
        <f>IF(K17="","","RV-"&amp;TEXT(ROW()-4,"0000"))</f>
        <v/>
      </c>
      <c r="B17" s="47" t="n"/>
      <c r="C17" s="40" t="n"/>
      <c r="D17" s="50" t="n"/>
      <c r="E17" s="49">
        <f>IF(D17="","",IFERROR(INDEX('المشروعات'!$B$5:$B$304,MATCH(D17,'المشروعات'!$A$5:$A$304,0)),""))</f>
        <v/>
      </c>
      <c r="F17" s="40" t="n"/>
      <c r="G17" s="40" t="n"/>
      <c r="H17" s="40" t="n"/>
      <c r="I17" s="40" t="n"/>
      <c r="J17" s="40" t="n"/>
      <c r="K17" s="41" t="n"/>
      <c r="L17" s="40" t="n"/>
      <c r="M17" s="40" t="n"/>
    </row>
    <row r="18">
      <c r="A18" s="39">
        <f>IF(K18="","","RV-"&amp;TEXT(ROW()-4,"0000"))</f>
        <v/>
      </c>
      <c r="B18" s="47" t="n"/>
      <c r="C18" s="40" t="n"/>
      <c r="D18" s="50" t="n"/>
      <c r="E18" s="49">
        <f>IF(D18="","",IFERROR(INDEX('المشروعات'!$B$5:$B$304,MATCH(D18,'المشروعات'!$A$5:$A$304,0)),""))</f>
        <v/>
      </c>
      <c r="F18" s="40" t="n"/>
      <c r="G18" s="40" t="n"/>
      <c r="H18" s="40" t="n"/>
      <c r="I18" s="40" t="n"/>
      <c r="J18" s="40" t="n"/>
      <c r="K18" s="41" t="n"/>
      <c r="L18" s="40" t="n"/>
      <c r="M18" s="40" t="n"/>
    </row>
    <row r="19">
      <c r="A19" s="39">
        <f>IF(K19="","","RV-"&amp;TEXT(ROW()-4,"0000"))</f>
        <v/>
      </c>
      <c r="B19" s="47" t="n"/>
      <c r="C19" s="40" t="n"/>
      <c r="D19" s="50" t="n"/>
      <c r="E19" s="49">
        <f>IF(D19="","",IFERROR(INDEX('المشروعات'!$B$5:$B$304,MATCH(D19,'المشروعات'!$A$5:$A$304,0)),""))</f>
        <v/>
      </c>
      <c r="F19" s="40" t="n"/>
      <c r="G19" s="40" t="n"/>
      <c r="H19" s="40" t="n"/>
      <c r="I19" s="40" t="n"/>
      <c r="J19" s="40" t="n"/>
      <c r="K19" s="41" t="n"/>
      <c r="L19" s="40" t="n"/>
      <c r="M19" s="40" t="n"/>
    </row>
    <row r="20">
      <c r="A20" s="39">
        <f>IF(K20="","","RV-"&amp;TEXT(ROW()-4,"0000"))</f>
        <v/>
      </c>
      <c r="B20" s="47" t="n"/>
      <c r="C20" s="40" t="n"/>
      <c r="D20" s="50" t="n"/>
      <c r="E20" s="49">
        <f>IF(D20="","",IFERROR(INDEX('المشروعات'!$B$5:$B$304,MATCH(D20,'المشروعات'!$A$5:$A$304,0)),""))</f>
        <v/>
      </c>
      <c r="F20" s="40" t="n"/>
      <c r="G20" s="40" t="n"/>
      <c r="H20" s="40" t="n"/>
      <c r="I20" s="40" t="n"/>
      <c r="J20" s="40" t="n"/>
      <c r="K20" s="41" t="n"/>
      <c r="L20" s="40" t="n"/>
      <c r="M20" s="40" t="n"/>
    </row>
    <row r="21">
      <c r="A21" s="39">
        <f>IF(K21="","","RV-"&amp;TEXT(ROW()-4,"0000"))</f>
        <v/>
      </c>
      <c r="B21" s="47" t="n"/>
      <c r="C21" s="40" t="n"/>
      <c r="D21" s="50" t="n"/>
      <c r="E21" s="49">
        <f>IF(D21="","",IFERROR(INDEX('المشروعات'!$B$5:$B$304,MATCH(D21,'المشروعات'!$A$5:$A$304,0)),""))</f>
        <v/>
      </c>
      <c r="F21" s="40" t="n"/>
      <c r="G21" s="40" t="n"/>
      <c r="H21" s="40" t="n"/>
      <c r="I21" s="40" t="n"/>
      <c r="J21" s="40" t="n"/>
      <c r="K21" s="41" t="n"/>
      <c r="L21" s="40" t="n"/>
      <c r="M21" s="40" t="n"/>
    </row>
    <row r="22">
      <c r="A22" s="39">
        <f>IF(K22="","","RV-"&amp;TEXT(ROW()-4,"0000"))</f>
        <v/>
      </c>
      <c r="B22" s="47" t="n"/>
      <c r="C22" s="40" t="n"/>
      <c r="D22" s="50" t="n"/>
      <c r="E22" s="49">
        <f>IF(D22="","",IFERROR(INDEX('المشروعات'!$B$5:$B$304,MATCH(D22,'المشروعات'!$A$5:$A$304,0)),""))</f>
        <v/>
      </c>
      <c r="F22" s="40" t="n"/>
      <c r="G22" s="40" t="n"/>
      <c r="H22" s="40" t="n"/>
      <c r="I22" s="40" t="n"/>
      <c r="J22" s="40" t="n"/>
      <c r="K22" s="41" t="n"/>
      <c r="L22" s="40" t="n"/>
      <c r="M22" s="40" t="n"/>
    </row>
    <row r="23">
      <c r="A23" s="39">
        <f>IF(K23="","","RV-"&amp;TEXT(ROW()-4,"0000"))</f>
        <v/>
      </c>
      <c r="B23" s="47" t="n"/>
      <c r="C23" s="40" t="n"/>
      <c r="D23" s="50" t="n"/>
      <c r="E23" s="49">
        <f>IF(D23="","",IFERROR(INDEX('المشروعات'!$B$5:$B$304,MATCH(D23,'المشروعات'!$A$5:$A$304,0)),""))</f>
        <v/>
      </c>
      <c r="F23" s="40" t="n"/>
      <c r="G23" s="40" t="n"/>
      <c r="H23" s="40" t="n"/>
      <c r="I23" s="40" t="n"/>
      <c r="J23" s="40" t="n"/>
      <c r="K23" s="41" t="n"/>
      <c r="L23" s="40" t="n"/>
      <c r="M23" s="40" t="n"/>
    </row>
    <row r="24">
      <c r="A24" s="39">
        <f>IF(K24="","","RV-"&amp;TEXT(ROW()-4,"0000"))</f>
        <v/>
      </c>
      <c r="B24" s="47" t="n"/>
      <c r="C24" s="40" t="n"/>
      <c r="D24" s="50" t="n"/>
      <c r="E24" s="49">
        <f>IF(D24="","",IFERROR(INDEX('المشروعات'!$B$5:$B$304,MATCH(D24,'المشروعات'!$A$5:$A$304,0)),""))</f>
        <v/>
      </c>
      <c r="F24" s="40" t="n"/>
      <c r="G24" s="40" t="n"/>
      <c r="H24" s="40" t="n"/>
      <c r="I24" s="40" t="n"/>
      <c r="J24" s="40" t="n"/>
      <c r="K24" s="41" t="n"/>
      <c r="L24" s="40" t="n"/>
      <c r="M24" s="40" t="n"/>
    </row>
    <row r="25">
      <c r="A25" s="39">
        <f>IF(K25="","","RV-"&amp;TEXT(ROW()-4,"0000"))</f>
        <v/>
      </c>
      <c r="B25" s="47" t="n"/>
      <c r="C25" s="40" t="n"/>
      <c r="D25" s="50" t="n"/>
      <c r="E25" s="49">
        <f>IF(D25="","",IFERROR(INDEX('المشروعات'!$B$5:$B$304,MATCH(D25,'المشروعات'!$A$5:$A$304,0)),""))</f>
        <v/>
      </c>
      <c r="F25" s="40" t="n"/>
      <c r="G25" s="40" t="n"/>
      <c r="H25" s="40" t="n"/>
      <c r="I25" s="40" t="n"/>
      <c r="J25" s="40" t="n"/>
      <c r="K25" s="41" t="n"/>
      <c r="L25" s="40" t="n"/>
      <c r="M25" s="40" t="n"/>
    </row>
    <row r="26">
      <c r="A26" s="39">
        <f>IF(K26="","","RV-"&amp;TEXT(ROW()-4,"0000"))</f>
        <v/>
      </c>
      <c r="B26" s="47" t="n"/>
      <c r="C26" s="40" t="n"/>
      <c r="D26" s="50" t="n"/>
      <c r="E26" s="49">
        <f>IF(D26="","",IFERROR(INDEX('المشروعات'!$B$5:$B$304,MATCH(D26,'المشروعات'!$A$5:$A$304,0)),""))</f>
        <v/>
      </c>
      <c r="F26" s="40" t="n"/>
      <c r="G26" s="40" t="n"/>
      <c r="H26" s="40" t="n"/>
      <c r="I26" s="40" t="n"/>
      <c r="J26" s="40" t="n"/>
      <c r="K26" s="41" t="n"/>
      <c r="L26" s="40" t="n"/>
      <c r="M26" s="40" t="n"/>
    </row>
    <row r="27">
      <c r="A27" s="39">
        <f>IF(K27="","","RV-"&amp;TEXT(ROW()-4,"0000"))</f>
        <v/>
      </c>
      <c r="B27" s="47" t="n"/>
      <c r="C27" s="40" t="n"/>
      <c r="D27" s="50" t="n"/>
      <c r="E27" s="49">
        <f>IF(D27="","",IFERROR(INDEX('المشروعات'!$B$5:$B$304,MATCH(D27,'المشروعات'!$A$5:$A$304,0)),""))</f>
        <v/>
      </c>
      <c r="F27" s="40" t="n"/>
      <c r="G27" s="40" t="n"/>
      <c r="H27" s="40" t="n"/>
      <c r="I27" s="40" t="n"/>
      <c r="J27" s="40" t="n"/>
      <c r="K27" s="41" t="n"/>
      <c r="L27" s="40" t="n"/>
      <c r="M27" s="40" t="n"/>
    </row>
    <row r="28">
      <c r="A28" s="39">
        <f>IF(K28="","","RV-"&amp;TEXT(ROW()-4,"0000"))</f>
        <v/>
      </c>
      <c r="B28" s="47" t="n"/>
      <c r="C28" s="40" t="n"/>
      <c r="D28" s="50" t="n"/>
      <c r="E28" s="49">
        <f>IF(D28="","",IFERROR(INDEX('المشروعات'!$B$5:$B$304,MATCH(D28,'المشروعات'!$A$5:$A$304,0)),""))</f>
        <v/>
      </c>
      <c r="F28" s="40" t="n"/>
      <c r="G28" s="40" t="n"/>
      <c r="H28" s="40" t="n"/>
      <c r="I28" s="40" t="n"/>
      <c r="J28" s="40" t="n"/>
      <c r="K28" s="41" t="n"/>
      <c r="L28" s="40" t="n"/>
      <c r="M28" s="40" t="n"/>
    </row>
    <row r="29">
      <c r="A29" s="39">
        <f>IF(K29="","","RV-"&amp;TEXT(ROW()-4,"0000"))</f>
        <v/>
      </c>
      <c r="B29" s="47" t="n"/>
      <c r="C29" s="40" t="n"/>
      <c r="D29" s="50" t="n"/>
      <c r="E29" s="49">
        <f>IF(D29="","",IFERROR(INDEX('المشروعات'!$B$5:$B$304,MATCH(D29,'المشروعات'!$A$5:$A$304,0)),""))</f>
        <v/>
      </c>
      <c r="F29" s="40" t="n"/>
      <c r="G29" s="40" t="n"/>
      <c r="H29" s="40" t="n"/>
      <c r="I29" s="40" t="n"/>
      <c r="J29" s="40" t="n"/>
      <c r="K29" s="41" t="n"/>
      <c r="L29" s="40" t="n"/>
      <c r="M29" s="40" t="n"/>
    </row>
    <row r="30">
      <c r="A30" s="39">
        <f>IF(K30="","","RV-"&amp;TEXT(ROW()-4,"0000"))</f>
        <v/>
      </c>
      <c r="B30" s="47" t="n"/>
      <c r="C30" s="40" t="n"/>
      <c r="D30" s="50" t="n"/>
      <c r="E30" s="49">
        <f>IF(D30="","",IFERROR(INDEX('المشروعات'!$B$5:$B$304,MATCH(D30,'المشروعات'!$A$5:$A$304,0)),""))</f>
        <v/>
      </c>
      <c r="F30" s="40" t="n"/>
      <c r="G30" s="40" t="n"/>
      <c r="H30" s="40" t="n"/>
      <c r="I30" s="40" t="n"/>
      <c r="J30" s="40" t="n"/>
      <c r="K30" s="41" t="n"/>
      <c r="L30" s="40" t="n"/>
      <c r="M30" s="40" t="n"/>
    </row>
    <row r="31">
      <c r="A31" s="39">
        <f>IF(K31="","","RV-"&amp;TEXT(ROW()-4,"0000"))</f>
        <v/>
      </c>
      <c r="B31" s="47" t="n"/>
      <c r="C31" s="40" t="n"/>
      <c r="D31" s="50" t="n"/>
      <c r="E31" s="49">
        <f>IF(D31="","",IFERROR(INDEX('المشروعات'!$B$5:$B$304,MATCH(D31,'المشروعات'!$A$5:$A$304,0)),""))</f>
        <v/>
      </c>
      <c r="F31" s="40" t="n"/>
      <c r="G31" s="40" t="n"/>
      <c r="H31" s="40" t="n"/>
      <c r="I31" s="40" t="n"/>
      <c r="J31" s="40" t="n"/>
      <c r="K31" s="41" t="n"/>
      <c r="L31" s="40" t="n"/>
      <c r="M31" s="40" t="n"/>
    </row>
    <row r="32">
      <c r="A32" s="39">
        <f>IF(K32="","","RV-"&amp;TEXT(ROW()-4,"0000"))</f>
        <v/>
      </c>
      <c r="B32" s="47" t="n"/>
      <c r="C32" s="40" t="n"/>
      <c r="D32" s="50" t="n"/>
      <c r="E32" s="49">
        <f>IF(D32="","",IFERROR(INDEX('المشروعات'!$B$5:$B$304,MATCH(D32,'المشروعات'!$A$5:$A$304,0)),""))</f>
        <v/>
      </c>
      <c r="F32" s="40" t="n"/>
      <c r="G32" s="40" t="n"/>
      <c r="H32" s="40" t="n"/>
      <c r="I32" s="40" t="n"/>
      <c r="J32" s="40" t="n"/>
      <c r="K32" s="41" t="n"/>
      <c r="L32" s="40" t="n"/>
      <c r="M32" s="40" t="n"/>
    </row>
    <row r="33">
      <c r="A33" s="39">
        <f>IF(K33="","","RV-"&amp;TEXT(ROW()-4,"0000"))</f>
        <v/>
      </c>
      <c r="B33" s="47" t="n"/>
      <c r="C33" s="40" t="n"/>
      <c r="D33" s="50" t="n"/>
      <c r="E33" s="49">
        <f>IF(D33="","",IFERROR(INDEX('المشروعات'!$B$5:$B$304,MATCH(D33,'المشروعات'!$A$5:$A$304,0)),""))</f>
        <v/>
      </c>
      <c r="F33" s="40" t="n"/>
      <c r="G33" s="40" t="n"/>
      <c r="H33" s="40" t="n"/>
      <c r="I33" s="40" t="n"/>
      <c r="J33" s="40" t="n"/>
      <c r="K33" s="41" t="n"/>
      <c r="L33" s="40" t="n"/>
      <c r="M33" s="40" t="n"/>
    </row>
    <row r="34">
      <c r="A34" s="39">
        <f>IF(K34="","","RV-"&amp;TEXT(ROW()-4,"0000"))</f>
        <v/>
      </c>
      <c r="B34" s="47" t="n"/>
      <c r="C34" s="40" t="n"/>
      <c r="D34" s="50" t="n"/>
      <c r="E34" s="49">
        <f>IF(D34="","",IFERROR(INDEX('المشروعات'!$B$5:$B$304,MATCH(D34,'المشروعات'!$A$5:$A$304,0)),""))</f>
        <v/>
      </c>
      <c r="F34" s="40" t="n"/>
      <c r="G34" s="40" t="n"/>
      <c r="H34" s="40" t="n"/>
      <c r="I34" s="40" t="n"/>
      <c r="J34" s="40" t="n"/>
      <c r="K34" s="41" t="n"/>
      <c r="L34" s="40" t="n"/>
      <c r="M34" s="40" t="n"/>
    </row>
    <row r="35">
      <c r="A35" s="39">
        <f>IF(K35="","","RV-"&amp;TEXT(ROW()-4,"0000"))</f>
        <v/>
      </c>
      <c r="B35" s="47" t="n"/>
      <c r="C35" s="40" t="n"/>
      <c r="D35" s="50" t="n"/>
      <c r="E35" s="49">
        <f>IF(D35="","",IFERROR(INDEX('المشروعات'!$B$5:$B$304,MATCH(D35,'المشروعات'!$A$5:$A$304,0)),""))</f>
        <v/>
      </c>
      <c r="F35" s="40" t="n"/>
      <c r="G35" s="40" t="n"/>
      <c r="H35" s="40" t="n"/>
      <c r="I35" s="40" t="n"/>
      <c r="J35" s="40" t="n"/>
      <c r="K35" s="41" t="n"/>
      <c r="L35" s="40" t="n"/>
      <c r="M35" s="40" t="n"/>
    </row>
    <row r="36">
      <c r="A36" s="39">
        <f>IF(K36="","","RV-"&amp;TEXT(ROW()-4,"0000"))</f>
        <v/>
      </c>
      <c r="B36" s="47" t="n"/>
      <c r="C36" s="40" t="n"/>
      <c r="D36" s="50" t="n"/>
      <c r="E36" s="49">
        <f>IF(D36="","",IFERROR(INDEX('المشروعات'!$B$5:$B$304,MATCH(D36,'المشروعات'!$A$5:$A$304,0)),""))</f>
        <v/>
      </c>
      <c r="F36" s="40" t="n"/>
      <c r="G36" s="40" t="n"/>
      <c r="H36" s="40" t="n"/>
      <c r="I36" s="40" t="n"/>
      <c r="J36" s="40" t="n"/>
      <c r="K36" s="41" t="n"/>
      <c r="L36" s="40" t="n"/>
      <c r="M36" s="40" t="n"/>
    </row>
    <row r="37">
      <c r="A37" s="39">
        <f>IF(K37="","","RV-"&amp;TEXT(ROW()-4,"0000"))</f>
        <v/>
      </c>
      <c r="B37" s="47" t="n"/>
      <c r="C37" s="40" t="n"/>
      <c r="D37" s="50" t="n"/>
      <c r="E37" s="49">
        <f>IF(D37="","",IFERROR(INDEX('المشروعات'!$B$5:$B$304,MATCH(D37,'المشروعات'!$A$5:$A$304,0)),""))</f>
        <v/>
      </c>
      <c r="F37" s="40" t="n"/>
      <c r="G37" s="40" t="n"/>
      <c r="H37" s="40" t="n"/>
      <c r="I37" s="40" t="n"/>
      <c r="J37" s="40" t="n"/>
      <c r="K37" s="41" t="n"/>
      <c r="L37" s="40" t="n"/>
      <c r="M37" s="40" t="n"/>
    </row>
    <row r="38">
      <c r="A38" s="39">
        <f>IF(K38="","","RV-"&amp;TEXT(ROW()-4,"0000"))</f>
        <v/>
      </c>
      <c r="B38" s="47" t="n"/>
      <c r="C38" s="40" t="n"/>
      <c r="D38" s="50" t="n"/>
      <c r="E38" s="49">
        <f>IF(D38="","",IFERROR(INDEX('المشروعات'!$B$5:$B$304,MATCH(D38,'المشروعات'!$A$5:$A$304,0)),""))</f>
        <v/>
      </c>
      <c r="F38" s="40" t="n"/>
      <c r="G38" s="40" t="n"/>
      <c r="H38" s="40" t="n"/>
      <c r="I38" s="40" t="n"/>
      <c r="J38" s="40" t="n"/>
      <c r="K38" s="41" t="n"/>
      <c r="L38" s="40" t="n"/>
      <c r="M38" s="40" t="n"/>
    </row>
    <row r="39">
      <c r="A39" s="39">
        <f>IF(K39="","","RV-"&amp;TEXT(ROW()-4,"0000"))</f>
        <v/>
      </c>
      <c r="B39" s="47" t="n"/>
      <c r="C39" s="40" t="n"/>
      <c r="D39" s="50" t="n"/>
      <c r="E39" s="49">
        <f>IF(D39="","",IFERROR(INDEX('المشروعات'!$B$5:$B$304,MATCH(D39,'المشروعات'!$A$5:$A$304,0)),""))</f>
        <v/>
      </c>
      <c r="F39" s="40" t="n"/>
      <c r="G39" s="40" t="n"/>
      <c r="H39" s="40" t="n"/>
      <c r="I39" s="40" t="n"/>
      <c r="J39" s="40" t="n"/>
      <c r="K39" s="41" t="n"/>
      <c r="L39" s="40" t="n"/>
      <c r="M39" s="40" t="n"/>
    </row>
    <row r="40">
      <c r="A40" s="39">
        <f>IF(K40="","","RV-"&amp;TEXT(ROW()-4,"0000"))</f>
        <v/>
      </c>
      <c r="B40" s="47" t="n"/>
      <c r="C40" s="40" t="n"/>
      <c r="D40" s="50" t="n"/>
      <c r="E40" s="49">
        <f>IF(D40="","",IFERROR(INDEX('المشروعات'!$B$5:$B$304,MATCH(D40,'المشروعات'!$A$5:$A$304,0)),""))</f>
        <v/>
      </c>
      <c r="F40" s="40" t="n"/>
      <c r="G40" s="40" t="n"/>
      <c r="H40" s="40" t="n"/>
      <c r="I40" s="40" t="n"/>
      <c r="J40" s="40" t="n"/>
      <c r="K40" s="41" t="n"/>
      <c r="L40" s="40" t="n"/>
      <c r="M40" s="40" t="n"/>
    </row>
    <row r="41">
      <c r="A41" s="39">
        <f>IF(K41="","","RV-"&amp;TEXT(ROW()-4,"0000"))</f>
        <v/>
      </c>
      <c r="B41" s="47" t="n"/>
      <c r="C41" s="40" t="n"/>
      <c r="D41" s="50" t="n"/>
      <c r="E41" s="49">
        <f>IF(D41="","",IFERROR(INDEX('المشروعات'!$B$5:$B$304,MATCH(D41,'المشروعات'!$A$5:$A$304,0)),""))</f>
        <v/>
      </c>
      <c r="F41" s="40" t="n"/>
      <c r="G41" s="40" t="n"/>
      <c r="H41" s="40" t="n"/>
      <c r="I41" s="40" t="n"/>
      <c r="J41" s="40" t="n"/>
      <c r="K41" s="41" t="n"/>
      <c r="L41" s="40" t="n"/>
      <c r="M41" s="40" t="n"/>
    </row>
    <row r="42">
      <c r="A42" s="39">
        <f>IF(K42="","","RV-"&amp;TEXT(ROW()-4,"0000"))</f>
        <v/>
      </c>
      <c r="B42" s="47" t="n"/>
      <c r="C42" s="40" t="n"/>
      <c r="D42" s="50" t="n"/>
      <c r="E42" s="49">
        <f>IF(D42="","",IFERROR(INDEX('المشروعات'!$B$5:$B$304,MATCH(D42,'المشروعات'!$A$5:$A$304,0)),""))</f>
        <v/>
      </c>
      <c r="F42" s="40" t="n"/>
      <c r="G42" s="40" t="n"/>
      <c r="H42" s="40" t="n"/>
      <c r="I42" s="40" t="n"/>
      <c r="J42" s="40" t="n"/>
      <c r="K42" s="41" t="n"/>
      <c r="L42" s="40" t="n"/>
      <c r="M42" s="40" t="n"/>
    </row>
    <row r="43">
      <c r="A43" s="39">
        <f>IF(K43="","","RV-"&amp;TEXT(ROW()-4,"0000"))</f>
        <v/>
      </c>
      <c r="B43" s="47" t="n"/>
      <c r="C43" s="40" t="n"/>
      <c r="D43" s="50" t="n"/>
      <c r="E43" s="49">
        <f>IF(D43="","",IFERROR(INDEX('المشروعات'!$B$5:$B$304,MATCH(D43,'المشروعات'!$A$5:$A$304,0)),""))</f>
        <v/>
      </c>
      <c r="F43" s="40" t="n"/>
      <c r="G43" s="40" t="n"/>
      <c r="H43" s="40" t="n"/>
      <c r="I43" s="40" t="n"/>
      <c r="J43" s="40" t="n"/>
      <c r="K43" s="41" t="n"/>
      <c r="L43" s="40" t="n"/>
      <c r="M43" s="40" t="n"/>
    </row>
    <row r="44">
      <c r="A44" s="39">
        <f>IF(K44="","","RV-"&amp;TEXT(ROW()-4,"0000"))</f>
        <v/>
      </c>
      <c r="B44" s="47" t="n"/>
      <c r="C44" s="40" t="n"/>
      <c r="D44" s="50" t="n"/>
      <c r="E44" s="49">
        <f>IF(D44="","",IFERROR(INDEX('المشروعات'!$B$5:$B$304,MATCH(D44,'المشروعات'!$A$5:$A$304,0)),""))</f>
        <v/>
      </c>
      <c r="F44" s="40" t="n"/>
      <c r="G44" s="40" t="n"/>
      <c r="H44" s="40" t="n"/>
      <c r="I44" s="40" t="n"/>
      <c r="J44" s="40" t="n"/>
      <c r="K44" s="41" t="n"/>
      <c r="L44" s="40" t="n"/>
      <c r="M44" s="40" t="n"/>
    </row>
    <row r="45">
      <c r="A45" s="39">
        <f>IF(K45="","","RV-"&amp;TEXT(ROW()-4,"0000"))</f>
        <v/>
      </c>
      <c r="B45" s="47" t="n"/>
      <c r="C45" s="40" t="n"/>
      <c r="D45" s="50" t="n"/>
      <c r="E45" s="49">
        <f>IF(D45="","",IFERROR(INDEX('المشروعات'!$B$5:$B$304,MATCH(D45,'المشروعات'!$A$5:$A$304,0)),""))</f>
        <v/>
      </c>
      <c r="F45" s="40" t="n"/>
      <c r="G45" s="40" t="n"/>
      <c r="H45" s="40" t="n"/>
      <c r="I45" s="40" t="n"/>
      <c r="J45" s="40" t="n"/>
      <c r="K45" s="41" t="n"/>
      <c r="L45" s="40" t="n"/>
      <c r="M45" s="40" t="n"/>
    </row>
    <row r="46">
      <c r="A46" s="39">
        <f>IF(K46="","","RV-"&amp;TEXT(ROW()-4,"0000"))</f>
        <v/>
      </c>
      <c r="B46" s="47" t="n"/>
      <c r="C46" s="40" t="n"/>
      <c r="D46" s="50" t="n"/>
      <c r="E46" s="49">
        <f>IF(D46="","",IFERROR(INDEX('المشروعات'!$B$5:$B$304,MATCH(D46,'المشروعات'!$A$5:$A$304,0)),""))</f>
        <v/>
      </c>
      <c r="F46" s="40" t="n"/>
      <c r="G46" s="40" t="n"/>
      <c r="H46" s="40" t="n"/>
      <c r="I46" s="40" t="n"/>
      <c r="J46" s="40" t="n"/>
      <c r="K46" s="41" t="n"/>
      <c r="L46" s="40" t="n"/>
      <c r="M46" s="40" t="n"/>
    </row>
    <row r="47">
      <c r="A47" s="39">
        <f>IF(K47="","","RV-"&amp;TEXT(ROW()-4,"0000"))</f>
        <v/>
      </c>
      <c r="B47" s="47" t="n"/>
      <c r="C47" s="40" t="n"/>
      <c r="D47" s="50" t="n"/>
      <c r="E47" s="49">
        <f>IF(D47="","",IFERROR(INDEX('المشروعات'!$B$5:$B$304,MATCH(D47,'المشروعات'!$A$5:$A$304,0)),""))</f>
        <v/>
      </c>
      <c r="F47" s="40" t="n"/>
      <c r="G47" s="40" t="n"/>
      <c r="H47" s="40" t="n"/>
      <c r="I47" s="40" t="n"/>
      <c r="J47" s="40" t="n"/>
      <c r="K47" s="41" t="n"/>
      <c r="L47" s="40" t="n"/>
      <c r="M47" s="40" t="n"/>
    </row>
    <row r="48">
      <c r="A48" s="39">
        <f>IF(K48="","","RV-"&amp;TEXT(ROW()-4,"0000"))</f>
        <v/>
      </c>
      <c r="B48" s="47" t="n"/>
      <c r="C48" s="40" t="n"/>
      <c r="D48" s="50" t="n"/>
      <c r="E48" s="49">
        <f>IF(D48="","",IFERROR(INDEX('المشروعات'!$B$5:$B$304,MATCH(D48,'المشروعات'!$A$5:$A$304,0)),""))</f>
        <v/>
      </c>
      <c r="F48" s="40" t="n"/>
      <c r="G48" s="40" t="n"/>
      <c r="H48" s="40" t="n"/>
      <c r="I48" s="40" t="n"/>
      <c r="J48" s="40" t="n"/>
      <c r="K48" s="41" t="n"/>
      <c r="L48" s="40" t="n"/>
      <c r="M48" s="40" t="n"/>
    </row>
    <row r="49">
      <c r="A49" s="39">
        <f>IF(K49="","","RV-"&amp;TEXT(ROW()-4,"0000"))</f>
        <v/>
      </c>
      <c r="B49" s="47" t="n"/>
      <c r="C49" s="40" t="n"/>
      <c r="D49" s="50" t="n"/>
      <c r="E49" s="49">
        <f>IF(D49="","",IFERROR(INDEX('المشروعات'!$B$5:$B$304,MATCH(D49,'المشروعات'!$A$5:$A$304,0)),""))</f>
        <v/>
      </c>
      <c r="F49" s="40" t="n"/>
      <c r="G49" s="40" t="n"/>
      <c r="H49" s="40" t="n"/>
      <c r="I49" s="40" t="n"/>
      <c r="J49" s="40" t="n"/>
      <c r="K49" s="41" t="n"/>
      <c r="L49" s="40" t="n"/>
      <c r="M49" s="40" t="n"/>
    </row>
    <row r="50">
      <c r="A50" s="39">
        <f>IF(K50="","","RV-"&amp;TEXT(ROW()-4,"0000"))</f>
        <v/>
      </c>
      <c r="B50" s="47" t="n"/>
      <c r="C50" s="40" t="n"/>
      <c r="D50" s="50" t="n"/>
      <c r="E50" s="49">
        <f>IF(D50="","",IFERROR(INDEX('المشروعات'!$B$5:$B$304,MATCH(D50,'المشروعات'!$A$5:$A$304,0)),""))</f>
        <v/>
      </c>
      <c r="F50" s="40" t="n"/>
      <c r="G50" s="40" t="n"/>
      <c r="H50" s="40" t="n"/>
      <c r="I50" s="40" t="n"/>
      <c r="J50" s="40" t="n"/>
      <c r="K50" s="41" t="n"/>
      <c r="L50" s="40" t="n"/>
      <c r="M50" s="40" t="n"/>
    </row>
    <row r="51">
      <c r="A51" s="39">
        <f>IF(K51="","","RV-"&amp;TEXT(ROW()-4,"0000"))</f>
        <v/>
      </c>
      <c r="B51" s="47" t="n"/>
      <c r="C51" s="40" t="n"/>
      <c r="D51" s="50" t="n"/>
      <c r="E51" s="49">
        <f>IF(D51="","",IFERROR(INDEX('المشروعات'!$B$5:$B$304,MATCH(D51,'المشروعات'!$A$5:$A$304,0)),""))</f>
        <v/>
      </c>
      <c r="F51" s="40" t="n"/>
      <c r="G51" s="40" t="n"/>
      <c r="H51" s="40" t="n"/>
      <c r="I51" s="40" t="n"/>
      <c r="J51" s="40" t="n"/>
      <c r="K51" s="41" t="n"/>
      <c r="L51" s="40" t="n"/>
      <c r="M51" s="40" t="n"/>
    </row>
    <row r="52">
      <c r="A52" s="39">
        <f>IF(K52="","","RV-"&amp;TEXT(ROW()-4,"0000"))</f>
        <v/>
      </c>
      <c r="B52" s="47" t="n"/>
      <c r="C52" s="40" t="n"/>
      <c r="D52" s="50" t="n"/>
      <c r="E52" s="49">
        <f>IF(D52="","",IFERROR(INDEX('المشروعات'!$B$5:$B$304,MATCH(D52,'المشروعات'!$A$5:$A$304,0)),""))</f>
        <v/>
      </c>
      <c r="F52" s="40" t="n"/>
      <c r="G52" s="40" t="n"/>
      <c r="H52" s="40" t="n"/>
      <c r="I52" s="40" t="n"/>
      <c r="J52" s="40" t="n"/>
      <c r="K52" s="41" t="n"/>
      <c r="L52" s="40" t="n"/>
      <c r="M52" s="40" t="n"/>
    </row>
    <row r="53">
      <c r="A53" s="39">
        <f>IF(K53="","","RV-"&amp;TEXT(ROW()-4,"0000"))</f>
        <v/>
      </c>
      <c r="B53" s="47" t="n"/>
      <c r="C53" s="40" t="n"/>
      <c r="D53" s="50" t="n"/>
      <c r="E53" s="49">
        <f>IF(D53="","",IFERROR(INDEX('المشروعات'!$B$5:$B$304,MATCH(D53,'المشروعات'!$A$5:$A$304,0)),""))</f>
        <v/>
      </c>
      <c r="F53" s="40" t="n"/>
      <c r="G53" s="40" t="n"/>
      <c r="H53" s="40" t="n"/>
      <c r="I53" s="40" t="n"/>
      <c r="J53" s="40" t="n"/>
      <c r="K53" s="41" t="n"/>
      <c r="L53" s="40" t="n"/>
      <c r="M53" s="40" t="n"/>
    </row>
    <row r="54">
      <c r="A54" s="39">
        <f>IF(K54="","","RV-"&amp;TEXT(ROW()-4,"0000"))</f>
        <v/>
      </c>
      <c r="B54" s="47" t="n"/>
      <c r="C54" s="40" t="n"/>
      <c r="D54" s="50" t="n"/>
      <c r="E54" s="49">
        <f>IF(D54="","",IFERROR(INDEX('المشروعات'!$B$5:$B$304,MATCH(D54,'المشروعات'!$A$5:$A$304,0)),""))</f>
        <v/>
      </c>
      <c r="F54" s="40" t="n"/>
      <c r="G54" s="40" t="n"/>
      <c r="H54" s="40" t="n"/>
      <c r="I54" s="40" t="n"/>
      <c r="J54" s="40" t="n"/>
      <c r="K54" s="41" t="n"/>
      <c r="L54" s="40" t="n"/>
      <c r="M54" s="40" t="n"/>
    </row>
    <row r="55">
      <c r="A55" s="39">
        <f>IF(K55="","","RV-"&amp;TEXT(ROW()-4,"0000"))</f>
        <v/>
      </c>
      <c r="B55" s="47" t="n"/>
      <c r="C55" s="40" t="n"/>
      <c r="D55" s="50" t="n"/>
      <c r="E55" s="49">
        <f>IF(D55="","",IFERROR(INDEX('المشروعات'!$B$5:$B$304,MATCH(D55,'المشروعات'!$A$5:$A$304,0)),""))</f>
        <v/>
      </c>
      <c r="F55" s="40" t="n"/>
      <c r="G55" s="40" t="n"/>
      <c r="H55" s="40" t="n"/>
      <c r="I55" s="40" t="n"/>
      <c r="J55" s="40" t="n"/>
      <c r="K55" s="41" t="n"/>
      <c r="L55" s="40" t="n"/>
      <c r="M55" s="40" t="n"/>
    </row>
    <row r="56">
      <c r="A56" s="39">
        <f>IF(K56="","","RV-"&amp;TEXT(ROW()-4,"0000"))</f>
        <v/>
      </c>
      <c r="B56" s="47" t="n"/>
      <c r="C56" s="40" t="n"/>
      <c r="D56" s="50" t="n"/>
      <c r="E56" s="49">
        <f>IF(D56="","",IFERROR(INDEX('المشروعات'!$B$5:$B$304,MATCH(D56,'المشروعات'!$A$5:$A$304,0)),""))</f>
        <v/>
      </c>
      <c r="F56" s="40" t="n"/>
      <c r="G56" s="40" t="n"/>
      <c r="H56" s="40" t="n"/>
      <c r="I56" s="40" t="n"/>
      <c r="J56" s="40" t="n"/>
      <c r="K56" s="41" t="n"/>
      <c r="L56" s="40" t="n"/>
      <c r="M56" s="40" t="n"/>
    </row>
    <row r="57">
      <c r="A57" s="39">
        <f>IF(K57="","","RV-"&amp;TEXT(ROW()-4,"0000"))</f>
        <v/>
      </c>
      <c r="B57" s="47" t="n"/>
      <c r="C57" s="40" t="n"/>
      <c r="D57" s="50" t="n"/>
      <c r="E57" s="49">
        <f>IF(D57="","",IFERROR(INDEX('المشروعات'!$B$5:$B$304,MATCH(D57,'المشروعات'!$A$5:$A$304,0)),""))</f>
        <v/>
      </c>
      <c r="F57" s="40" t="n"/>
      <c r="G57" s="40" t="n"/>
      <c r="H57" s="40" t="n"/>
      <c r="I57" s="40" t="n"/>
      <c r="J57" s="40" t="n"/>
      <c r="K57" s="41" t="n"/>
      <c r="L57" s="40" t="n"/>
      <c r="M57" s="40" t="n"/>
    </row>
    <row r="58">
      <c r="A58" s="39">
        <f>IF(K58="","","RV-"&amp;TEXT(ROW()-4,"0000"))</f>
        <v/>
      </c>
      <c r="B58" s="47" t="n"/>
      <c r="C58" s="40" t="n"/>
      <c r="D58" s="50" t="n"/>
      <c r="E58" s="49">
        <f>IF(D58="","",IFERROR(INDEX('المشروعات'!$B$5:$B$304,MATCH(D58,'المشروعات'!$A$5:$A$304,0)),""))</f>
        <v/>
      </c>
      <c r="F58" s="40" t="n"/>
      <c r="G58" s="40" t="n"/>
      <c r="H58" s="40" t="n"/>
      <c r="I58" s="40" t="n"/>
      <c r="J58" s="40" t="n"/>
      <c r="K58" s="41" t="n"/>
      <c r="L58" s="40" t="n"/>
      <c r="M58" s="40" t="n"/>
    </row>
    <row r="59">
      <c r="A59" s="39">
        <f>IF(K59="","","RV-"&amp;TEXT(ROW()-4,"0000"))</f>
        <v/>
      </c>
      <c r="B59" s="47" t="n"/>
      <c r="C59" s="40" t="n"/>
      <c r="D59" s="50" t="n"/>
      <c r="E59" s="49">
        <f>IF(D59="","",IFERROR(INDEX('المشروعات'!$B$5:$B$304,MATCH(D59,'المشروعات'!$A$5:$A$304,0)),""))</f>
        <v/>
      </c>
      <c r="F59" s="40" t="n"/>
      <c r="G59" s="40" t="n"/>
      <c r="H59" s="40" t="n"/>
      <c r="I59" s="40" t="n"/>
      <c r="J59" s="40" t="n"/>
      <c r="K59" s="41" t="n"/>
      <c r="L59" s="40" t="n"/>
      <c r="M59" s="40" t="n"/>
    </row>
    <row r="60">
      <c r="A60" s="39">
        <f>IF(K60="","","RV-"&amp;TEXT(ROW()-4,"0000"))</f>
        <v/>
      </c>
      <c r="B60" s="47" t="n"/>
      <c r="C60" s="40" t="n"/>
      <c r="D60" s="50" t="n"/>
      <c r="E60" s="49">
        <f>IF(D60="","",IFERROR(INDEX('المشروعات'!$B$5:$B$304,MATCH(D60,'المشروعات'!$A$5:$A$304,0)),""))</f>
        <v/>
      </c>
      <c r="F60" s="40" t="n"/>
      <c r="G60" s="40" t="n"/>
      <c r="H60" s="40" t="n"/>
      <c r="I60" s="40" t="n"/>
      <c r="J60" s="40" t="n"/>
      <c r="K60" s="41" t="n"/>
      <c r="L60" s="40" t="n"/>
      <c r="M60" s="40" t="n"/>
    </row>
    <row r="61">
      <c r="A61" s="39">
        <f>IF(K61="","","RV-"&amp;TEXT(ROW()-4,"0000"))</f>
        <v/>
      </c>
      <c r="B61" s="47" t="n"/>
      <c r="C61" s="40" t="n"/>
      <c r="D61" s="50" t="n"/>
      <c r="E61" s="49">
        <f>IF(D61="","",IFERROR(INDEX('المشروعات'!$B$5:$B$304,MATCH(D61,'المشروعات'!$A$5:$A$304,0)),""))</f>
        <v/>
      </c>
      <c r="F61" s="40" t="n"/>
      <c r="G61" s="40" t="n"/>
      <c r="H61" s="40" t="n"/>
      <c r="I61" s="40" t="n"/>
      <c r="J61" s="40" t="n"/>
      <c r="K61" s="41" t="n"/>
      <c r="L61" s="40" t="n"/>
      <c r="M61" s="40" t="n"/>
    </row>
    <row r="62">
      <c r="A62" s="39">
        <f>IF(K62="","","RV-"&amp;TEXT(ROW()-4,"0000"))</f>
        <v/>
      </c>
      <c r="B62" s="47" t="n"/>
      <c r="C62" s="40" t="n"/>
      <c r="D62" s="50" t="n"/>
      <c r="E62" s="49">
        <f>IF(D62="","",IFERROR(INDEX('المشروعات'!$B$5:$B$304,MATCH(D62,'المشروعات'!$A$5:$A$304,0)),""))</f>
        <v/>
      </c>
      <c r="F62" s="40" t="n"/>
      <c r="G62" s="40" t="n"/>
      <c r="H62" s="40" t="n"/>
      <c r="I62" s="40" t="n"/>
      <c r="J62" s="40" t="n"/>
      <c r="K62" s="41" t="n"/>
      <c r="L62" s="40" t="n"/>
      <c r="M62" s="40" t="n"/>
    </row>
    <row r="63">
      <c r="A63" s="39">
        <f>IF(K63="","","RV-"&amp;TEXT(ROW()-4,"0000"))</f>
        <v/>
      </c>
      <c r="B63" s="47" t="n"/>
      <c r="C63" s="40" t="n"/>
      <c r="D63" s="50" t="n"/>
      <c r="E63" s="49">
        <f>IF(D63="","",IFERROR(INDEX('المشروعات'!$B$5:$B$304,MATCH(D63,'المشروعات'!$A$5:$A$304,0)),""))</f>
        <v/>
      </c>
      <c r="F63" s="40" t="n"/>
      <c r="G63" s="40" t="n"/>
      <c r="H63" s="40" t="n"/>
      <c r="I63" s="40" t="n"/>
      <c r="J63" s="40" t="n"/>
      <c r="K63" s="41" t="n"/>
      <c r="L63" s="40" t="n"/>
      <c r="M63" s="40" t="n"/>
    </row>
    <row r="64">
      <c r="A64" s="39">
        <f>IF(K64="","","RV-"&amp;TEXT(ROW()-4,"0000"))</f>
        <v/>
      </c>
      <c r="B64" s="47" t="n"/>
      <c r="C64" s="40" t="n"/>
      <c r="D64" s="50" t="n"/>
      <c r="E64" s="49">
        <f>IF(D64="","",IFERROR(INDEX('المشروعات'!$B$5:$B$304,MATCH(D64,'المشروعات'!$A$5:$A$304,0)),""))</f>
        <v/>
      </c>
      <c r="F64" s="40" t="n"/>
      <c r="G64" s="40" t="n"/>
      <c r="H64" s="40" t="n"/>
      <c r="I64" s="40" t="n"/>
      <c r="J64" s="40" t="n"/>
      <c r="K64" s="41" t="n"/>
      <c r="L64" s="40" t="n"/>
      <c r="M64" s="40" t="n"/>
    </row>
    <row r="65">
      <c r="A65" s="39">
        <f>IF(K65="","","RV-"&amp;TEXT(ROW()-4,"0000"))</f>
        <v/>
      </c>
      <c r="B65" s="47" t="n"/>
      <c r="C65" s="40" t="n"/>
      <c r="D65" s="50" t="n"/>
      <c r="E65" s="49">
        <f>IF(D65="","",IFERROR(INDEX('المشروعات'!$B$5:$B$304,MATCH(D65,'المشروعات'!$A$5:$A$304,0)),""))</f>
        <v/>
      </c>
      <c r="F65" s="40" t="n"/>
      <c r="G65" s="40" t="n"/>
      <c r="H65" s="40" t="n"/>
      <c r="I65" s="40" t="n"/>
      <c r="J65" s="40" t="n"/>
      <c r="K65" s="41" t="n"/>
      <c r="L65" s="40" t="n"/>
      <c r="M65" s="40" t="n"/>
    </row>
    <row r="66">
      <c r="A66" s="39">
        <f>IF(K66="","","RV-"&amp;TEXT(ROW()-4,"0000"))</f>
        <v/>
      </c>
      <c r="B66" s="47" t="n"/>
      <c r="C66" s="40" t="n"/>
      <c r="D66" s="50" t="n"/>
      <c r="E66" s="49">
        <f>IF(D66="","",IFERROR(INDEX('المشروعات'!$B$5:$B$304,MATCH(D66,'المشروعات'!$A$5:$A$304,0)),""))</f>
        <v/>
      </c>
      <c r="F66" s="40" t="n"/>
      <c r="G66" s="40" t="n"/>
      <c r="H66" s="40" t="n"/>
      <c r="I66" s="40" t="n"/>
      <c r="J66" s="40" t="n"/>
      <c r="K66" s="41" t="n"/>
      <c r="L66" s="40" t="n"/>
      <c r="M66" s="40" t="n"/>
    </row>
    <row r="67">
      <c r="A67" s="39">
        <f>IF(K67="","","RV-"&amp;TEXT(ROW()-4,"0000"))</f>
        <v/>
      </c>
      <c r="B67" s="47" t="n"/>
      <c r="C67" s="40" t="n"/>
      <c r="D67" s="50" t="n"/>
      <c r="E67" s="49">
        <f>IF(D67="","",IFERROR(INDEX('المشروعات'!$B$5:$B$304,MATCH(D67,'المشروعات'!$A$5:$A$304,0)),""))</f>
        <v/>
      </c>
      <c r="F67" s="40" t="n"/>
      <c r="G67" s="40" t="n"/>
      <c r="H67" s="40" t="n"/>
      <c r="I67" s="40" t="n"/>
      <c r="J67" s="40" t="n"/>
      <c r="K67" s="41" t="n"/>
      <c r="L67" s="40" t="n"/>
      <c r="M67" s="40" t="n"/>
    </row>
    <row r="68">
      <c r="A68" s="39">
        <f>IF(K68="","","RV-"&amp;TEXT(ROW()-4,"0000"))</f>
        <v/>
      </c>
      <c r="B68" s="47" t="n"/>
      <c r="C68" s="40" t="n"/>
      <c r="D68" s="50" t="n"/>
      <c r="E68" s="49">
        <f>IF(D68="","",IFERROR(INDEX('المشروعات'!$B$5:$B$304,MATCH(D68,'المشروعات'!$A$5:$A$304,0)),""))</f>
        <v/>
      </c>
      <c r="F68" s="40" t="n"/>
      <c r="G68" s="40" t="n"/>
      <c r="H68" s="40" t="n"/>
      <c r="I68" s="40" t="n"/>
      <c r="J68" s="40" t="n"/>
      <c r="K68" s="41" t="n"/>
      <c r="L68" s="40" t="n"/>
      <c r="M68" s="40" t="n"/>
    </row>
    <row r="69">
      <c r="A69" s="39">
        <f>IF(K69="","","RV-"&amp;TEXT(ROW()-4,"0000"))</f>
        <v/>
      </c>
      <c r="B69" s="47" t="n"/>
      <c r="C69" s="40" t="n"/>
      <c r="D69" s="50" t="n"/>
      <c r="E69" s="49">
        <f>IF(D69="","",IFERROR(INDEX('المشروعات'!$B$5:$B$304,MATCH(D69,'المشروعات'!$A$5:$A$304,0)),""))</f>
        <v/>
      </c>
      <c r="F69" s="40" t="n"/>
      <c r="G69" s="40" t="n"/>
      <c r="H69" s="40" t="n"/>
      <c r="I69" s="40" t="n"/>
      <c r="J69" s="40" t="n"/>
      <c r="K69" s="41" t="n"/>
      <c r="L69" s="40" t="n"/>
      <c r="M69" s="40" t="n"/>
    </row>
    <row r="70">
      <c r="A70" s="39">
        <f>IF(K70="","","RV-"&amp;TEXT(ROW()-4,"0000"))</f>
        <v/>
      </c>
      <c r="B70" s="47" t="n"/>
      <c r="C70" s="40" t="n"/>
      <c r="D70" s="50" t="n"/>
      <c r="E70" s="49">
        <f>IF(D70="","",IFERROR(INDEX('المشروعات'!$B$5:$B$304,MATCH(D70,'المشروعات'!$A$5:$A$304,0)),""))</f>
        <v/>
      </c>
      <c r="F70" s="40" t="n"/>
      <c r="G70" s="40" t="n"/>
      <c r="H70" s="40" t="n"/>
      <c r="I70" s="40" t="n"/>
      <c r="J70" s="40" t="n"/>
      <c r="K70" s="41" t="n"/>
      <c r="L70" s="40" t="n"/>
      <c r="M70" s="40" t="n"/>
    </row>
    <row r="71">
      <c r="A71" s="39">
        <f>IF(K71="","","RV-"&amp;TEXT(ROW()-4,"0000"))</f>
        <v/>
      </c>
      <c r="B71" s="47" t="n"/>
      <c r="C71" s="40" t="n"/>
      <c r="D71" s="50" t="n"/>
      <c r="E71" s="49">
        <f>IF(D71="","",IFERROR(INDEX('المشروعات'!$B$5:$B$304,MATCH(D71,'المشروعات'!$A$5:$A$304,0)),""))</f>
        <v/>
      </c>
      <c r="F71" s="40" t="n"/>
      <c r="G71" s="40" t="n"/>
      <c r="H71" s="40" t="n"/>
      <c r="I71" s="40" t="n"/>
      <c r="J71" s="40" t="n"/>
      <c r="K71" s="41" t="n"/>
      <c r="L71" s="40" t="n"/>
      <c r="M71" s="40" t="n"/>
    </row>
    <row r="72">
      <c r="A72" s="39">
        <f>IF(K72="","","RV-"&amp;TEXT(ROW()-4,"0000"))</f>
        <v/>
      </c>
      <c r="B72" s="47" t="n"/>
      <c r="C72" s="40" t="n"/>
      <c r="D72" s="50" t="n"/>
      <c r="E72" s="49">
        <f>IF(D72="","",IFERROR(INDEX('المشروعات'!$B$5:$B$304,MATCH(D72,'المشروعات'!$A$5:$A$304,0)),""))</f>
        <v/>
      </c>
      <c r="F72" s="40" t="n"/>
      <c r="G72" s="40" t="n"/>
      <c r="H72" s="40" t="n"/>
      <c r="I72" s="40" t="n"/>
      <c r="J72" s="40" t="n"/>
      <c r="K72" s="41" t="n"/>
      <c r="L72" s="40" t="n"/>
      <c r="M72" s="40" t="n"/>
    </row>
    <row r="73">
      <c r="A73" s="39">
        <f>IF(K73="","","RV-"&amp;TEXT(ROW()-4,"0000"))</f>
        <v/>
      </c>
      <c r="B73" s="47" t="n"/>
      <c r="C73" s="40" t="n"/>
      <c r="D73" s="50" t="n"/>
      <c r="E73" s="49">
        <f>IF(D73="","",IFERROR(INDEX('المشروعات'!$B$5:$B$304,MATCH(D73,'المشروعات'!$A$5:$A$304,0)),""))</f>
        <v/>
      </c>
      <c r="F73" s="40" t="n"/>
      <c r="G73" s="40" t="n"/>
      <c r="H73" s="40" t="n"/>
      <c r="I73" s="40" t="n"/>
      <c r="J73" s="40" t="n"/>
      <c r="K73" s="41" t="n"/>
      <c r="L73" s="40" t="n"/>
      <c r="M73" s="40" t="n"/>
    </row>
    <row r="74">
      <c r="A74" s="39">
        <f>IF(K74="","","RV-"&amp;TEXT(ROW()-4,"0000"))</f>
        <v/>
      </c>
      <c r="B74" s="47" t="n"/>
      <c r="C74" s="40" t="n"/>
      <c r="D74" s="50" t="n"/>
      <c r="E74" s="49">
        <f>IF(D74="","",IFERROR(INDEX('المشروعات'!$B$5:$B$304,MATCH(D74,'المشروعات'!$A$5:$A$304,0)),""))</f>
        <v/>
      </c>
      <c r="F74" s="40" t="n"/>
      <c r="G74" s="40" t="n"/>
      <c r="H74" s="40" t="n"/>
      <c r="I74" s="40" t="n"/>
      <c r="J74" s="40" t="n"/>
      <c r="K74" s="41" t="n"/>
      <c r="L74" s="40" t="n"/>
      <c r="M74" s="40" t="n"/>
    </row>
    <row r="75">
      <c r="A75" s="39">
        <f>IF(K75="","","RV-"&amp;TEXT(ROW()-4,"0000"))</f>
        <v/>
      </c>
      <c r="B75" s="47" t="n"/>
      <c r="C75" s="40" t="n"/>
      <c r="D75" s="50" t="n"/>
      <c r="E75" s="49">
        <f>IF(D75="","",IFERROR(INDEX('المشروعات'!$B$5:$B$304,MATCH(D75,'المشروعات'!$A$5:$A$304,0)),""))</f>
        <v/>
      </c>
      <c r="F75" s="40" t="n"/>
      <c r="G75" s="40" t="n"/>
      <c r="H75" s="40" t="n"/>
      <c r="I75" s="40" t="n"/>
      <c r="J75" s="40" t="n"/>
      <c r="K75" s="41" t="n"/>
      <c r="L75" s="40" t="n"/>
      <c r="M75" s="40" t="n"/>
    </row>
    <row r="76">
      <c r="A76" s="39">
        <f>IF(K76="","","RV-"&amp;TEXT(ROW()-4,"0000"))</f>
        <v/>
      </c>
      <c r="B76" s="47" t="n"/>
      <c r="C76" s="40" t="n"/>
      <c r="D76" s="50" t="n"/>
      <c r="E76" s="49">
        <f>IF(D76="","",IFERROR(INDEX('المشروعات'!$B$5:$B$304,MATCH(D76,'المشروعات'!$A$5:$A$304,0)),""))</f>
        <v/>
      </c>
      <c r="F76" s="40" t="n"/>
      <c r="G76" s="40" t="n"/>
      <c r="H76" s="40" t="n"/>
      <c r="I76" s="40" t="n"/>
      <c r="J76" s="40" t="n"/>
      <c r="K76" s="41" t="n"/>
      <c r="L76" s="40" t="n"/>
      <c r="M76" s="40" t="n"/>
    </row>
    <row r="77">
      <c r="A77" s="39">
        <f>IF(K77="","","RV-"&amp;TEXT(ROW()-4,"0000"))</f>
        <v/>
      </c>
      <c r="B77" s="47" t="n"/>
      <c r="C77" s="40" t="n"/>
      <c r="D77" s="50" t="n"/>
      <c r="E77" s="49">
        <f>IF(D77="","",IFERROR(INDEX('المشروعات'!$B$5:$B$304,MATCH(D77,'المشروعات'!$A$5:$A$304,0)),""))</f>
        <v/>
      </c>
      <c r="F77" s="40" t="n"/>
      <c r="G77" s="40" t="n"/>
      <c r="H77" s="40" t="n"/>
      <c r="I77" s="40" t="n"/>
      <c r="J77" s="40" t="n"/>
      <c r="K77" s="41" t="n"/>
      <c r="L77" s="40" t="n"/>
      <c r="M77" s="40" t="n"/>
    </row>
    <row r="78">
      <c r="A78" s="39">
        <f>IF(K78="","","RV-"&amp;TEXT(ROW()-4,"0000"))</f>
        <v/>
      </c>
      <c r="B78" s="47" t="n"/>
      <c r="C78" s="40" t="n"/>
      <c r="D78" s="50" t="n"/>
      <c r="E78" s="49">
        <f>IF(D78="","",IFERROR(INDEX('المشروعات'!$B$5:$B$304,MATCH(D78,'المشروعات'!$A$5:$A$304,0)),""))</f>
        <v/>
      </c>
      <c r="F78" s="40" t="n"/>
      <c r="G78" s="40" t="n"/>
      <c r="H78" s="40" t="n"/>
      <c r="I78" s="40" t="n"/>
      <c r="J78" s="40" t="n"/>
      <c r="K78" s="41" t="n"/>
      <c r="L78" s="40" t="n"/>
      <c r="M78" s="40" t="n"/>
    </row>
    <row r="79">
      <c r="A79" s="39">
        <f>IF(K79="","","RV-"&amp;TEXT(ROW()-4,"0000"))</f>
        <v/>
      </c>
      <c r="B79" s="47" t="n"/>
      <c r="C79" s="40" t="n"/>
      <c r="D79" s="50" t="n"/>
      <c r="E79" s="49">
        <f>IF(D79="","",IFERROR(INDEX('المشروعات'!$B$5:$B$304,MATCH(D79,'المشروعات'!$A$5:$A$304,0)),""))</f>
        <v/>
      </c>
      <c r="F79" s="40" t="n"/>
      <c r="G79" s="40" t="n"/>
      <c r="H79" s="40" t="n"/>
      <c r="I79" s="40" t="n"/>
      <c r="J79" s="40" t="n"/>
      <c r="K79" s="41" t="n"/>
      <c r="L79" s="40" t="n"/>
      <c r="M79" s="40" t="n"/>
    </row>
    <row r="80">
      <c r="A80" s="39">
        <f>IF(K80="","","RV-"&amp;TEXT(ROW()-4,"0000"))</f>
        <v/>
      </c>
      <c r="B80" s="47" t="n"/>
      <c r="C80" s="40" t="n"/>
      <c r="D80" s="50" t="n"/>
      <c r="E80" s="49">
        <f>IF(D80="","",IFERROR(INDEX('المشروعات'!$B$5:$B$304,MATCH(D80,'المشروعات'!$A$5:$A$304,0)),""))</f>
        <v/>
      </c>
      <c r="F80" s="40" t="n"/>
      <c r="G80" s="40" t="n"/>
      <c r="H80" s="40" t="n"/>
      <c r="I80" s="40" t="n"/>
      <c r="J80" s="40" t="n"/>
      <c r="K80" s="41" t="n"/>
      <c r="L80" s="40" t="n"/>
      <c r="M80" s="40" t="n"/>
    </row>
    <row r="81">
      <c r="A81" s="39">
        <f>IF(K81="","","RV-"&amp;TEXT(ROW()-4,"0000"))</f>
        <v/>
      </c>
      <c r="B81" s="47" t="n"/>
      <c r="C81" s="40" t="n"/>
      <c r="D81" s="50" t="n"/>
      <c r="E81" s="49">
        <f>IF(D81="","",IFERROR(INDEX('المشروعات'!$B$5:$B$304,MATCH(D81,'المشروعات'!$A$5:$A$304,0)),""))</f>
        <v/>
      </c>
      <c r="F81" s="40" t="n"/>
      <c r="G81" s="40" t="n"/>
      <c r="H81" s="40" t="n"/>
      <c r="I81" s="40" t="n"/>
      <c r="J81" s="40" t="n"/>
      <c r="K81" s="41" t="n"/>
      <c r="L81" s="40" t="n"/>
      <c r="M81" s="40" t="n"/>
    </row>
    <row r="82">
      <c r="A82" s="39">
        <f>IF(K82="","","RV-"&amp;TEXT(ROW()-4,"0000"))</f>
        <v/>
      </c>
      <c r="B82" s="47" t="n"/>
      <c r="C82" s="40" t="n"/>
      <c r="D82" s="50" t="n"/>
      <c r="E82" s="49">
        <f>IF(D82="","",IFERROR(INDEX('المشروعات'!$B$5:$B$304,MATCH(D82,'المشروعات'!$A$5:$A$304,0)),""))</f>
        <v/>
      </c>
      <c r="F82" s="40" t="n"/>
      <c r="G82" s="40" t="n"/>
      <c r="H82" s="40" t="n"/>
      <c r="I82" s="40" t="n"/>
      <c r="J82" s="40" t="n"/>
      <c r="K82" s="41" t="n"/>
      <c r="L82" s="40" t="n"/>
      <c r="M82" s="40" t="n"/>
    </row>
    <row r="83">
      <c r="A83" s="39">
        <f>IF(K83="","","RV-"&amp;TEXT(ROW()-4,"0000"))</f>
        <v/>
      </c>
      <c r="B83" s="47" t="n"/>
      <c r="C83" s="40" t="n"/>
      <c r="D83" s="50" t="n"/>
      <c r="E83" s="49">
        <f>IF(D83="","",IFERROR(INDEX('المشروعات'!$B$5:$B$304,MATCH(D83,'المشروعات'!$A$5:$A$304,0)),""))</f>
        <v/>
      </c>
      <c r="F83" s="40" t="n"/>
      <c r="G83" s="40" t="n"/>
      <c r="H83" s="40" t="n"/>
      <c r="I83" s="40" t="n"/>
      <c r="J83" s="40" t="n"/>
      <c r="K83" s="41" t="n"/>
      <c r="L83" s="40" t="n"/>
      <c r="M83" s="40" t="n"/>
    </row>
    <row r="84">
      <c r="A84" s="39">
        <f>IF(K84="","","RV-"&amp;TEXT(ROW()-4,"0000"))</f>
        <v/>
      </c>
      <c r="B84" s="47" t="n"/>
      <c r="C84" s="40" t="n"/>
      <c r="D84" s="50" t="n"/>
      <c r="E84" s="49">
        <f>IF(D84="","",IFERROR(INDEX('المشروعات'!$B$5:$B$304,MATCH(D84,'المشروعات'!$A$5:$A$304,0)),""))</f>
        <v/>
      </c>
      <c r="F84" s="40" t="n"/>
      <c r="G84" s="40" t="n"/>
      <c r="H84" s="40" t="n"/>
      <c r="I84" s="40" t="n"/>
      <c r="J84" s="40" t="n"/>
      <c r="K84" s="41" t="n"/>
      <c r="L84" s="40" t="n"/>
      <c r="M84" s="40" t="n"/>
    </row>
    <row r="85">
      <c r="A85" s="39">
        <f>IF(K85="","","RV-"&amp;TEXT(ROW()-4,"0000"))</f>
        <v/>
      </c>
      <c r="B85" s="47" t="n"/>
      <c r="C85" s="40" t="n"/>
      <c r="D85" s="50" t="n"/>
      <c r="E85" s="49">
        <f>IF(D85="","",IFERROR(INDEX('المشروعات'!$B$5:$B$304,MATCH(D85,'المشروعات'!$A$5:$A$304,0)),""))</f>
        <v/>
      </c>
      <c r="F85" s="40" t="n"/>
      <c r="G85" s="40" t="n"/>
      <c r="H85" s="40" t="n"/>
      <c r="I85" s="40" t="n"/>
      <c r="J85" s="40" t="n"/>
      <c r="K85" s="41" t="n"/>
      <c r="L85" s="40" t="n"/>
      <c r="M85" s="40" t="n"/>
    </row>
    <row r="86">
      <c r="A86" s="39">
        <f>IF(K86="","","RV-"&amp;TEXT(ROW()-4,"0000"))</f>
        <v/>
      </c>
      <c r="B86" s="47" t="n"/>
      <c r="C86" s="40" t="n"/>
      <c r="D86" s="50" t="n"/>
      <c r="E86" s="49">
        <f>IF(D86="","",IFERROR(INDEX('المشروعات'!$B$5:$B$304,MATCH(D86,'المشروعات'!$A$5:$A$304,0)),""))</f>
        <v/>
      </c>
      <c r="F86" s="40" t="n"/>
      <c r="G86" s="40" t="n"/>
      <c r="H86" s="40" t="n"/>
      <c r="I86" s="40" t="n"/>
      <c r="J86" s="40" t="n"/>
      <c r="K86" s="41" t="n"/>
      <c r="L86" s="40" t="n"/>
      <c r="M86" s="40" t="n"/>
    </row>
    <row r="87">
      <c r="A87" s="39">
        <f>IF(K87="","","RV-"&amp;TEXT(ROW()-4,"0000"))</f>
        <v/>
      </c>
      <c r="B87" s="47" t="n"/>
      <c r="C87" s="40" t="n"/>
      <c r="D87" s="50" t="n"/>
      <c r="E87" s="49">
        <f>IF(D87="","",IFERROR(INDEX('المشروعات'!$B$5:$B$304,MATCH(D87,'المشروعات'!$A$5:$A$304,0)),""))</f>
        <v/>
      </c>
      <c r="F87" s="40" t="n"/>
      <c r="G87" s="40" t="n"/>
      <c r="H87" s="40" t="n"/>
      <c r="I87" s="40" t="n"/>
      <c r="J87" s="40" t="n"/>
      <c r="K87" s="41" t="n"/>
      <c r="L87" s="40" t="n"/>
      <c r="M87" s="40" t="n"/>
    </row>
    <row r="88">
      <c r="A88" s="39">
        <f>IF(K88="","","RV-"&amp;TEXT(ROW()-4,"0000"))</f>
        <v/>
      </c>
      <c r="B88" s="47" t="n"/>
      <c r="C88" s="40" t="n"/>
      <c r="D88" s="50" t="n"/>
      <c r="E88" s="49">
        <f>IF(D88="","",IFERROR(INDEX('المشروعات'!$B$5:$B$304,MATCH(D88,'المشروعات'!$A$5:$A$304,0)),""))</f>
        <v/>
      </c>
      <c r="F88" s="40" t="n"/>
      <c r="G88" s="40" t="n"/>
      <c r="H88" s="40" t="n"/>
      <c r="I88" s="40" t="n"/>
      <c r="J88" s="40" t="n"/>
      <c r="K88" s="41" t="n"/>
      <c r="L88" s="40" t="n"/>
      <c r="M88" s="40" t="n"/>
    </row>
    <row r="89">
      <c r="A89" s="39">
        <f>IF(K89="","","RV-"&amp;TEXT(ROW()-4,"0000"))</f>
        <v/>
      </c>
      <c r="B89" s="47" t="n"/>
      <c r="C89" s="40" t="n"/>
      <c r="D89" s="50" t="n"/>
      <c r="E89" s="49">
        <f>IF(D89="","",IFERROR(INDEX('المشروعات'!$B$5:$B$304,MATCH(D89,'المشروعات'!$A$5:$A$304,0)),""))</f>
        <v/>
      </c>
      <c r="F89" s="40" t="n"/>
      <c r="G89" s="40" t="n"/>
      <c r="H89" s="40" t="n"/>
      <c r="I89" s="40" t="n"/>
      <c r="J89" s="40" t="n"/>
      <c r="K89" s="41" t="n"/>
      <c r="L89" s="40" t="n"/>
      <c r="M89" s="40" t="n"/>
    </row>
    <row r="90">
      <c r="A90" s="39">
        <f>IF(K90="","","RV-"&amp;TEXT(ROW()-4,"0000"))</f>
        <v/>
      </c>
      <c r="B90" s="47" t="n"/>
      <c r="C90" s="40" t="n"/>
      <c r="D90" s="50" t="n"/>
      <c r="E90" s="49">
        <f>IF(D90="","",IFERROR(INDEX('المشروعات'!$B$5:$B$304,MATCH(D90,'المشروعات'!$A$5:$A$304,0)),""))</f>
        <v/>
      </c>
      <c r="F90" s="40" t="n"/>
      <c r="G90" s="40" t="n"/>
      <c r="H90" s="40" t="n"/>
      <c r="I90" s="40" t="n"/>
      <c r="J90" s="40" t="n"/>
      <c r="K90" s="41" t="n"/>
      <c r="L90" s="40" t="n"/>
      <c r="M90" s="40" t="n"/>
    </row>
    <row r="91">
      <c r="A91" s="39">
        <f>IF(K91="","","RV-"&amp;TEXT(ROW()-4,"0000"))</f>
        <v/>
      </c>
      <c r="B91" s="47" t="n"/>
      <c r="C91" s="40" t="n"/>
      <c r="D91" s="50" t="n"/>
      <c r="E91" s="49">
        <f>IF(D91="","",IFERROR(INDEX('المشروعات'!$B$5:$B$304,MATCH(D91,'المشروعات'!$A$5:$A$304,0)),""))</f>
        <v/>
      </c>
      <c r="F91" s="40" t="n"/>
      <c r="G91" s="40" t="n"/>
      <c r="H91" s="40" t="n"/>
      <c r="I91" s="40" t="n"/>
      <c r="J91" s="40" t="n"/>
      <c r="K91" s="41" t="n"/>
      <c r="L91" s="40" t="n"/>
      <c r="M91" s="40" t="n"/>
    </row>
    <row r="92">
      <c r="A92" s="39">
        <f>IF(K92="","","RV-"&amp;TEXT(ROW()-4,"0000"))</f>
        <v/>
      </c>
      <c r="B92" s="47" t="n"/>
      <c r="C92" s="40" t="n"/>
      <c r="D92" s="50" t="n"/>
      <c r="E92" s="49">
        <f>IF(D92="","",IFERROR(INDEX('المشروعات'!$B$5:$B$304,MATCH(D92,'المشروعات'!$A$5:$A$304,0)),""))</f>
        <v/>
      </c>
      <c r="F92" s="40" t="n"/>
      <c r="G92" s="40" t="n"/>
      <c r="H92" s="40" t="n"/>
      <c r="I92" s="40" t="n"/>
      <c r="J92" s="40" t="n"/>
      <c r="K92" s="41" t="n"/>
      <c r="L92" s="40" t="n"/>
      <c r="M92" s="40" t="n"/>
    </row>
    <row r="93">
      <c r="A93" s="39">
        <f>IF(K93="","","RV-"&amp;TEXT(ROW()-4,"0000"))</f>
        <v/>
      </c>
      <c r="B93" s="47" t="n"/>
      <c r="C93" s="40" t="n"/>
      <c r="D93" s="50" t="n"/>
      <c r="E93" s="49">
        <f>IF(D93="","",IFERROR(INDEX('المشروعات'!$B$5:$B$304,MATCH(D93,'المشروعات'!$A$5:$A$304,0)),""))</f>
        <v/>
      </c>
      <c r="F93" s="40" t="n"/>
      <c r="G93" s="40" t="n"/>
      <c r="H93" s="40" t="n"/>
      <c r="I93" s="40" t="n"/>
      <c r="J93" s="40" t="n"/>
      <c r="K93" s="41" t="n"/>
      <c r="L93" s="40" t="n"/>
      <c r="M93" s="40" t="n"/>
    </row>
    <row r="94">
      <c r="A94" s="39">
        <f>IF(K94="","","RV-"&amp;TEXT(ROW()-4,"0000"))</f>
        <v/>
      </c>
      <c r="B94" s="47" t="n"/>
      <c r="C94" s="40" t="n"/>
      <c r="D94" s="50" t="n"/>
      <c r="E94" s="49">
        <f>IF(D94="","",IFERROR(INDEX('المشروعات'!$B$5:$B$304,MATCH(D94,'المشروعات'!$A$5:$A$304,0)),""))</f>
        <v/>
      </c>
      <c r="F94" s="40" t="n"/>
      <c r="G94" s="40" t="n"/>
      <c r="H94" s="40" t="n"/>
      <c r="I94" s="40" t="n"/>
      <c r="J94" s="40" t="n"/>
      <c r="K94" s="41" t="n"/>
      <c r="L94" s="40" t="n"/>
      <c r="M94" s="40" t="n"/>
    </row>
    <row r="95">
      <c r="A95" s="39">
        <f>IF(K95="","","RV-"&amp;TEXT(ROW()-4,"0000"))</f>
        <v/>
      </c>
      <c r="B95" s="47" t="n"/>
      <c r="C95" s="40" t="n"/>
      <c r="D95" s="50" t="n"/>
      <c r="E95" s="49">
        <f>IF(D95="","",IFERROR(INDEX('المشروعات'!$B$5:$B$304,MATCH(D95,'المشروعات'!$A$5:$A$304,0)),""))</f>
        <v/>
      </c>
      <c r="F95" s="40" t="n"/>
      <c r="G95" s="40" t="n"/>
      <c r="H95" s="40" t="n"/>
      <c r="I95" s="40" t="n"/>
      <c r="J95" s="40" t="n"/>
      <c r="K95" s="41" t="n"/>
      <c r="L95" s="40" t="n"/>
      <c r="M95" s="40" t="n"/>
    </row>
    <row r="96">
      <c r="A96" s="39">
        <f>IF(K96="","","RV-"&amp;TEXT(ROW()-4,"0000"))</f>
        <v/>
      </c>
      <c r="B96" s="47" t="n"/>
      <c r="C96" s="40" t="n"/>
      <c r="D96" s="50" t="n"/>
      <c r="E96" s="49">
        <f>IF(D96="","",IFERROR(INDEX('المشروعات'!$B$5:$B$304,MATCH(D96,'المشروعات'!$A$5:$A$304,0)),""))</f>
        <v/>
      </c>
      <c r="F96" s="40" t="n"/>
      <c r="G96" s="40" t="n"/>
      <c r="H96" s="40" t="n"/>
      <c r="I96" s="40" t="n"/>
      <c r="J96" s="40" t="n"/>
      <c r="K96" s="41" t="n"/>
      <c r="L96" s="40" t="n"/>
      <c r="M96" s="40" t="n"/>
    </row>
    <row r="97">
      <c r="A97" s="39">
        <f>IF(K97="","","RV-"&amp;TEXT(ROW()-4,"0000"))</f>
        <v/>
      </c>
      <c r="B97" s="47" t="n"/>
      <c r="C97" s="40" t="n"/>
      <c r="D97" s="50" t="n"/>
      <c r="E97" s="49">
        <f>IF(D97="","",IFERROR(INDEX('المشروعات'!$B$5:$B$304,MATCH(D97,'المشروعات'!$A$5:$A$304,0)),""))</f>
        <v/>
      </c>
      <c r="F97" s="40" t="n"/>
      <c r="G97" s="40" t="n"/>
      <c r="H97" s="40" t="n"/>
      <c r="I97" s="40" t="n"/>
      <c r="J97" s="40" t="n"/>
      <c r="K97" s="41" t="n"/>
      <c r="L97" s="40" t="n"/>
      <c r="M97" s="40" t="n"/>
    </row>
    <row r="98">
      <c r="A98" s="39">
        <f>IF(K98="","","RV-"&amp;TEXT(ROW()-4,"0000"))</f>
        <v/>
      </c>
      <c r="B98" s="47" t="n"/>
      <c r="C98" s="40" t="n"/>
      <c r="D98" s="50" t="n"/>
      <c r="E98" s="49">
        <f>IF(D98="","",IFERROR(INDEX('المشروعات'!$B$5:$B$304,MATCH(D98,'المشروعات'!$A$5:$A$304,0)),""))</f>
        <v/>
      </c>
      <c r="F98" s="40" t="n"/>
      <c r="G98" s="40" t="n"/>
      <c r="H98" s="40" t="n"/>
      <c r="I98" s="40" t="n"/>
      <c r="J98" s="40" t="n"/>
      <c r="K98" s="41" t="n"/>
      <c r="L98" s="40" t="n"/>
      <c r="M98" s="40" t="n"/>
    </row>
    <row r="99">
      <c r="A99" s="39">
        <f>IF(K99="","","RV-"&amp;TEXT(ROW()-4,"0000"))</f>
        <v/>
      </c>
      <c r="B99" s="47" t="n"/>
      <c r="C99" s="40" t="n"/>
      <c r="D99" s="50" t="n"/>
      <c r="E99" s="49">
        <f>IF(D99="","",IFERROR(INDEX('المشروعات'!$B$5:$B$304,MATCH(D99,'المشروعات'!$A$5:$A$304,0)),""))</f>
        <v/>
      </c>
      <c r="F99" s="40" t="n"/>
      <c r="G99" s="40" t="n"/>
      <c r="H99" s="40" t="n"/>
      <c r="I99" s="40" t="n"/>
      <c r="J99" s="40" t="n"/>
      <c r="K99" s="41" t="n"/>
      <c r="L99" s="40" t="n"/>
      <c r="M99" s="40" t="n"/>
    </row>
    <row r="100">
      <c r="A100" s="39">
        <f>IF(K100="","","RV-"&amp;TEXT(ROW()-4,"0000"))</f>
        <v/>
      </c>
      <c r="B100" s="47" t="n"/>
      <c r="C100" s="40" t="n"/>
      <c r="D100" s="50" t="n"/>
      <c r="E100" s="49">
        <f>IF(D100="","",IFERROR(INDEX('المشروعات'!$B$5:$B$304,MATCH(D100,'المشروعات'!$A$5:$A$304,0)),""))</f>
        <v/>
      </c>
      <c r="F100" s="40" t="n"/>
      <c r="G100" s="40" t="n"/>
      <c r="H100" s="40" t="n"/>
      <c r="I100" s="40" t="n"/>
      <c r="J100" s="40" t="n"/>
      <c r="K100" s="41" t="n"/>
      <c r="L100" s="40" t="n"/>
      <c r="M100" s="40" t="n"/>
    </row>
    <row r="101">
      <c r="A101" s="39">
        <f>IF(K101="","","RV-"&amp;TEXT(ROW()-4,"0000"))</f>
        <v/>
      </c>
      <c r="B101" s="47" t="n"/>
      <c r="C101" s="40" t="n"/>
      <c r="D101" s="50" t="n"/>
      <c r="E101" s="49">
        <f>IF(D101="","",IFERROR(INDEX('المشروعات'!$B$5:$B$304,MATCH(D101,'المشروعات'!$A$5:$A$304,0)),""))</f>
        <v/>
      </c>
      <c r="F101" s="40" t="n"/>
      <c r="G101" s="40" t="n"/>
      <c r="H101" s="40" t="n"/>
      <c r="I101" s="40" t="n"/>
      <c r="J101" s="40" t="n"/>
      <c r="K101" s="41" t="n"/>
      <c r="L101" s="40" t="n"/>
      <c r="M101" s="40" t="n"/>
    </row>
    <row r="102">
      <c r="A102" s="39">
        <f>IF(K102="","","RV-"&amp;TEXT(ROW()-4,"0000"))</f>
        <v/>
      </c>
      <c r="B102" s="47" t="n"/>
      <c r="C102" s="40" t="n"/>
      <c r="D102" s="50" t="n"/>
      <c r="E102" s="49">
        <f>IF(D102="","",IFERROR(INDEX('المشروعات'!$B$5:$B$304,MATCH(D102,'المشروعات'!$A$5:$A$304,0)),""))</f>
        <v/>
      </c>
      <c r="F102" s="40" t="n"/>
      <c r="G102" s="40" t="n"/>
      <c r="H102" s="40" t="n"/>
      <c r="I102" s="40" t="n"/>
      <c r="J102" s="40" t="n"/>
      <c r="K102" s="41" t="n"/>
      <c r="L102" s="40" t="n"/>
      <c r="M102" s="40" t="n"/>
    </row>
    <row r="103">
      <c r="A103" s="39">
        <f>IF(K103="","","RV-"&amp;TEXT(ROW()-4,"0000"))</f>
        <v/>
      </c>
      <c r="B103" s="47" t="n"/>
      <c r="C103" s="40" t="n"/>
      <c r="D103" s="50" t="n"/>
      <c r="E103" s="49">
        <f>IF(D103="","",IFERROR(INDEX('المشروعات'!$B$5:$B$304,MATCH(D103,'المشروعات'!$A$5:$A$304,0)),""))</f>
        <v/>
      </c>
      <c r="F103" s="40" t="n"/>
      <c r="G103" s="40" t="n"/>
      <c r="H103" s="40" t="n"/>
      <c r="I103" s="40" t="n"/>
      <c r="J103" s="40" t="n"/>
      <c r="K103" s="41" t="n"/>
      <c r="L103" s="40" t="n"/>
      <c r="M103" s="40" t="n"/>
    </row>
    <row r="104">
      <c r="A104" s="39">
        <f>IF(K104="","","RV-"&amp;TEXT(ROW()-4,"0000"))</f>
        <v/>
      </c>
      <c r="B104" s="47" t="n"/>
      <c r="C104" s="40" t="n"/>
      <c r="D104" s="50" t="n"/>
      <c r="E104" s="49">
        <f>IF(D104="","",IFERROR(INDEX('المشروعات'!$B$5:$B$304,MATCH(D104,'المشروعات'!$A$5:$A$304,0)),""))</f>
        <v/>
      </c>
      <c r="F104" s="40" t="n"/>
      <c r="G104" s="40" t="n"/>
      <c r="H104" s="40" t="n"/>
      <c r="I104" s="40" t="n"/>
      <c r="J104" s="40" t="n"/>
      <c r="K104" s="41" t="n"/>
      <c r="L104" s="40" t="n"/>
      <c r="M104" s="40" t="n"/>
    </row>
    <row r="105">
      <c r="A105" s="39">
        <f>IF(K105="","","RV-"&amp;TEXT(ROW()-4,"0000"))</f>
        <v/>
      </c>
      <c r="B105" s="47" t="n"/>
      <c r="C105" s="40" t="n"/>
      <c r="D105" s="50" t="n"/>
      <c r="E105" s="49">
        <f>IF(D105="","",IFERROR(INDEX('المشروعات'!$B$5:$B$304,MATCH(D105,'المشروعات'!$A$5:$A$304,0)),""))</f>
        <v/>
      </c>
      <c r="F105" s="40" t="n"/>
      <c r="G105" s="40" t="n"/>
      <c r="H105" s="40" t="n"/>
      <c r="I105" s="40" t="n"/>
      <c r="J105" s="40" t="n"/>
      <c r="K105" s="41" t="n"/>
      <c r="L105" s="40" t="n"/>
      <c r="M105" s="40" t="n"/>
    </row>
    <row r="106">
      <c r="A106" s="39">
        <f>IF(K106="","","RV-"&amp;TEXT(ROW()-4,"0000"))</f>
        <v/>
      </c>
      <c r="B106" s="47" t="n"/>
      <c r="C106" s="40" t="n"/>
      <c r="D106" s="50" t="n"/>
      <c r="E106" s="49">
        <f>IF(D106="","",IFERROR(INDEX('المشروعات'!$B$5:$B$304,MATCH(D106,'المشروعات'!$A$5:$A$304,0)),""))</f>
        <v/>
      </c>
      <c r="F106" s="40" t="n"/>
      <c r="G106" s="40" t="n"/>
      <c r="H106" s="40" t="n"/>
      <c r="I106" s="40" t="n"/>
      <c r="J106" s="40" t="n"/>
      <c r="K106" s="41" t="n"/>
      <c r="L106" s="40" t="n"/>
      <c r="M106" s="40" t="n"/>
    </row>
    <row r="107">
      <c r="A107" s="39">
        <f>IF(K107="","","RV-"&amp;TEXT(ROW()-4,"0000"))</f>
        <v/>
      </c>
      <c r="B107" s="47" t="n"/>
      <c r="C107" s="40" t="n"/>
      <c r="D107" s="50" t="n"/>
      <c r="E107" s="49">
        <f>IF(D107="","",IFERROR(INDEX('المشروعات'!$B$5:$B$304,MATCH(D107,'المشروعات'!$A$5:$A$304,0)),""))</f>
        <v/>
      </c>
      <c r="F107" s="40" t="n"/>
      <c r="G107" s="40" t="n"/>
      <c r="H107" s="40" t="n"/>
      <c r="I107" s="40" t="n"/>
      <c r="J107" s="40" t="n"/>
      <c r="K107" s="41" t="n"/>
      <c r="L107" s="40" t="n"/>
      <c r="M107" s="40" t="n"/>
    </row>
    <row r="108">
      <c r="A108" s="39">
        <f>IF(K108="","","RV-"&amp;TEXT(ROW()-4,"0000"))</f>
        <v/>
      </c>
      <c r="B108" s="47" t="n"/>
      <c r="C108" s="40" t="n"/>
      <c r="D108" s="50" t="n"/>
      <c r="E108" s="49">
        <f>IF(D108="","",IFERROR(INDEX('المشروعات'!$B$5:$B$304,MATCH(D108,'المشروعات'!$A$5:$A$304,0)),""))</f>
        <v/>
      </c>
      <c r="F108" s="40" t="n"/>
      <c r="G108" s="40" t="n"/>
      <c r="H108" s="40" t="n"/>
      <c r="I108" s="40" t="n"/>
      <c r="J108" s="40" t="n"/>
      <c r="K108" s="41" t="n"/>
      <c r="L108" s="40" t="n"/>
      <c r="M108" s="40" t="n"/>
    </row>
    <row r="109">
      <c r="A109" s="39">
        <f>IF(K109="","","RV-"&amp;TEXT(ROW()-4,"0000"))</f>
        <v/>
      </c>
      <c r="B109" s="47" t="n"/>
      <c r="C109" s="40" t="n"/>
      <c r="D109" s="50" t="n"/>
      <c r="E109" s="49">
        <f>IF(D109="","",IFERROR(INDEX('المشروعات'!$B$5:$B$304,MATCH(D109,'المشروعات'!$A$5:$A$304,0)),""))</f>
        <v/>
      </c>
      <c r="F109" s="40" t="n"/>
      <c r="G109" s="40" t="n"/>
      <c r="H109" s="40" t="n"/>
      <c r="I109" s="40" t="n"/>
      <c r="J109" s="40" t="n"/>
      <c r="K109" s="41" t="n"/>
      <c r="L109" s="40" t="n"/>
      <c r="M109" s="40" t="n"/>
    </row>
    <row r="110">
      <c r="A110" s="39">
        <f>IF(K110="","","RV-"&amp;TEXT(ROW()-4,"0000"))</f>
        <v/>
      </c>
      <c r="B110" s="47" t="n"/>
      <c r="C110" s="40" t="n"/>
      <c r="D110" s="50" t="n"/>
      <c r="E110" s="49">
        <f>IF(D110="","",IFERROR(INDEX('المشروعات'!$B$5:$B$304,MATCH(D110,'المشروعات'!$A$5:$A$304,0)),""))</f>
        <v/>
      </c>
      <c r="F110" s="40" t="n"/>
      <c r="G110" s="40" t="n"/>
      <c r="H110" s="40" t="n"/>
      <c r="I110" s="40" t="n"/>
      <c r="J110" s="40" t="n"/>
      <c r="K110" s="41" t="n"/>
      <c r="L110" s="40" t="n"/>
      <c r="M110" s="40" t="n"/>
    </row>
    <row r="111">
      <c r="A111" s="39">
        <f>IF(K111="","","RV-"&amp;TEXT(ROW()-4,"0000"))</f>
        <v/>
      </c>
      <c r="B111" s="47" t="n"/>
      <c r="C111" s="40" t="n"/>
      <c r="D111" s="50" t="n"/>
      <c r="E111" s="49">
        <f>IF(D111="","",IFERROR(INDEX('المشروعات'!$B$5:$B$304,MATCH(D111,'المشروعات'!$A$5:$A$304,0)),""))</f>
        <v/>
      </c>
      <c r="F111" s="40" t="n"/>
      <c r="G111" s="40" t="n"/>
      <c r="H111" s="40" t="n"/>
      <c r="I111" s="40" t="n"/>
      <c r="J111" s="40" t="n"/>
      <c r="K111" s="41" t="n"/>
      <c r="L111" s="40" t="n"/>
      <c r="M111" s="40" t="n"/>
    </row>
    <row r="112">
      <c r="A112" s="39">
        <f>IF(K112="","","RV-"&amp;TEXT(ROW()-4,"0000"))</f>
        <v/>
      </c>
      <c r="B112" s="47" t="n"/>
      <c r="C112" s="40" t="n"/>
      <c r="D112" s="50" t="n"/>
      <c r="E112" s="49">
        <f>IF(D112="","",IFERROR(INDEX('المشروعات'!$B$5:$B$304,MATCH(D112,'المشروعات'!$A$5:$A$304,0)),""))</f>
        <v/>
      </c>
      <c r="F112" s="40" t="n"/>
      <c r="G112" s="40" t="n"/>
      <c r="H112" s="40" t="n"/>
      <c r="I112" s="40" t="n"/>
      <c r="J112" s="40" t="n"/>
      <c r="K112" s="41" t="n"/>
      <c r="L112" s="40" t="n"/>
      <c r="M112" s="40" t="n"/>
    </row>
    <row r="113">
      <c r="A113" s="39">
        <f>IF(K113="","","RV-"&amp;TEXT(ROW()-4,"0000"))</f>
        <v/>
      </c>
      <c r="B113" s="47" t="n"/>
      <c r="C113" s="40" t="n"/>
      <c r="D113" s="50" t="n"/>
      <c r="E113" s="49">
        <f>IF(D113="","",IFERROR(INDEX('المشروعات'!$B$5:$B$304,MATCH(D113,'المشروعات'!$A$5:$A$304,0)),""))</f>
        <v/>
      </c>
      <c r="F113" s="40" t="n"/>
      <c r="G113" s="40" t="n"/>
      <c r="H113" s="40" t="n"/>
      <c r="I113" s="40" t="n"/>
      <c r="J113" s="40" t="n"/>
      <c r="K113" s="41" t="n"/>
      <c r="L113" s="40" t="n"/>
      <c r="M113" s="40" t="n"/>
    </row>
    <row r="114">
      <c r="A114" s="39">
        <f>IF(K114="","","RV-"&amp;TEXT(ROW()-4,"0000"))</f>
        <v/>
      </c>
      <c r="B114" s="47" t="n"/>
      <c r="C114" s="40" t="n"/>
      <c r="D114" s="50" t="n"/>
      <c r="E114" s="49">
        <f>IF(D114="","",IFERROR(INDEX('المشروعات'!$B$5:$B$304,MATCH(D114,'المشروعات'!$A$5:$A$304,0)),""))</f>
        <v/>
      </c>
      <c r="F114" s="40" t="n"/>
      <c r="G114" s="40" t="n"/>
      <c r="H114" s="40" t="n"/>
      <c r="I114" s="40" t="n"/>
      <c r="J114" s="40" t="n"/>
      <c r="K114" s="41" t="n"/>
      <c r="L114" s="40" t="n"/>
      <c r="M114" s="40" t="n"/>
    </row>
    <row r="115">
      <c r="A115" s="39">
        <f>IF(K115="","","RV-"&amp;TEXT(ROW()-4,"0000"))</f>
        <v/>
      </c>
      <c r="B115" s="47" t="n"/>
      <c r="C115" s="40" t="n"/>
      <c r="D115" s="50" t="n"/>
      <c r="E115" s="49">
        <f>IF(D115="","",IFERROR(INDEX('المشروعات'!$B$5:$B$304,MATCH(D115,'المشروعات'!$A$5:$A$304,0)),""))</f>
        <v/>
      </c>
      <c r="F115" s="40" t="n"/>
      <c r="G115" s="40" t="n"/>
      <c r="H115" s="40" t="n"/>
      <c r="I115" s="40" t="n"/>
      <c r="J115" s="40" t="n"/>
      <c r="K115" s="41" t="n"/>
      <c r="L115" s="40" t="n"/>
      <c r="M115" s="40" t="n"/>
    </row>
    <row r="116">
      <c r="A116" s="39">
        <f>IF(K116="","","RV-"&amp;TEXT(ROW()-4,"0000"))</f>
        <v/>
      </c>
      <c r="B116" s="47" t="n"/>
      <c r="C116" s="40" t="n"/>
      <c r="D116" s="50" t="n"/>
      <c r="E116" s="49">
        <f>IF(D116="","",IFERROR(INDEX('المشروعات'!$B$5:$B$304,MATCH(D116,'المشروعات'!$A$5:$A$304,0)),""))</f>
        <v/>
      </c>
      <c r="F116" s="40" t="n"/>
      <c r="G116" s="40" t="n"/>
      <c r="H116" s="40" t="n"/>
      <c r="I116" s="40" t="n"/>
      <c r="J116" s="40" t="n"/>
      <c r="K116" s="41" t="n"/>
      <c r="L116" s="40" t="n"/>
      <c r="M116" s="40" t="n"/>
    </row>
    <row r="117">
      <c r="A117" s="39">
        <f>IF(K117="","","RV-"&amp;TEXT(ROW()-4,"0000"))</f>
        <v/>
      </c>
      <c r="B117" s="47" t="n"/>
      <c r="C117" s="40" t="n"/>
      <c r="D117" s="50" t="n"/>
      <c r="E117" s="49">
        <f>IF(D117="","",IFERROR(INDEX('المشروعات'!$B$5:$B$304,MATCH(D117,'المشروعات'!$A$5:$A$304,0)),""))</f>
        <v/>
      </c>
      <c r="F117" s="40" t="n"/>
      <c r="G117" s="40" t="n"/>
      <c r="H117" s="40" t="n"/>
      <c r="I117" s="40" t="n"/>
      <c r="J117" s="40" t="n"/>
      <c r="K117" s="41" t="n"/>
      <c r="L117" s="40" t="n"/>
      <c r="M117" s="40" t="n"/>
    </row>
    <row r="118">
      <c r="A118" s="39">
        <f>IF(K118="","","RV-"&amp;TEXT(ROW()-4,"0000"))</f>
        <v/>
      </c>
      <c r="B118" s="47" t="n"/>
      <c r="C118" s="40" t="n"/>
      <c r="D118" s="50" t="n"/>
      <c r="E118" s="49">
        <f>IF(D118="","",IFERROR(INDEX('المشروعات'!$B$5:$B$304,MATCH(D118,'المشروعات'!$A$5:$A$304,0)),""))</f>
        <v/>
      </c>
      <c r="F118" s="40" t="n"/>
      <c r="G118" s="40" t="n"/>
      <c r="H118" s="40" t="n"/>
      <c r="I118" s="40" t="n"/>
      <c r="J118" s="40" t="n"/>
      <c r="K118" s="41" t="n"/>
      <c r="L118" s="40" t="n"/>
      <c r="M118" s="40" t="n"/>
    </row>
    <row r="119">
      <c r="A119" s="39">
        <f>IF(K119="","","RV-"&amp;TEXT(ROW()-4,"0000"))</f>
        <v/>
      </c>
      <c r="B119" s="47" t="n"/>
      <c r="C119" s="40" t="n"/>
      <c r="D119" s="50" t="n"/>
      <c r="E119" s="49">
        <f>IF(D119="","",IFERROR(INDEX('المشروعات'!$B$5:$B$304,MATCH(D119,'المشروعات'!$A$5:$A$304,0)),""))</f>
        <v/>
      </c>
      <c r="F119" s="40" t="n"/>
      <c r="G119" s="40" t="n"/>
      <c r="H119" s="40" t="n"/>
      <c r="I119" s="40" t="n"/>
      <c r="J119" s="40" t="n"/>
      <c r="K119" s="41" t="n"/>
      <c r="L119" s="40" t="n"/>
      <c r="M119" s="40" t="n"/>
    </row>
    <row r="120">
      <c r="A120" s="39">
        <f>IF(K120="","","RV-"&amp;TEXT(ROW()-4,"0000"))</f>
        <v/>
      </c>
      <c r="B120" s="47" t="n"/>
      <c r="C120" s="40" t="n"/>
      <c r="D120" s="50" t="n"/>
      <c r="E120" s="49">
        <f>IF(D120="","",IFERROR(INDEX('المشروعات'!$B$5:$B$304,MATCH(D120,'المشروعات'!$A$5:$A$304,0)),""))</f>
        <v/>
      </c>
      <c r="F120" s="40" t="n"/>
      <c r="G120" s="40" t="n"/>
      <c r="H120" s="40" t="n"/>
      <c r="I120" s="40" t="n"/>
      <c r="J120" s="40" t="n"/>
      <c r="K120" s="41" t="n"/>
      <c r="L120" s="40" t="n"/>
      <c r="M120" s="40" t="n"/>
    </row>
    <row r="121">
      <c r="A121" s="39">
        <f>IF(K121="","","RV-"&amp;TEXT(ROW()-4,"0000"))</f>
        <v/>
      </c>
      <c r="B121" s="47" t="n"/>
      <c r="C121" s="40" t="n"/>
      <c r="D121" s="50" t="n"/>
      <c r="E121" s="49">
        <f>IF(D121="","",IFERROR(INDEX('المشروعات'!$B$5:$B$304,MATCH(D121,'المشروعات'!$A$5:$A$304,0)),""))</f>
        <v/>
      </c>
      <c r="F121" s="40" t="n"/>
      <c r="G121" s="40" t="n"/>
      <c r="H121" s="40" t="n"/>
      <c r="I121" s="40" t="n"/>
      <c r="J121" s="40" t="n"/>
      <c r="K121" s="41" t="n"/>
      <c r="L121" s="40" t="n"/>
      <c r="M121" s="40" t="n"/>
    </row>
    <row r="122">
      <c r="A122" s="39">
        <f>IF(K122="","","RV-"&amp;TEXT(ROW()-4,"0000"))</f>
        <v/>
      </c>
      <c r="B122" s="47" t="n"/>
      <c r="C122" s="40" t="n"/>
      <c r="D122" s="50" t="n"/>
      <c r="E122" s="49">
        <f>IF(D122="","",IFERROR(INDEX('المشروعات'!$B$5:$B$304,MATCH(D122,'المشروعات'!$A$5:$A$304,0)),""))</f>
        <v/>
      </c>
      <c r="F122" s="40" t="n"/>
      <c r="G122" s="40" t="n"/>
      <c r="H122" s="40" t="n"/>
      <c r="I122" s="40" t="n"/>
      <c r="J122" s="40" t="n"/>
      <c r="K122" s="41" t="n"/>
      <c r="L122" s="40" t="n"/>
      <c r="M122" s="40" t="n"/>
    </row>
    <row r="123">
      <c r="A123" s="39">
        <f>IF(K123="","","RV-"&amp;TEXT(ROW()-4,"0000"))</f>
        <v/>
      </c>
      <c r="B123" s="47" t="n"/>
      <c r="C123" s="40" t="n"/>
      <c r="D123" s="50" t="n"/>
      <c r="E123" s="49">
        <f>IF(D123="","",IFERROR(INDEX('المشروعات'!$B$5:$B$304,MATCH(D123,'المشروعات'!$A$5:$A$304,0)),""))</f>
        <v/>
      </c>
      <c r="F123" s="40" t="n"/>
      <c r="G123" s="40" t="n"/>
      <c r="H123" s="40" t="n"/>
      <c r="I123" s="40" t="n"/>
      <c r="J123" s="40" t="n"/>
      <c r="K123" s="41" t="n"/>
      <c r="L123" s="40" t="n"/>
      <c r="M123" s="40" t="n"/>
    </row>
    <row r="124">
      <c r="A124" s="39">
        <f>IF(K124="","","RV-"&amp;TEXT(ROW()-4,"0000"))</f>
        <v/>
      </c>
      <c r="B124" s="47" t="n"/>
      <c r="C124" s="40" t="n"/>
      <c r="D124" s="50" t="n"/>
      <c r="E124" s="49">
        <f>IF(D124="","",IFERROR(INDEX('المشروعات'!$B$5:$B$304,MATCH(D124,'المشروعات'!$A$5:$A$304,0)),""))</f>
        <v/>
      </c>
      <c r="F124" s="40" t="n"/>
      <c r="G124" s="40" t="n"/>
      <c r="H124" s="40" t="n"/>
      <c r="I124" s="40" t="n"/>
      <c r="J124" s="40" t="n"/>
      <c r="K124" s="41" t="n"/>
      <c r="L124" s="40" t="n"/>
      <c r="M124" s="40" t="n"/>
    </row>
    <row r="125">
      <c r="A125" s="39">
        <f>IF(K125="","","RV-"&amp;TEXT(ROW()-4,"0000"))</f>
        <v/>
      </c>
      <c r="B125" s="47" t="n"/>
      <c r="C125" s="40" t="n"/>
      <c r="D125" s="50" t="n"/>
      <c r="E125" s="49">
        <f>IF(D125="","",IFERROR(INDEX('المشروعات'!$B$5:$B$304,MATCH(D125,'المشروعات'!$A$5:$A$304,0)),""))</f>
        <v/>
      </c>
      <c r="F125" s="40" t="n"/>
      <c r="G125" s="40" t="n"/>
      <c r="H125" s="40" t="n"/>
      <c r="I125" s="40" t="n"/>
      <c r="J125" s="40" t="n"/>
      <c r="K125" s="41" t="n"/>
      <c r="L125" s="40" t="n"/>
      <c r="M125" s="40" t="n"/>
    </row>
    <row r="126">
      <c r="A126" s="39">
        <f>IF(K126="","","RV-"&amp;TEXT(ROW()-4,"0000"))</f>
        <v/>
      </c>
      <c r="B126" s="47" t="n"/>
      <c r="C126" s="40" t="n"/>
      <c r="D126" s="50" t="n"/>
      <c r="E126" s="49">
        <f>IF(D126="","",IFERROR(INDEX('المشروعات'!$B$5:$B$304,MATCH(D126,'المشروعات'!$A$5:$A$304,0)),""))</f>
        <v/>
      </c>
      <c r="F126" s="40" t="n"/>
      <c r="G126" s="40" t="n"/>
      <c r="H126" s="40" t="n"/>
      <c r="I126" s="40" t="n"/>
      <c r="J126" s="40" t="n"/>
      <c r="K126" s="41" t="n"/>
      <c r="L126" s="40" t="n"/>
      <c r="M126" s="40" t="n"/>
    </row>
    <row r="127">
      <c r="A127" s="39">
        <f>IF(K127="","","RV-"&amp;TEXT(ROW()-4,"0000"))</f>
        <v/>
      </c>
      <c r="B127" s="47" t="n"/>
      <c r="C127" s="40" t="n"/>
      <c r="D127" s="50" t="n"/>
      <c r="E127" s="49">
        <f>IF(D127="","",IFERROR(INDEX('المشروعات'!$B$5:$B$304,MATCH(D127,'المشروعات'!$A$5:$A$304,0)),""))</f>
        <v/>
      </c>
      <c r="F127" s="40" t="n"/>
      <c r="G127" s="40" t="n"/>
      <c r="H127" s="40" t="n"/>
      <c r="I127" s="40" t="n"/>
      <c r="J127" s="40" t="n"/>
      <c r="K127" s="41" t="n"/>
      <c r="L127" s="40" t="n"/>
      <c r="M127" s="40" t="n"/>
    </row>
    <row r="128">
      <c r="A128" s="39">
        <f>IF(K128="","","RV-"&amp;TEXT(ROW()-4,"0000"))</f>
        <v/>
      </c>
      <c r="B128" s="47" t="n"/>
      <c r="C128" s="40" t="n"/>
      <c r="D128" s="50" t="n"/>
      <c r="E128" s="49">
        <f>IF(D128="","",IFERROR(INDEX('المشروعات'!$B$5:$B$304,MATCH(D128,'المشروعات'!$A$5:$A$304,0)),""))</f>
        <v/>
      </c>
      <c r="F128" s="40" t="n"/>
      <c r="G128" s="40" t="n"/>
      <c r="H128" s="40" t="n"/>
      <c r="I128" s="40" t="n"/>
      <c r="J128" s="40" t="n"/>
      <c r="K128" s="41" t="n"/>
      <c r="L128" s="40" t="n"/>
      <c r="M128" s="40" t="n"/>
    </row>
    <row r="129">
      <c r="A129" s="39">
        <f>IF(K129="","","RV-"&amp;TEXT(ROW()-4,"0000"))</f>
        <v/>
      </c>
      <c r="B129" s="47" t="n"/>
      <c r="C129" s="40" t="n"/>
      <c r="D129" s="50" t="n"/>
      <c r="E129" s="49">
        <f>IF(D129="","",IFERROR(INDEX('المشروعات'!$B$5:$B$304,MATCH(D129,'المشروعات'!$A$5:$A$304,0)),""))</f>
        <v/>
      </c>
      <c r="F129" s="40" t="n"/>
      <c r="G129" s="40" t="n"/>
      <c r="H129" s="40" t="n"/>
      <c r="I129" s="40" t="n"/>
      <c r="J129" s="40" t="n"/>
      <c r="K129" s="41" t="n"/>
      <c r="L129" s="40" t="n"/>
      <c r="M129" s="40" t="n"/>
    </row>
    <row r="130">
      <c r="A130" s="39">
        <f>IF(K130="","","RV-"&amp;TEXT(ROW()-4,"0000"))</f>
        <v/>
      </c>
      <c r="B130" s="47" t="n"/>
      <c r="C130" s="40" t="n"/>
      <c r="D130" s="50" t="n"/>
      <c r="E130" s="49">
        <f>IF(D130="","",IFERROR(INDEX('المشروعات'!$B$5:$B$304,MATCH(D130,'المشروعات'!$A$5:$A$304,0)),""))</f>
        <v/>
      </c>
      <c r="F130" s="40" t="n"/>
      <c r="G130" s="40" t="n"/>
      <c r="H130" s="40" t="n"/>
      <c r="I130" s="40" t="n"/>
      <c r="J130" s="40" t="n"/>
      <c r="K130" s="41" t="n"/>
      <c r="L130" s="40" t="n"/>
      <c r="M130" s="40" t="n"/>
    </row>
    <row r="131">
      <c r="A131" s="39">
        <f>IF(K131="","","RV-"&amp;TEXT(ROW()-4,"0000"))</f>
        <v/>
      </c>
      <c r="B131" s="47" t="n"/>
      <c r="C131" s="40" t="n"/>
      <c r="D131" s="50" t="n"/>
      <c r="E131" s="49">
        <f>IF(D131="","",IFERROR(INDEX('المشروعات'!$B$5:$B$304,MATCH(D131,'المشروعات'!$A$5:$A$304,0)),""))</f>
        <v/>
      </c>
      <c r="F131" s="40" t="n"/>
      <c r="G131" s="40" t="n"/>
      <c r="H131" s="40" t="n"/>
      <c r="I131" s="40" t="n"/>
      <c r="J131" s="40" t="n"/>
      <c r="K131" s="41" t="n"/>
      <c r="L131" s="40" t="n"/>
      <c r="M131" s="40" t="n"/>
    </row>
    <row r="132">
      <c r="A132" s="39">
        <f>IF(K132="","","RV-"&amp;TEXT(ROW()-4,"0000"))</f>
        <v/>
      </c>
      <c r="B132" s="47" t="n"/>
      <c r="C132" s="40" t="n"/>
      <c r="D132" s="50" t="n"/>
      <c r="E132" s="49">
        <f>IF(D132="","",IFERROR(INDEX('المشروعات'!$B$5:$B$304,MATCH(D132,'المشروعات'!$A$5:$A$304,0)),""))</f>
        <v/>
      </c>
      <c r="F132" s="40" t="n"/>
      <c r="G132" s="40" t="n"/>
      <c r="H132" s="40" t="n"/>
      <c r="I132" s="40" t="n"/>
      <c r="J132" s="40" t="n"/>
      <c r="K132" s="41" t="n"/>
      <c r="L132" s="40" t="n"/>
      <c r="M132" s="40" t="n"/>
    </row>
    <row r="133">
      <c r="A133" s="39">
        <f>IF(K133="","","RV-"&amp;TEXT(ROW()-4,"0000"))</f>
        <v/>
      </c>
      <c r="B133" s="47" t="n"/>
      <c r="C133" s="40" t="n"/>
      <c r="D133" s="50" t="n"/>
      <c r="E133" s="49">
        <f>IF(D133="","",IFERROR(INDEX('المشروعات'!$B$5:$B$304,MATCH(D133,'المشروعات'!$A$5:$A$304,0)),""))</f>
        <v/>
      </c>
      <c r="F133" s="40" t="n"/>
      <c r="G133" s="40" t="n"/>
      <c r="H133" s="40" t="n"/>
      <c r="I133" s="40" t="n"/>
      <c r="J133" s="40" t="n"/>
      <c r="K133" s="41" t="n"/>
      <c r="L133" s="40" t="n"/>
      <c r="M133" s="40" t="n"/>
    </row>
    <row r="134">
      <c r="A134" s="39">
        <f>IF(K134="","","RV-"&amp;TEXT(ROW()-4,"0000"))</f>
        <v/>
      </c>
      <c r="B134" s="47" t="n"/>
      <c r="C134" s="40" t="n"/>
      <c r="D134" s="50" t="n"/>
      <c r="E134" s="49">
        <f>IF(D134="","",IFERROR(INDEX('المشروعات'!$B$5:$B$304,MATCH(D134,'المشروعات'!$A$5:$A$304,0)),""))</f>
        <v/>
      </c>
      <c r="F134" s="40" t="n"/>
      <c r="G134" s="40" t="n"/>
      <c r="H134" s="40" t="n"/>
      <c r="I134" s="40" t="n"/>
      <c r="J134" s="40" t="n"/>
      <c r="K134" s="41" t="n"/>
      <c r="L134" s="40" t="n"/>
      <c r="M134" s="40" t="n"/>
    </row>
    <row r="135">
      <c r="A135" s="39">
        <f>IF(K135="","","RV-"&amp;TEXT(ROW()-4,"0000"))</f>
        <v/>
      </c>
      <c r="B135" s="47" t="n"/>
      <c r="C135" s="40" t="n"/>
      <c r="D135" s="50" t="n"/>
      <c r="E135" s="49">
        <f>IF(D135="","",IFERROR(INDEX('المشروعات'!$B$5:$B$304,MATCH(D135,'المشروعات'!$A$5:$A$304,0)),""))</f>
        <v/>
      </c>
      <c r="F135" s="40" t="n"/>
      <c r="G135" s="40" t="n"/>
      <c r="H135" s="40" t="n"/>
      <c r="I135" s="40" t="n"/>
      <c r="J135" s="40" t="n"/>
      <c r="K135" s="41" t="n"/>
      <c r="L135" s="40" t="n"/>
      <c r="M135" s="40" t="n"/>
    </row>
    <row r="136">
      <c r="A136" s="39">
        <f>IF(K136="","","RV-"&amp;TEXT(ROW()-4,"0000"))</f>
        <v/>
      </c>
      <c r="B136" s="47" t="n"/>
      <c r="C136" s="40" t="n"/>
      <c r="D136" s="50" t="n"/>
      <c r="E136" s="49">
        <f>IF(D136="","",IFERROR(INDEX('المشروعات'!$B$5:$B$304,MATCH(D136,'المشروعات'!$A$5:$A$304,0)),""))</f>
        <v/>
      </c>
      <c r="F136" s="40" t="n"/>
      <c r="G136" s="40" t="n"/>
      <c r="H136" s="40" t="n"/>
      <c r="I136" s="40" t="n"/>
      <c r="J136" s="40" t="n"/>
      <c r="K136" s="41" t="n"/>
      <c r="L136" s="40" t="n"/>
      <c r="M136" s="40" t="n"/>
    </row>
    <row r="137">
      <c r="A137" s="39">
        <f>IF(K137="","","RV-"&amp;TEXT(ROW()-4,"0000"))</f>
        <v/>
      </c>
      <c r="B137" s="47" t="n"/>
      <c r="C137" s="40" t="n"/>
      <c r="D137" s="50" t="n"/>
      <c r="E137" s="49">
        <f>IF(D137="","",IFERROR(INDEX('المشروعات'!$B$5:$B$304,MATCH(D137,'المشروعات'!$A$5:$A$304,0)),""))</f>
        <v/>
      </c>
      <c r="F137" s="40" t="n"/>
      <c r="G137" s="40" t="n"/>
      <c r="H137" s="40" t="n"/>
      <c r="I137" s="40" t="n"/>
      <c r="J137" s="40" t="n"/>
      <c r="K137" s="41" t="n"/>
      <c r="L137" s="40" t="n"/>
      <c r="M137" s="40" t="n"/>
    </row>
    <row r="138">
      <c r="A138" s="39">
        <f>IF(K138="","","RV-"&amp;TEXT(ROW()-4,"0000"))</f>
        <v/>
      </c>
      <c r="B138" s="47" t="n"/>
      <c r="C138" s="40" t="n"/>
      <c r="D138" s="50" t="n"/>
      <c r="E138" s="49">
        <f>IF(D138="","",IFERROR(INDEX('المشروعات'!$B$5:$B$304,MATCH(D138,'المشروعات'!$A$5:$A$304,0)),""))</f>
        <v/>
      </c>
      <c r="F138" s="40" t="n"/>
      <c r="G138" s="40" t="n"/>
      <c r="H138" s="40" t="n"/>
      <c r="I138" s="40" t="n"/>
      <c r="J138" s="40" t="n"/>
      <c r="K138" s="41" t="n"/>
      <c r="L138" s="40" t="n"/>
      <c r="M138" s="40" t="n"/>
    </row>
    <row r="139">
      <c r="A139" s="39">
        <f>IF(K139="","","RV-"&amp;TEXT(ROW()-4,"0000"))</f>
        <v/>
      </c>
      <c r="B139" s="47" t="n"/>
      <c r="C139" s="40" t="n"/>
      <c r="D139" s="50" t="n"/>
      <c r="E139" s="49">
        <f>IF(D139="","",IFERROR(INDEX('المشروعات'!$B$5:$B$304,MATCH(D139,'المشروعات'!$A$5:$A$304,0)),""))</f>
        <v/>
      </c>
      <c r="F139" s="40" t="n"/>
      <c r="G139" s="40" t="n"/>
      <c r="H139" s="40" t="n"/>
      <c r="I139" s="40" t="n"/>
      <c r="J139" s="40" t="n"/>
      <c r="K139" s="41" t="n"/>
      <c r="L139" s="40" t="n"/>
      <c r="M139" s="40" t="n"/>
    </row>
    <row r="140">
      <c r="A140" s="39">
        <f>IF(K140="","","RV-"&amp;TEXT(ROW()-4,"0000"))</f>
        <v/>
      </c>
      <c r="B140" s="47" t="n"/>
      <c r="C140" s="40" t="n"/>
      <c r="D140" s="50" t="n"/>
      <c r="E140" s="49">
        <f>IF(D140="","",IFERROR(INDEX('المشروعات'!$B$5:$B$304,MATCH(D140,'المشروعات'!$A$5:$A$304,0)),""))</f>
        <v/>
      </c>
      <c r="F140" s="40" t="n"/>
      <c r="G140" s="40" t="n"/>
      <c r="H140" s="40" t="n"/>
      <c r="I140" s="40" t="n"/>
      <c r="J140" s="40" t="n"/>
      <c r="K140" s="41" t="n"/>
      <c r="L140" s="40" t="n"/>
      <c r="M140" s="40" t="n"/>
    </row>
    <row r="141">
      <c r="A141" s="39">
        <f>IF(K141="","","RV-"&amp;TEXT(ROW()-4,"0000"))</f>
        <v/>
      </c>
      <c r="B141" s="47" t="n"/>
      <c r="C141" s="40" t="n"/>
      <c r="D141" s="50" t="n"/>
      <c r="E141" s="49">
        <f>IF(D141="","",IFERROR(INDEX('المشروعات'!$B$5:$B$304,MATCH(D141,'المشروعات'!$A$5:$A$304,0)),""))</f>
        <v/>
      </c>
      <c r="F141" s="40" t="n"/>
      <c r="G141" s="40" t="n"/>
      <c r="H141" s="40" t="n"/>
      <c r="I141" s="40" t="n"/>
      <c r="J141" s="40" t="n"/>
      <c r="K141" s="41" t="n"/>
      <c r="L141" s="40" t="n"/>
      <c r="M141" s="40" t="n"/>
    </row>
    <row r="142">
      <c r="A142" s="39">
        <f>IF(K142="","","RV-"&amp;TEXT(ROW()-4,"0000"))</f>
        <v/>
      </c>
      <c r="B142" s="47" t="n"/>
      <c r="C142" s="40" t="n"/>
      <c r="D142" s="50" t="n"/>
      <c r="E142" s="49">
        <f>IF(D142="","",IFERROR(INDEX('المشروعات'!$B$5:$B$304,MATCH(D142,'المشروعات'!$A$5:$A$304,0)),""))</f>
        <v/>
      </c>
      <c r="F142" s="40" t="n"/>
      <c r="G142" s="40" t="n"/>
      <c r="H142" s="40" t="n"/>
      <c r="I142" s="40" t="n"/>
      <c r="J142" s="40" t="n"/>
      <c r="K142" s="41" t="n"/>
      <c r="L142" s="40" t="n"/>
      <c r="M142" s="40" t="n"/>
    </row>
    <row r="143">
      <c r="A143" s="39">
        <f>IF(K143="","","RV-"&amp;TEXT(ROW()-4,"0000"))</f>
        <v/>
      </c>
      <c r="B143" s="47" t="n"/>
      <c r="C143" s="40" t="n"/>
      <c r="D143" s="50" t="n"/>
      <c r="E143" s="49">
        <f>IF(D143="","",IFERROR(INDEX('المشروعات'!$B$5:$B$304,MATCH(D143,'المشروعات'!$A$5:$A$304,0)),""))</f>
        <v/>
      </c>
      <c r="F143" s="40" t="n"/>
      <c r="G143" s="40" t="n"/>
      <c r="H143" s="40" t="n"/>
      <c r="I143" s="40" t="n"/>
      <c r="J143" s="40" t="n"/>
      <c r="K143" s="41" t="n"/>
      <c r="L143" s="40" t="n"/>
      <c r="M143" s="40" t="n"/>
    </row>
    <row r="144">
      <c r="A144" s="39">
        <f>IF(K144="","","RV-"&amp;TEXT(ROW()-4,"0000"))</f>
        <v/>
      </c>
      <c r="B144" s="47" t="n"/>
      <c r="C144" s="40" t="n"/>
      <c r="D144" s="50" t="n"/>
      <c r="E144" s="49">
        <f>IF(D144="","",IFERROR(INDEX('المشروعات'!$B$5:$B$304,MATCH(D144,'المشروعات'!$A$5:$A$304,0)),""))</f>
        <v/>
      </c>
      <c r="F144" s="40" t="n"/>
      <c r="G144" s="40" t="n"/>
      <c r="H144" s="40" t="n"/>
      <c r="I144" s="40" t="n"/>
      <c r="J144" s="40" t="n"/>
      <c r="K144" s="41" t="n"/>
      <c r="L144" s="40" t="n"/>
      <c r="M144" s="40" t="n"/>
    </row>
    <row r="145">
      <c r="A145" s="39">
        <f>IF(K145="","","RV-"&amp;TEXT(ROW()-4,"0000"))</f>
        <v/>
      </c>
      <c r="B145" s="47" t="n"/>
      <c r="C145" s="40" t="n"/>
      <c r="D145" s="50" t="n"/>
      <c r="E145" s="49">
        <f>IF(D145="","",IFERROR(INDEX('المشروعات'!$B$5:$B$304,MATCH(D145,'المشروعات'!$A$5:$A$304,0)),""))</f>
        <v/>
      </c>
      <c r="F145" s="40" t="n"/>
      <c r="G145" s="40" t="n"/>
      <c r="H145" s="40" t="n"/>
      <c r="I145" s="40" t="n"/>
      <c r="J145" s="40" t="n"/>
      <c r="K145" s="41" t="n"/>
      <c r="L145" s="40" t="n"/>
      <c r="M145" s="40" t="n"/>
    </row>
    <row r="146">
      <c r="A146" s="39">
        <f>IF(K146="","","RV-"&amp;TEXT(ROW()-4,"0000"))</f>
        <v/>
      </c>
      <c r="B146" s="47" t="n"/>
      <c r="C146" s="40" t="n"/>
      <c r="D146" s="50" t="n"/>
      <c r="E146" s="49">
        <f>IF(D146="","",IFERROR(INDEX('المشروعات'!$B$5:$B$304,MATCH(D146,'المشروعات'!$A$5:$A$304,0)),""))</f>
        <v/>
      </c>
      <c r="F146" s="40" t="n"/>
      <c r="G146" s="40" t="n"/>
      <c r="H146" s="40" t="n"/>
      <c r="I146" s="40" t="n"/>
      <c r="J146" s="40" t="n"/>
      <c r="K146" s="41" t="n"/>
      <c r="L146" s="40" t="n"/>
      <c r="M146" s="40" t="n"/>
    </row>
    <row r="147">
      <c r="A147" s="39">
        <f>IF(K147="","","RV-"&amp;TEXT(ROW()-4,"0000"))</f>
        <v/>
      </c>
      <c r="B147" s="47" t="n"/>
      <c r="C147" s="40" t="n"/>
      <c r="D147" s="50" t="n"/>
      <c r="E147" s="49">
        <f>IF(D147="","",IFERROR(INDEX('المشروعات'!$B$5:$B$304,MATCH(D147,'المشروعات'!$A$5:$A$304,0)),""))</f>
        <v/>
      </c>
      <c r="F147" s="40" t="n"/>
      <c r="G147" s="40" t="n"/>
      <c r="H147" s="40" t="n"/>
      <c r="I147" s="40" t="n"/>
      <c r="J147" s="40" t="n"/>
      <c r="K147" s="41" t="n"/>
      <c r="L147" s="40" t="n"/>
      <c r="M147" s="40" t="n"/>
    </row>
    <row r="148">
      <c r="A148" s="39">
        <f>IF(K148="","","RV-"&amp;TEXT(ROW()-4,"0000"))</f>
        <v/>
      </c>
      <c r="B148" s="47" t="n"/>
      <c r="C148" s="40" t="n"/>
      <c r="D148" s="50" t="n"/>
      <c r="E148" s="49">
        <f>IF(D148="","",IFERROR(INDEX('المشروعات'!$B$5:$B$304,MATCH(D148,'المشروعات'!$A$5:$A$304,0)),""))</f>
        <v/>
      </c>
      <c r="F148" s="40" t="n"/>
      <c r="G148" s="40" t="n"/>
      <c r="H148" s="40" t="n"/>
      <c r="I148" s="40" t="n"/>
      <c r="J148" s="40" t="n"/>
      <c r="K148" s="41" t="n"/>
      <c r="L148" s="40" t="n"/>
      <c r="M148" s="40" t="n"/>
    </row>
    <row r="149">
      <c r="A149" s="39">
        <f>IF(K149="","","RV-"&amp;TEXT(ROW()-4,"0000"))</f>
        <v/>
      </c>
      <c r="B149" s="47" t="n"/>
      <c r="C149" s="40" t="n"/>
      <c r="D149" s="50" t="n"/>
      <c r="E149" s="49">
        <f>IF(D149="","",IFERROR(INDEX('المشروعات'!$B$5:$B$304,MATCH(D149,'المشروعات'!$A$5:$A$304,0)),""))</f>
        <v/>
      </c>
      <c r="F149" s="40" t="n"/>
      <c r="G149" s="40" t="n"/>
      <c r="H149" s="40" t="n"/>
      <c r="I149" s="40" t="n"/>
      <c r="J149" s="40" t="n"/>
      <c r="K149" s="41" t="n"/>
      <c r="L149" s="40" t="n"/>
      <c r="M149" s="40" t="n"/>
    </row>
    <row r="150">
      <c r="A150" s="39">
        <f>IF(K150="","","RV-"&amp;TEXT(ROW()-4,"0000"))</f>
        <v/>
      </c>
      <c r="B150" s="47" t="n"/>
      <c r="C150" s="40" t="n"/>
      <c r="D150" s="50" t="n"/>
      <c r="E150" s="49">
        <f>IF(D150="","",IFERROR(INDEX('المشروعات'!$B$5:$B$304,MATCH(D150,'المشروعات'!$A$5:$A$304,0)),""))</f>
        <v/>
      </c>
      <c r="F150" s="40" t="n"/>
      <c r="G150" s="40" t="n"/>
      <c r="H150" s="40" t="n"/>
      <c r="I150" s="40" t="n"/>
      <c r="J150" s="40" t="n"/>
      <c r="K150" s="41" t="n"/>
      <c r="L150" s="40" t="n"/>
      <c r="M150" s="40" t="n"/>
    </row>
    <row r="151">
      <c r="A151" s="39">
        <f>IF(K151="","","RV-"&amp;TEXT(ROW()-4,"0000"))</f>
        <v/>
      </c>
      <c r="B151" s="47" t="n"/>
      <c r="C151" s="40" t="n"/>
      <c r="D151" s="50" t="n"/>
      <c r="E151" s="49">
        <f>IF(D151="","",IFERROR(INDEX('المشروعات'!$B$5:$B$304,MATCH(D151,'المشروعات'!$A$5:$A$304,0)),""))</f>
        <v/>
      </c>
      <c r="F151" s="40" t="n"/>
      <c r="G151" s="40" t="n"/>
      <c r="H151" s="40" t="n"/>
      <c r="I151" s="40" t="n"/>
      <c r="J151" s="40" t="n"/>
      <c r="K151" s="41" t="n"/>
      <c r="L151" s="40" t="n"/>
      <c r="M151" s="40" t="n"/>
    </row>
    <row r="152">
      <c r="A152" s="39">
        <f>IF(K152="","","RV-"&amp;TEXT(ROW()-4,"0000"))</f>
        <v/>
      </c>
      <c r="B152" s="47" t="n"/>
      <c r="C152" s="40" t="n"/>
      <c r="D152" s="50" t="n"/>
      <c r="E152" s="49">
        <f>IF(D152="","",IFERROR(INDEX('المشروعات'!$B$5:$B$304,MATCH(D152,'المشروعات'!$A$5:$A$304,0)),""))</f>
        <v/>
      </c>
      <c r="F152" s="40" t="n"/>
      <c r="G152" s="40" t="n"/>
      <c r="H152" s="40" t="n"/>
      <c r="I152" s="40" t="n"/>
      <c r="J152" s="40" t="n"/>
      <c r="K152" s="41" t="n"/>
      <c r="L152" s="40" t="n"/>
      <c r="M152" s="40" t="n"/>
    </row>
    <row r="153">
      <c r="A153" s="39">
        <f>IF(K153="","","RV-"&amp;TEXT(ROW()-4,"0000"))</f>
        <v/>
      </c>
      <c r="B153" s="47" t="n"/>
      <c r="C153" s="40" t="n"/>
      <c r="D153" s="50" t="n"/>
      <c r="E153" s="49">
        <f>IF(D153="","",IFERROR(INDEX('المشروعات'!$B$5:$B$304,MATCH(D153,'المشروعات'!$A$5:$A$304,0)),""))</f>
        <v/>
      </c>
      <c r="F153" s="40" t="n"/>
      <c r="G153" s="40" t="n"/>
      <c r="H153" s="40" t="n"/>
      <c r="I153" s="40" t="n"/>
      <c r="J153" s="40" t="n"/>
      <c r="K153" s="41" t="n"/>
      <c r="L153" s="40" t="n"/>
      <c r="M153" s="40" t="n"/>
    </row>
    <row r="154">
      <c r="A154" s="39">
        <f>IF(K154="","","RV-"&amp;TEXT(ROW()-4,"0000"))</f>
        <v/>
      </c>
      <c r="B154" s="47" t="n"/>
      <c r="C154" s="40" t="n"/>
      <c r="D154" s="50" t="n"/>
      <c r="E154" s="49">
        <f>IF(D154="","",IFERROR(INDEX('المشروعات'!$B$5:$B$304,MATCH(D154,'المشروعات'!$A$5:$A$304,0)),""))</f>
        <v/>
      </c>
      <c r="F154" s="40" t="n"/>
      <c r="G154" s="40" t="n"/>
      <c r="H154" s="40" t="n"/>
      <c r="I154" s="40" t="n"/>
      <c r="J154" s="40" t="n"/>
      <c r="K154" s="41" t="n"/>
      <c r="L154" s="40" t="n"/>
      <c r="M154" s="40" t="n"/>
    </row>
    <row r="155">
      <c r="A155" s="39">
        <f>IF(K155="","","RV-"&amp;TEXT(ROW()-4,"0000"))</f>
        <v/>
      </c>
      <c r="B155" s="47" t="n"/>
      <c r="C155" s="40" t="n"/>
      <c r="D155" s="50" t="n"/>
      <c r="E155" s="49">
        <f>IF(D155="","",IFERROR(INDEX('المشروعات'!$B$5:$B$304,MATCH(D155,'المشروعات'!$A$5:$A$304,0)),""))</f>
        <v/>
      </c>
      <c r="F155" s="40" t="n"/>
      <c r="G155" s="40" t="n"/>
      <c r="H155" s="40" t="n"/>
      <c r="I155" s="40" t="n"/>
      <c r="J155" s="40" t="n"/>
      <c r="K155" s="41" t="n"/>
      <c r="L155" s="40" t="n"/>
      <c r="M155" s="40" t="n"/>
    </row>
    <row r="156">
      <c r="A156" s="39">
        <f>IF(K156="","","RV-"&amp;TEXT(ROW()-4,"0000"))</f>
        <v/>
      </c>
      <c r="B156" s="47" t="n"/>
      <c r="C156" s="40" t="n"/>
      <c r="D156" s="50" t="n"/>
      <c r="E156" s="49">
        <f>IF(D156="","",IFERROR(INDEX('المشروعات'!$B$5:$B$304,MATCH(D156,'المشروعات'!$A$5:$A$304,0)),""))</f>
        <v/>
      </c>
      <c r="F156" s="40" t="n"/>
      <c r="G156" s="40" t="n"/>
      <c r="H156" s="40" t="n"/>
      <c r="I156" s="40" t="n"/>
      <c r="J156" s="40" t="n"/>
      <c r="K156" s="41" t="n"/>
      <c r="L156" s="40" t="n"/>
      <c r="M156" s="40" t="n"/>
    </row>
    <row r="157">
      <c r="A157" s="39">
        <f>IF(K157="","","RV-"&amp;TEXT(ROW()-4,"0000"))</f>
        <v/>
      </c>
      <c r="B157" s="47" t="n"/>
      <c r="C157" s="40" t="n"/>
      <c r="D157" s="50" t="n"/>
      <c r="E157" s="49">
        <f>IF(D157="","",IFERROR(INDEX('المشروعات'!$B$5:$B$304,MATCH(D157,'المشروعات'!$A$5:$A$304,0)),""))</f>
        <v/>
      </c>
      <c r="F157" s="40" t="n"/>
      <c r="G157" s="40" t="n"/>
      <c r="H157" s="40" t="n"/>
      <c r="I157" s="40" t="n"/>
      <c r="J157" s="40" t="n"/>
      <c r="K157" s="41" t="n"/>
      <c r="L157" s="40" t="n"/>
      <c r="M157" s="40" t="n"/>
    </row>
    <row r="158">
      <c r="A158" s="39">
        <f>IF(K158="","","RV-"&amp;TEXT(ROW()-4,"0000"))</f>
        <v/>
      </c>
      <c r="B158" s="47" t="n"/>
      <c r="C158" s="40" t="n"/>
      <c r="D158" s="50" t="n"/>
      <c r="E158" s="49">
        <f>IF(D158="","",IFERROR(INDEX('المشروعات'!$B$5:$B$304,MATCH(D158,'المشروعات'!$A$5:$A$304,0)),""))</f>
        <v/>
      </c>
      <c r="F158" s="40" t="n"/>
      <c r="G158" s="40" t="n"/>
      <c r="H158" s="40" t="n"/>
      <c r="I158" s="40" t="n"/>
      <c r="J158" s="40" t="n"/>
      <c r="K158" s="41" t="n"/>
      <c r="L158" s="40" t="n"/>
      <c r="M158" s="40" t="n"/>
    </row>
    <row r="159">
      <c r="A159" s="39">
        <f>IF(K159="","","RV-"&amp;TEXT(ROW()-4,"0000"))</f>
        <v/>
      </c>
      <c r="B159" s="47" t="n"/>
      <c r="C159" s="40" t="n"/>
      <c r="D159" s="50" t="n"/>
      <c r="E159" s="49">
        <f>IF(D159="","",IFERROR(INDEX('المشروعات'!$B$5:$B$304,MATCH(D159,'المشروعات'!$A$5:$A$304,0)),""))</f>
        <v/>
      </c>
      <c r="F159" s="40" t="n"/>
      <c r="G159" s="40" t="n"/>
      <c r="H159" s="40" t="n"/>
      <c r="I159" s="40" t="n"/>
      <c r="J159" s="40" t="n"/>
      <c r="K159" s="41" t="n"/>
      <c r="L159" s="40" t="n"/>
      <c r="M159" s="40" t="n"/>
    </row>
    <row r="160">
      <c r="A160" s="39">
        <f>IF(K160="","","RV-"&amp;TEXT(ROW()-4,"0000"))</f>
        <v/>
      </c>
      <c r="B160" s="47" t="n"/>
      <c r="C160" s="40" t="n"/>
      <c r="D160" s="50" t="n"/>
      <c r="E160" s="49">
        <f>IF(D160="","",IFERROR(INDEX('المشروعات'!$B$5:$B$304,MATCH(D160,'المشروعات'!$A$5:$A$304,0)),""))</f>
        <v/>
      </c>
      <c r="F160" s="40" t="n"/>
      <c r="G160" s="40" t="n"/>
      <c r="H160" s="40" t="n"/>
      <c r="I160" s="40" t="n"/>
      <c r="J160" s="40" t="n"/>
      <c r="K160" s="41" t="n"/>
      <c r="L160" s="40" t="n"/>
      <c r="M160" s="40" t="n"/>
    </row>
    <row r="161">
      <c r="A161" s="39">
        <f>IF(K161="","","RV-"&amp;TEXT(ROW()-4,"0000"))</f>
        <v/>
      </c>
      <c r="B161" s="47" t="n"/>
      <c r="C161" s="40" t="n"/>
      <c r="D161" s="50" t="n"/>
      <c r="E161" s="49">
        <f>IF(D161="","",IFERROR(INDEX('المشروعات'!$B$5:$B$304,MATCH(D161,'المشروعات'!$A$5:$A$304,0)),""))</f>
        <v/>
      </c>
      <c r="F161" s="40" t="n"/>
      <c r="G161" s="40" t="n"/>
      <c r="H161" s="40" t="n"/>
      <c r="I161" s="40" t="n"/>
      <c r="J161" s="40" t="n"/>
      <c r="K161" s="41" t="n"/>
      <c r="L161" s="40" t="n"/>
      <c r="M161" s="40" t="n"/>
    </row>
    <row r="162">
      <c r="A162" s="39">
        <f>IF(K162="","","RV-"&amp;TEXT(ROW()-4,"0000"))</f>
        <v/>
      </c>
      <c r="B162" s="47" t="n"/>
      <c r="C162" s="40" t="n"/>
      <c r="D162" s="50" t="n"/>
      <c r="E162" s="49">
        <f>IF(D162="","",IFERROR(INDEX('المشروعات'!$B$5:$B$304,MATCH(D162,'المشروعات'!$A$5:$A$304,0)),""))</f>
        <v/>
      </c>
      <c r="F162" s="40" t="n"/>
      <c r="G162" s="40" t="n"/>
      <c r="H162" s="40" t="n"/>
      <c r="I162" s="40" t="n"/>
      <c r="J162" s="40" t="n"/>
      <c r="K162" s="41" t="n"/>
      <c r="L162" s="40" t="n"/>
      <c r="M162" s="40" t="n"/>
    </row>
    <row r="163">
      <c r="A163" s="39">
        <f>IF(K163="","","RV-"&amp;TEXT(ROW()-4,"0000"))</f>
        <v/>
      </c>
      <c r="B163" s="47" t="n"/>
      <c r="C163" s="40" t="n"/>
      <c r="D163" s="50" t="n"/>
      <c r="E163" s="49">
        <f>IF(D163="","",IFERROR(INDEX('المشروعات'!$B$5:$B$304,MATCH(D163,'المشروعات'!$A$5:$A$304,0)),""))</f>
        <v/>
      </c>
      <c r="F163" s="40" t="n"/>
      <c r="G163" s="40" t="n"/>
      <c r="H163" s="40" t="n"/>
      <c r="I163" s="40" t="n"/>
      <c r="J163" s="40" t="n"/>
      <c r="K163" s="41" t="n"/>
      <c r="L163" s="40" t="n"/>
      <c r="M163" s="40" t="n"/>
    </row>
    <row r="164">
      <c r="A164" s="39">
        <f>IF(K164="","","RV-"&amp;TEXT(ROW()-4,"0000"))</f>
        <v/>
      </c>
      <c r="B164" s="47" t="n"/>
      <c r="C164" s="40" t="n"/>
      <c r="D164" s="50" t="n"/>
      <c r="E164" s="49">
        <f>IF(D164="","",IFERROR(INDEX('المشروعات'!$B$5:$B$304,MATCH(D164,'المشروعات'!$A$5:$A$304,0)),""))</f>
        <v/>
      </c>
      <c r="F164" s="40" t="n"/>
      <c r="G164" s="40" t="n"/>
      <c r="H164" s="40" t="n"/>
      <c r="I164" s="40" t="n"/>
      <c r="J164" s="40" t="n"/>
      <c r="K164" s="41" t="n"/>
      <c r="L164" s="40" t="n"/>
      <c r="M164" s="40" t="n"/>
    </row>
    <row r="165">
      <c r="A165" s="39">
        <f>IF(K165="","","RV-"&amp;TEXT(ROW()-4,"0000"))</f>
        <v/>
      </c>
      <c r="B165" s="47" t="n"/>
      <c r="C165" s="40" t="n"/>
      <c r="D165" s="50" t="n"/>
      <c r="E165" s="49">
        <f>IF(D165="","",IFERROR(INDEX('المشروعات'!$B$5:$B$304,MATCH(D165,'المشروعات'!$A$5:$A$304,0)),""))</f>
        <v/>
      </c>
      <c r="F165" s="40" t="n"/>
      <c r="G165" s="40" t="n"/>
      <c r="H165" s="40" t="n"/>
      <c r="I165" s="40" t="n"/>
      <c r="J165" s="40" t="n"/>
      <c r="K165" s="41" t="n"/>
      <c r="L165" s="40" t="n"/>
      <c r="M165" s="40" t="n"/>
    </row>
    <row r="166">
      <c r="A166" s="39">
        <f>IF(K166="","","RV-"&amp;TEXT(ROW()-4,"0000"))</f>
        <v/>
      </c>
      <c r="B166" s="47" t="n"/>
      <c r="C166" s="40" t="n"/>
      <c r="D166" s="50" t="n"/>
      <c r="E166" s="49">
        <f>IF(D166="","",IFERROR(INDEX('المشروعات'!$B$5:$B$304,MATCH(D166,'المشروعات'!$A$5:$A$304,0)),""))</f>
        <v/>
      </c>
      <c r="F166" s="40" t="n"/>
      <c r="G166" s="40" t="n"/>
      <c r="H166" s="40" t="n"/>
      <c r="I166" s="40" t="n"/>
      <c r="J166" s="40" t="n"/>
      <c r="K166" s="41" t="n"/>
      <c r="L166" s="40" t="n"/>
      <c r="M166" s="40" t="n"/>
    </row>
    <row r="167">
      <c r="A167" s="39">
        <f>IF(K167="","","RV-"&amp;TEXT(ROW()-4,"0000"))</f>
        <v/>
      </c>
      <c r="B167" s="47" t="n"/>
      <c r="C167" s="40" t="n"/>
      <c r="D167" s="50" t="n"/>
      <c r="E167" s="49">
        <f>IF(D167="","",IFERROR(INDEX('المشروعات'!$B$5:$B$304,MATCH(D167,'المشروعات'!$A$5:$A$304,0)),""))</f>
        <v/>
      </c>
      <c r="F167" s="40" t="n"/>
      <c r="G167" s="40" t="n"/>
      <c r="H167" s="40" t="n"/>
      <c r="I167" s="40" t="n"/>
      <c r="J167" s="40" t="n"/>
      <c r="K167" s="41" t="n"/>
      <c r="L167" s="40" t="n"/>
      <c r="M167" s="40" t="n"/>
    </row>
    <row r="168">
      <c r="A168" s="39">
        <f>IF(K168="","","RV-"&amp;TEXT(ROW()-4,"0000"))</f>
        <v/>
      </c>
      <c r="B168" s="47" t="n"/>
      <c r="C168" s="40" t="n"/>
      <c r="D168" s="50" t="n"/>
      <c r="E168" s="49">
        <f>IF(D168="","",IFERROR(INDEX('المشروعات'!$B$5:$B$304,MATCH(D168,'المشروعات'!$A$5:$A$304,0)),""))</f>
        <v/>
      </c>
      <c r="F168" s="40" t="n"/>
      <c r="G168" s="40" t="n"/>
      <c r="H168" s="40" t="n"/>
      <c r="I168" s="40" t="n"/>
      <c r="J168" s="40" t="n"/>
      <c r="K168" s="41" t="n"/>
      <c r="L168" s="40" t="n"/>
      <c r="M168" s="40" t="n"/>
    </row>
    <row r="169">
      <c r="A169" s="39">
        <f>IF(K169="","","RV-"&amp;TEXT(ROW()-4,"0000"))</f>
        <v/>
      </c>
      <c r="B169" s="47" t="n"/>
      <c r="C169" s="40" t="n"/>
      <c r="D169" s="50" t="n"/>
      <c r="E169" s="49">
        <f>IF(D169="","",IFERROR(INDEX('المشروعات'!$B$5:$B$304,MATCH(D169,'المشروعات'!$A$5:$A$304,0)),""))</f>
        <v/>
      </c>
      <c r="F169" s="40" t="n"/>
      <c r="G169" s="40" t="n"/>
      <c r="H169" s="40" t="n"/>
      <c r="I169" s="40" t="n"/>
      <c r="J169" s="40" t="n"/>
      <c r="K169" s="41" t="n"/>
      <c r="L169" s="40" t="n"/>
      <c r="M169" s="40" t="n"/>
    </row>
    <row r="170">
      <c r="A170" s="39">
        <f>IF(K170="","","RV-"&amp;TEXT(ROW()-4,"0000"))</f>
        <v/>
      </c>
      <c r="B170" s="47" t="n"/>
      <c r="C170" s="40" t="n"/>
      <c r="D170" s="50" t="n"/>
      <c r="E170" s="49">
        <f>IF(D170="","",IFERROR(INDEX('المشروعات'!$B$5:$B$304,MATCH(D170,'المشروعات'!$A$5:$A$304,0)),""))</f>
        <v/>
      </c>
      <c r="F170" s="40" t="n"/>
      <c r="G170" s="40" t="n"/>
      <c r="H170" s="40" t="n"/>
      <c r="I170" s="40" t="n"/>
      <c r="J170" s="40" t="n"/>
      <c r="K170" s="41" t="n"/>
      <c r="L170" s="40" t="n"/>
      <c r="M170" s="40" t="n"/>
    </row>
    <row r="171">
      <c r="A171" s="39">
        <f>IF(K171="","","RV-"&amp;TEXT(ROW()-4,"0000"))</f>
        <v/>
      </c>
      <c r="B171" s="47" t="n"/>
      <c r="C171" s="40" t="n"/>
      <c r="D171" s="50" t="n"/>
      <c r="E171" s="49">
        <f>IF(D171="","",IFERROR(INDEX('المشروعات'!$B$5:$B$304,MATCH(D171,'المشروعات'!$A$5:$A$304,0)),""))</f>
        <v/>
      </c>
      <c r="F171" s="40" t="n"/>
      <c r="G171" s="40" t="n"/>
      <c r="H171" s="40" t="n"/>
      <c r="I171" s="40" t="n"/>
      <c r="J171" s="40" t="n"/>
      <c r="K171" s="41" t="n"/>
      <c r="L171" s="40" t="n"/>
      <c r="M171" s="40" t="n"/>
    </row>
    <row r="172">
      <c r="A172" s="39">
        <f>IF(K172="","","RV-"&amp;TEXT(ROW()-4,"0000"))</f>
        <v/>
      </c>
      <c r="B172" s="47" t="n"/>
      <c r="C172" s="40" t="n"/>
      <c r="D172" s="50" t="n"/>
      <c r="E172" s="49">
        <f>IF(D172="","",IFERROR(INDEX('المشروعات'!$B$5:$B$304,MATCH(D172,'المشروعات'!$A$5:$A$304,0)),""))</f>
        <v/>
      </c>
      <c r="F172" s="40" t="n"/>
      <c r="G172" s="40" t="n"/>
      <c r="H172" s="40" t="n"/>
      <c r="I172" s="40" t="n"/>
      <c r="J172" s="40" t="n"/>
      <c r="K172" s="41" t="n"/>
      <c r="L172" s="40" t="n"/>
      <c r="M172" s="40" t="n"/>
    </row>
    <row r="173">
      <c r="A173" s="39">
        <f>IF(K173="","","RV-"&amp;TEXT(ROW()-4,"0000"))</f>
        <v/>
      </c>
      <c r="B173" s="47" t="n"/>
      <c r="C173" s="40" t="n"/>
      <c r="D173" s="50" t="n"/>
      <c r="E173" s="49">
        <f>IF(D173="","",IFERROR(INDEX('المشروعات'!$B$5:$B$304,MATCH(D173,'المشروعات'!$A$5:$A$304,0)),""))</f>
        <v/>
      </c>
      <c r="F173" s="40" t="n"/>
      <c r="G173" s="40" t="n"/>
      <c r="H173" s="40" t="n"/>
      <c r="I173" s="40" t="n"/>
      <c r="J173" s="40" t="n"/>
      <c r="K173" s="41" t="n"/>
      <c r="L173" s="40" t="n"/>
      <c r="M173" s="40" t="n"/>
    </row>
    <row r="174">
      <c r="A174" s="39">
        <f>IF(K174="","","RV-"&amp;TEXT(ROW()-4,"0000"))</f>
        <v/>
      </c>
      <c r="B174" s="47" t="n"/>
      <c r="C174" s="40" t="n"/>
      <c r="D174" s="50" t="n"/>
      <c r="E174" s="49">
        <f>IF(D174="","",IFERROR(INDEX('المشروعات'!$B$5:$B$304,MATCH(D174,'المشروعات'!$A$5:$A$304,0)),""))</f>
        <v/>
      </c>
      <c r="F174" s="40" t="n"/>
      <c r="G174" s="40" t="n"/>
      <c r="H174" s="40" t="n"/>
      <c r="I174" s="40" t="n"/>
      <c r="J174" s="40" t="n"/>
      <c r="K174" s="41" t="n"/>
      <c r="L174" s="40" t="n"/>
      <c r="M174" s="40" t="n"/>
    </row>
    <row r="175">
      <c r="A175" s="39">
        <f>IF(K175="","","RV-"&amp;TEXT(ROW()-4,"0000"))</f>
        <v/>
      </c>
      <c r="B175" s="47" t="n"/>
      <c r="C175" s="40" t="n"/>
      <c r="D175" s="50" t="n"/>
      <c r="E175" s="49">
        <f>IF(D175="","",IFERROR(INDEX('المشروعات'!$B$5:$B$304,MATCH(D175,'المشروعات'!$A$5:$A$304,0)),""))</f>
        <v/>
      </c>
      <c r="F175" s="40" t="n"/>
      <c r="G175" s="40" t="n"/>
      <c r="H175" s="40" t="n"/>
      <c r="I175" s="40" t="n"/>
      <c r="J175" s="40" t="n"/>
      <c r="K175" s="41" t="n"/>
      <c r="L175" s="40" t="n"/>
      <c r="M175" s="40" t="n"/>
    </row>
    <row r="176">
      <c r="A176" s="39">
        <f>IF(K176="","","RV-"&amp;TEXT(ROW()-4,"0000"))</f>
        <v/>
      </c>
      <c r="B176" s="47" t="n"/>
      <c r="C176" s="40" t="n"/>
      <c r="D176" s="50" t="n"/>
      <c r="E176" s="49">
        <f>IF(D176="","",IFERROR(INDEX('المشروعات'!$B$5:$B$304,MATCH(D176,'المشروعات'!$A$5:$A$304,0)),""))</f>
        <v/>
      </c>
      <c r="F176" s="40" t="n"/>
      <c r="G176" s="40" t="n"/>
      <c r="H176" s="40" t="n"/>
      <c r="I176" s="40" t="n"/>
      <c r="J176" s="40" t="n"/>
      <c r="K176" s="41" t="n"/>
      <c r="L176" s="40" t="n"/>
      <c r="M176" s="40" t="n"/>
    </row>
    <row r="177">
      <c r="A177" s="39">
        <f>IF(K177="","","RV-"&amp;TEXT(ROW()-4,"0000"))</f>
        <v/>
      </c>
      <c r="B177" s="47" t="n"/>
      <c r="C177" s="40" t="n"/>
      <c r="D177" s="50" t="n"/>
      <c r="E177" s="49">
        <f>IF(D177="","",IFERROR(INDEX('المشروعات'!$B$5:$B$304,MATCH(D177,'المشروعات'!$A$5:$A$304,0)),""))</f>
        <v/>
      </c>
      <c r="F177" s="40" t="n"/>
      <c r="G177" s="40" t="n"/>
      <c r="H177" s="40" t="n"/>
      <c r="I177" s="40" t="n"/>
      <c r="J177" s="40" t="n"/>
      <c r="K177" s="41" t="n"/>
      <c r="L177" s="40" t="n"/>
      <c r="M177" s="40" t="n"/>
    </row>
    <row r="178">
      <c r="A178" s="39">
        <f>IF(K178="","","RV-"&amp;TEXT(ROW()-4,"0000"))</f>
        <v/>
      </c>
      <c r="B178" s="47" t="n"/>
      <c r="C178" s="40" t="n"/>
      <c r="D178" s="50" t="n"/>
      <c r="E178" s="49">
        <f>IF(D178="","",IFERROR(INDEX('المشروعات'!$B$5:$B$304,MATCH(D178,'المشروعات'!$A$5:$A$304,0)),""))</f>
        <v/>
      </c>
      <c r="F178" s="40" t="n"/>
      <c r="G178" s="40" t="n"/>
      <c r="H178" s="40" t="n"/>
      <c r="I178" s="40" t="n"/>
      <c r="J178" s="40" t="n"/>
      <c r="K178" s="41" t="n"/>
      <c r="L178" s="40" t="n"/>
      <c r="M178" s="40" t="n"/>
    </row>
    <row r="179">
      <c r="A179" s="39">
        <f>IF(K179="","","RV-"&amp;TEXT(ROW()-4,"0000"))</f>
        <v/>
      </c>
      <c r="B179" s="47" t="n"/>
      <c r="C179" s="40" t="n"/>
      <c r="D179" s="50" t="n"/>
      <c r="E179" s="49">
        <f>IF(D179="","",IFERROR(INDEX('المشروعات'!$B$5:$B$304,MATCH(D179,'المشروعات'!$A$5:$A$304,0)),""))</f>
        <v/>
      </c>
      <c r="F179" s="40" t="n"/>
      <c r="G179" s="40" t="n"/>
      <c r="H179" s="40" t="n"/>
      <c r="I179" s="40" t="n"/>
      <c r="J179" s="40" t="n"/>
      <c r="K179" s="41" t="n"/>
      <c r="L179" s="40" t="n"/>
      <c r="M179" s="40" t="n"/>
    </row>
    <row r="180">
      <c r="A180" s="39">
        <f>IF(K180="","","RV-"&amp;TEXT(ROW()-4,"0000"))</f>
        <v/>
      </c>
      <c r="B180" s="47" t="n"/>
      <c r="C180" s="40" t="n"/>
      <c r="D180" s="50" t="n"/>
      <c r="E180" s="49">
        <f>IF(D180="","",IFERROR(INDEX('المشروعات'!$B$5:$B$304,MATCH(D180,'المشروعات'!$A$5:$A$304,0)),""))</f>
        <v/>
      </c>
      <c r="F180" s="40" t="n"/>
      <c r="G180" s="40" t="n"/>
      <c r="H180" s="40" t="n"/>
      <c r="I180" s="40" t="n"/>
      <c r="J180" s="40" t="n"/>
      <c r="K180" s="41" t="n"/>
      <c r="L180" s="40" t="n"/>
      <c r="M180" s="40" t="n"/>
    </row>
    <row r="181">
      <c r="A181" s="39">
        <f>IF(K181="","","RV-"&amp;TEXT(ROW()-4,"0000"))</f>
        <v/>
      </c>
      <c r="B181" s="47" t="n"/>
      <c r="C181" s="40" t="n"/>
      <c r="D181" s="50" t="n"/>
      <c r="E181" s="49">
        <f>IF(D181="","",IFERROR(INDEX('المشروعات'!$B$5:$B$304,MATCH(D181,'المشروعات'!$A$5:$A$304,0)),""))</f>
        <v/>
      </c>
      <c r="F181" s="40" t="n"/>
      <c r="G181" s="40" t="n"/>
      <c r="H181" s="40" t="n"/>
      <c r="I181" s="40" t="n"/>
      <c r="J181" s="40" t="n"/>
      <c r="K181" s="41" t="n"/>
      <c r="L181" s="40" t="n"/>
      <c r="M181" s="40" t="n"/>
    </row>
    <row r="182">
      <c r="A182" s="39">
        <f>IF(K182="","","RV-"&amp;TEXT(ROW()-4,"0000"))</f>
        <v/>
      </c>
      <c r="B182" s="47" t="n"/>
      <c r="C182" s="40" t="n"/>
      <c r="D182" s="50" t="n"/>
      <c r="E182" s="49">
        <f>IF(D182="","",IFERROR(INDEX('المشروعات'!$B$5:$B$304,MATCH(D182,'المشروعات'!$A$5:$A$304,0)),""))</f>
        <v/>
      </c>
      <c r="F182" s="40" t="n"/>
      <c r="G182" s="40" t="n"/>
      <c r="H182" s="40" t="n"/>
      <c r="I182" s="40" t="n"/>
      <c r="J182" s="40" t="n"/>
      <c r="K182" s="41" t="n"/>
      <c r="L182" s="40" t="n"/>
      <c r="M182" s="40" t="n"/>
    </row>
    <row r="183">
      <c r="A183" s="39">
        <f>IF(K183="","","RV-"&amp;TEXT(ROW()-4,"0000"))</f>
        <v/>
      </c>
      <c r="B183" s="47" t="n"/>
      <c r="C183" s="40" t="n"/>
      <c r="D183" s="50" t="n"/>
      <c r="E183" s="49">
        <f>IF(D183="","",IFERROR(INDEX('المشروعات'!$B$5:$B$304,MATCH(D183,'المشروعات'!$A$5:$A$304,0)),""))</f>
        <v/>
      </c>
      <c r="F183" s="40" t="n"/>
      <c r="G183" s="40" t="n"/>
      <c r="H183" s="40" t="n"/>
      <c r="I183" s="40" t="n"/>
      <c r="J183" s="40" t="n"/>
      <c r="K183" s="41" t="n"/>
      <c r="L183" s="40" t="n"/>
      <c r="M183" s="40" t="n"/>
    </row>
    <row r="184">
      <c r="A184" s="39">
        <f>IF(K184="","","RV-"&amp;TEXT(ROW()-4,"0000"))</f>
        <v/>
      </c>
      <c r="B184" s="47" t="n"/>
      <c r="C184" s="40" t="n"/>
      <c r="D184" s="50" t="n"/>
      <c r="E184" s="49">
        <f>IF(D184="","",IFERROR(INDEX('المشروعات'!$B$5:$B$304,MATCH(D184,'المشروعات'!$A$5:$A$304,0)),""))</f>
        <v/>
      </c>
      <c r="F184" s="40" t="n"/>
      <c r="G184" s="40" t="n"/>
      <c r="H184" s="40" t="n"/>
      <c r="I184" s="40" t="n"/>
      <c r="J184" s="40" t="n"/>
      <c r="K184" s="41" t="n"/>
      <c r="L184" s="40" t="n"/>
      <c r="M184" s="40" t="n"/>
    </row>
    <row r="185">
      <c r="A185" s="39">
        <f>IF(K185="","","RV-"&amp;TEXT(ROW()-4,"0000"))</f>
        <v/>
      </c>
      <c r="B185" s="47" t="n"/>
      <c r="C185" s="40" t="n"/>
      <c r="D185" s="50" t="n"/>
      <c r="E185" s="49">
        <f>IF(D185="","",IFERROR(INDEX('المشروعات'!$B$5:$B$304,MATCH(D185,'المشروعات'!$A$5:$A$304,0)),""))</f>
        <v/>
      </c>
      <c r="F185" s="40" t="n"/>
      <c r="G185" s="40" t="n"/>
      <c r="H185" s="40" t="n"/>
      <c r="I185" s="40" t="n"/>
      <c r="J185" s="40" t="n"/>
      <c r="K185" s="41" t="n"/>
      <c r="L185" s="40" t="n"/>
      <c r="M185" s="40" t="n"/>
    </row>
    <row r="186">
      <c r="A186" s="39">
        <f>IF(K186="","","RV-"&amp;TEXT(ROW()-4,"0000"))</f>
        <v/>
      </c>
      <c r="B186" s="47" t="n"/>
      <c r="C186" s="40" t="n"/>
      <c r="D186" s="50" t="n"/>
      <c r="E186" s="49">
        <f>IF(D186="","",IFERROR(INDEX('المشروعات'!$B$5:$B$304,MATCH(D186,'المشروعات'!$A$5:$A$304,0)),""))</f>
        <v/>
      </c>
      <c r="F186" s="40" t="n"/>
      <c r="G186" s="40" t="n"/>
      <c r="H186" s="40" t="n"/>
      <c r="I186" s="40" t="n"/>
      <c r="J186" s="40" t="n"/>
      <c r="K186" s="41" t="n"/>
      <c r="L186" s="40" t="n"/>
      <c r="M186" s="40" t="n"/>
    </row>
    <row r="187">
      <c r="A187" s="39">
        <f>IF(K187="","","RV-"&amp;TEXT(ROW()-4,"0000"))</f>
        <v/>
      </c>
      <c r="B187" s="47" t="n"/>
      <c r="C187" s="40" t="n"/>
      <c r="D187" s="50" t="n"/>
      <c r="E187" s="49">
        <f>IF(D187="","",IFERROR(INDEX('المشروعات'!$B$5:$B$304,MATCH(D187,'المشروعات'!$A$5:$A$304,0)),""))</f>
        <v/>
      </c>
      <c r="F187" s="40" t="n"/>
      <c r="G187" s="40" t="n"/>
      <c r="H187" s="40" t="n"/>
      <c r="I187" s="40" t="n"/>
      <c r="J187" s="40" t="n"/>
      <c r="K187" s="41" t="n"/>
      <c r="L187" s="40" t="n"/>
      <c r="M187" s="40" t="n"/>
    </row>
    <row r="188">
      <c r="A188" s="39">
        <f>IF(K188="","","RV-"&amp;TEXT(ROW()-4,"0000"))</f>
        <v/>
      </c>
      <c r="B188" s="47" t="n"/>
      <c r="C188" s="40" t="n"/>
      <c r="D188" s="50" t="n"/>
      <c r="E188" s="49">
        <f>IF(D188="","",IFERROR(INDEX('المشروعات'!$B$5:$B$304,MATCH(D188,'المشروعات'!$A$5:$A$304,0)),""))</f>
        <v/>
      </c>
      <c r="F188" s="40" t="n"/>
      <c r="G188" s="40" t="n"/>
      <c r="H188" s="40" t="n"/>
      <c r="I188" s="40" t="n"/>
      <c r="J188" s="40" t="n"/>
      <c r="K188" s="41" t="n"/>
      <c r="L188" s="40" t="n"/>
      <c r="M188" s="40" t="n"/>
    </row>
    <row r="189">
      <c r="A189" s="39">
        <f>IF(K189="","","RV-"&amp;TEXT(ROW()-4,"0000"))</f>
        <v/>
      </c>
      <c r="B189" s="47" t="n"/>
      <c r="C189" s="40" t="n"/>
      <c r="D189" s="50" t="n"/>
      <c r="E189" s="49">
        <f>IF(D189="","",IFERROR(INDEX('المشروعات'!$B$5:$B$304,MATCH(D189,'المشروعات'!$A$5:$A$304,0)),""))</f>
        <v/>
      </c>
      <c r="F189" s="40" t="n"/>
      <c r="G189" s="40" t="n"/>
      <c r="H189" s="40" t="n"/>
      <c r="I189" s="40" t="n"/>
      <c r="J189" s="40" t="n"/>
      <c r="K189" s="41" t="n"/>
      <c r="L189" s="40" t="n"/>
      <c r="M189" s="40" t="n"/>
    </row>
    <row r="190">
      <c r="A190" s="39">
        <f>IF(K190="","","RV-"&amp;TEXT(ROW()-4,"0000"))</f>
        <v/>
      </c>
      <c r="B190" s="47" t="n"/>
      <c r="C190" s="40" t="n"/>
      <c r="D190" s="50" t="n"/>
      <c r="E190" s="49">
        <f>IF(D190="","",IFERROR(INDEX('المشروعات'!$B$5:$B$304,MATCH(D190,'المشروعات'!$A$5:$A$304,0)),""))</f>
        <v/>
      </c>
      <c r="F190" s="40" t="n"/>
      <c r="G190" s="40" t="n"/>
      <c r="H190" s="40" t="n"/>
      <c r="I190" s="40" t="n"/>
      <c r="J190" s="40" t="n"/>
      <c r="K190" s="41" t="n"/>
      <c r="L190" s="40" t="n"/>
      <c r="M190" s="40" t="n"/>
    </row>
    <row r="191">
      <c r="A191" s="39">
        <f>IF(K191="","","RV-"&amp;TEXT(ROW()-4,"0000"))</f>
        <v/>
      </c>
      <c r="B191" s="47" t="n"/>
      <c r="C191" s="40" t="n"/>
      <c r="D191" s="50" t="n"/>
      <c r="E191" s="49">
        <f>IF(D191="","",IFERROR(INDEX('المشروعات'!$B$5:$B$304,MATCH(D191,'المشروعات'!$A$5:$A$304,0)),""))</f>
        <v/>
      </c>
      <c r="F191" s="40" t="n"/>
      <c r="G191" s="40" t="n"/>
      <c r="H191" s="40" t="n"/>
      <c r="I191" s="40" t="n"/>
      <c r="J191" s="40" t="n"/>
      <c r="K191" s="41" t="n"/>
      <c r="L191" s="40" t="n"/>
      <c r="M191" s="40" t="n"/>
    </row>
    <row r="192">
      <c r="A192" s="39">
        <f>IF(K192="","","RV-"&amp;TEXT(ROW()-4,"0000"))</f>
        <v/>
      </c>
      <c r="B192" s="47" t="n"/>
      <c r="C192" s="40" t="n"/>
      <c r="D192" s="50" t="n"/>
      <c r="E192" s="49">
        <f>IF(D192="","",IFERROR(INDEX('المشروعات'!$B$5:$B$304,MATCH(D192,'المشروعات'!$A$5:$A$304,0)),""))</f>
        <v/>
      </c>
      <c r="F192" s="40" t="n"/>
      <c r="G192" s="40" t="n"/>
      <c r="H192" s="40" t="n"/>
      <c r="I192" s="40" t="n"/>
      <c r="J192" s="40" t="n"/>
      <c r="K192" s="41" t="n"/>
      <c r="L192" s="40" t="n"/>
      <c r="M192" s="40" t="n"/>
    </row>
    <row r="193">
      <c r="A193" s="39">
        <f>IF(K193="","","RV-"&amp;TEXT(ROW()-4,"0000"))</f>
        <v/>
      </c>
      <c r="B193" s="47" t="n"/>
      <c r="C193" s="40" t="n"/>
      <c r="D193" s="50" t="n"/>
      <c r="E193" s="49">
        <f>IF(D193="","",IFERROR(INDEX('المشروعات'!$B$5:$B$304,MATCH(D193,'المشروعات'!$A$5:$A$304,0)),""))</f>
        <v/>
      </c>
      <c r="F193" s="40" t="n"/>
      <c r="G193" s="40" t="n"/>
      <c r="H193" s="40" t="n"/>
      <c r="I193" s="40" t="n"/>
      <c r="J193" s="40" t="n"/>
      <c r="K193" s="41" t="n"/>
      <c r="L193" s="40" t="n"/>
      <c r="M193" s="40" t="n"/>
    </row>
    <row r="194">
      <c r="A194" s="39">
        <f>IF(K194="","","RV-"&amp;TEXT(ROW()-4,"0000"))</f>
        <v/>
      </c>
      <c r="B194" s="47" t="n"/>
      <c r="C194" s="40" t="n"/>
      <c r="D194" s="50" t="n"/>
      <c r="E194" s="49">
        <f>IF(D194="","",IFERROR(INDEX('المشروعات'!$B$5:$B$304,MATCH(D194,'المشروعات'!$A$5:$A$304,0)),""))</f>
        <v/>
      </c>
      <c r="F194" s="40" t="n"/>
      <c r="G194" s="40" t="n"/>
      <c r="H194" s="40" t="n"/>
      <c r="I194" s="40" t="n"/>
      <c r="J194" s="40" t="n"/>
      <c r="K194" s="41" t="n"/>
      <c r="L194" s="40" t="n"/>
      <c r="M194" s="40" t="n"/>
    </row>
    <row r="195">
      <c r="A195" s="39">
        <f>IF(K195="","","RV-"&amp;TEXT(ROW()-4,"0000"))</f>
        <v/>
      </c>
      <c r="B195" s="47" t="n"/>
      <c r="C195" s="40" t="n"/>
      <c r="D195" s="50" t="n"/>
      <c r="E195" s="49">
        <f>IF(D195="","",IFERROR(INDEX('المشروعات'!$B$5:$B$304,MATCH(D195,'المشروعات'!$A$5:$A$304,0)),""))</f>
        <v/>
      </c>
      <c r="F195" s="40" t="n"/>
      <c r="G195" s="40" t="n"/>
      <c r="H195" s="40" t="n"/>
      <c r="I195" s="40" t="n"/>
      <c r="J195" s="40" t="n"/>
      <c r="K195" s="41" t="n"/>
      <c r="L195" s="40" t="n"/>
      <c r="M195" s="40" t="n"/>
    </row>
    <row r="196">
      <c r="A196" s="39">
        <f>IF(K196="","","RV-"&amp;TEXT(ROW()-4,"0000"))</f>
        <v/>
      </c>
      <c r="B196" s="47" t="n"/>
      <c r="C196" s="40" t="n"/>
      <c r="D196" s="50" t="n"/>
      <c r="E196" s="49">
        <f>IF(D196="","",IFERROR(INDEX('المشروعات'!$B$5:$B$304,MATCH(D196,'المشروعات'!$A$5:$A$304,0)),""))</f>
        <v/>
      </c>
      <c r="F196" s="40" t="n"/>
      <c r="G196" s="40" t="n"/>
      <c r="H196" s="40" t="n"/>
      <c r="I196" s="40" t="n"/>
      <c r="J196" s="40" t="n"/>
      <c r="K196" s="41" t="n"/>
      <c r="L196" s="40" t="n"/>
      <c r="M196" s="40" t="n"/>
    </row>
    <row r="197">
      <c r="A197" s="39">
        <f>IF(K197="","","RV-"&amp;TEXT(ROW()-4,"0000"))</f>
        <v/>
      </c>
      <c r="B197" s="47" t="n"/>
      <c r="C197" s="40" t="n"/>
      <c r="D197" s="50" t="n"/>
      <c r="E197" s="49">
        <f>IF(D197="","",IFERROR(INDEX('المشروعات'!$B$5:$B$304,MATCH(D197,'المشروعات'!$A$5:$A$304,0)),""))</f>
        <v/>
      </c>
      <c r="F197" s="40" t="n"/>
      <c r="G197" s="40" t="n"/>
      <c r="H197" s="40" t="n"/>
      <c r="I197" s="40" t="n"/>
      <c r="J197" s="40" t="n"/>
      <c r="K197" s="41" t="n"/>
      <c r="L197" s="40" t="n"/>
      <c r="M197" s="40" t="n"/>
    </row>
    <row r="198">
      <c r="A198" s="39">
        <f>IF(K198="","","RV-"&amp;TEXT(ROW()-4,"0000"))</f>
        <v/>
      </c>
      <c r="B198" s="47" t="n"/>
      <c r="C198" s="40" t="n"/>
      <c r="D198" s="50" t="n"/>
      <c r="E198" s="49">
        <f>IF(D198="","",IFERROR(INDEX('المشروعات'!$B$5:$B$304,MATCH(D198,'المشروعات'!$A$5:$A$304,0)),""))</f>
        <v/>
      </c>
      <c r="F198" s="40" t="n"/>
      <c r="G198" s="40" t="n"/>
      <c r="H198" s="40" t="n"/>
      <c r="I198" s="40" t="n"/>
      <c r="J198" s="40" t="n"/>
      <c r="K198" s="41" t="n"/>
      <c r="L198" s="40" t="n"/>
      <c r="M198" s="40" t="n"/>
    </row>
    <row r="199">
      <c r="A199" s="39">
        <f>IF(K199="","","RV-"&amp;TEXT(ROW()-4,"0000"))</f>
        <v/>
      </c>
      <c r="B199" s="47" t="n"/>
      <c r="C199" s="40" t="n"/>
      <c r="D199" s="50" t="n"/>
      <c r="E199" s="49">
        <f>IF(D199="","",IFERROR(INDEX('المشروعات'!$B$5:$B$304,MATCH(D199,'المشروعات'!$A$5:$A$304,0)),""))</f>
        <v/>
      </c>
      <c r="F199" s="40" t="n"/>
      <c r="G199" s="40" t="n"/>
      <c r="H199" s="40" t="n"/>
      <c r="I199" s="40" t="n"/>
      <c r="J199" s="40" t="n"/>
      <c r="K199" s="41" t="n"/>
      <c r="L199" s="40" t="n"/>
      <c r="M199" s="40" t="n"/>
    </row>
    <row r="200">
      <c r="A200" s="39">
        <f>IF(K200="","","RV-"&amp;TEXT(ROW()-4,"0000"))</f>
        <v/>
      </c>
      <c r="B200" s="47" t="n"/>
      <c r="C200" s="40" t="n"/>
      <c r="D200" s="50" t="n"/>
      <c r="E200" s="49">
        <f>IF(D200="","",IFERROR(INDEX('المشروعات'!$B$5:$B$304,MATCH(D200,'المشروعات'!$A$5:$A$304,0)),""))</f>
        <v/>
      </c>
      <c r="F200" s="40" t="n"/>
      <c r="G200" s="40" t="n"/>
      <c r="H200" s="40" t="n"/>
      <c r="I200" s="40" t="n"/>
      <c r="J200" s="40" t="n"/>
      <c r="K200" s="41" t="n"/>
      <c r="L200" s="40" t="n"/>
      <c r="M200" s="40" t="n"/>
    </row>
    <row r="201">
      <c r="A201" s="39">
        <f>IF(K201="","","RV-"&amp;TEXT(ROW()-4,"0000"))</f>
        <v/>
      </c>
      <c r="B201" s="47" t="n"/>
      <c r="C201" s="40" t="n"/>
      <c r="D201" s="50" t="n"/>
      <c r="E201" s="49">
        <f>IF(D201="","",IFERROR(INDEX('المشروعات'!$B$5:$B$304,MATCH(D201,'المشروعات'!$A$5:$A$304,0)),""))</f>
        <v/>
      </c>
      <c r="F201" s="40" t="n"/>
      <c r="G201" s="40" t="n"/>
      <c r="H201" s="40" t="n"/>
      <c r="I201" s="40" t="n"/>
      <c r="J201" s="40" t="n"/>
      <c r="K201" s="41" t="n"/>
      <c r="L201" s="40" t="n"/>
      <c r="M201" s="40" t="n"/>
    </row>
    <row r="202">
      <c r="A202" s="39">
        <f>IF(K202="","","RV-"&amp;TEXT(ROW()-4,"0000"))</f>
        <v/>
      </c>
      <c r="B202" s="47" t="n"/>
      <c r="C202" s="40" t="n"/>
      <c r="D202" s="50" t="n"/>
      <c r="E202" s="49">
        <f>IF(D202="","",IFERROR(INDEX('المشروعات'!$B$5:$B$304,MATCH(D202,'المشروعات'!$A$5:$A$304,0)),""))</f>
        <v/>
      </c>
      <c r="F202" s="40" t="n"/>
      <c r="G202" s="40" t="n"/>
      <c r="H202" s="40" t="n"/>
      <c r="I202" s="40" t="n"/>
      <c r="J202" s="40" t="n"/>
      <c r="K202" s="41" t="n"/>
      <c r="L202" s="40" t="n"/>
      <c r="M202" s="40" t="n"/>
    </row>
    <row r="203">
      <c r="A203" s="39">
        <f>IF(K203="","","RV-"&amp;TEXT(ROW()-4,"0000"))</f>
        <v/>
      </c>
      <c r="B203" s="47" t="n"/>
      <c r="C203" s="40" t="n"/>
      <c r="D203" s="50" t="n"/>
      <c r="E203" s="49">
        <f>IF(D203="","",IFERROR(INDEX('المشروعات'!$B$5:$B$304,MATCH(D203,'المشروعات'!$A$5:$A$304,0)),""))</f>
        <v/>
      </c>
      <c r="F203" s="40" t="n"/>
      <c r="G203" s="40" t="n"/>
      <c r="H203" s="40" t="n"/>
      <c r="I203" s="40" t="n"/>
      <c r="J203" s="40" t="n"/>
      <c r="K203" s="41" t="n"/>
      <c r="L203" s="40" t="n"/>
      <c r="M203" s="40" t="n"/>
    </row>
    <row r="204">
      <c r="A204" s="39">
        <f>IF(K204="","","RV-"&amp;TEXT(ROW()-4,"0000"))</f>
        <v/>
      </c>
      <c r="B204" s="47" t="n"/>
      <c r="C204" s="40" t="n"/>
      <c r="D204" s="50" t="n"/>
      <c r="E204" s="49">
        <f>IF(D204="","",IFERROR(INDEX('المشروعات'!$B$5:$B$304,MATCH(D204,'المشروعات'!$A$5:$A$304,0)),""))</f>
        <v/>
      </c>
      <c r="F204" s="40" t="n"/>
      <c r="G204" s="40" t="n"/>
      <c r="H204" s="40" t="n"/>
      <c r="I204" s="40" t="n"/>
      <c r="J204" s="40" t="n"/>
      <c r="K204" s="41" t="n"/>
      <c r="L204" s="40" t="n"/>
      <c r="M204" s="40" t="n"/>
    </row>
    <row r="205">
      <c r="A205" s="39">
        <f>IF(K205="","","RV-"&amp;TEXT(ROW()-4,"0000"))</f>
        <v/>
      </c>
      <c r="B205" s="47" t="n"/>
      <c r="C205" s="40" t="n"/>
      <c r="D205" s="50" t="n"/>
      <c r="E205" s="49">
        <f>IF(D205="","",IFERROR(INDEX('المشروعات'!$B$5:$B$304,MATCH(D205,'المشروعات'!$A$5:$A$304,0)),""))</f>
        <v/>
      </c>
      <c r="F205" s="40" t="n"/>
      <c r="G205" s="40" t="n"/>
      <c r="H205" s="40" t="n"/>
      <c r="I205" s="40" t="n"/>
      <c r="J205" s="40" t="n"/>
      <c r="K205" s="41" t="n"/>
      <c r="L205" s="40" t="n"/>
      <c r="M205" s="40" t="n"/>
    </row>
    <row r="206">
      <c r="A206" s="39">
        <f>IF(K206="","","RV-"&amp;TEXT(ROW()-4,"0000"))</f>
        <v/>
      </c>
      <c r="B206" s="47" t="n"/>
      <c r="C206" s="40" t="n"/>
      <c r="D206" s="50" t="n"/>
      <c r="E206" s="49">
        <f>IF(D206="","",IFERROR(INDEX('المشروعات'!$B$5:$B$304,MATCH(D206,'المشروعات'!$A$5:$A$304,0)),""))</f>
        <v/>
      </c>
      <c r="F206" s="40" t="n"/>
      <c r="G206" s="40" t="n"/>
      <c r="H206" s="40" t="n"/>
      <c r="I206" s="40" t="n"/>
      <c r="J206" s="40" t="n"/>
      <c r="K206" s="41" t="n"/>
      <c r="L206" s="40" t="n"/>
      <c r="M206" s="40" t="n"/>
    </row>
    <row r="207">
      <c r="A207" s="39">
        <f>IF(K207="","","RV-"&amp;TEXT(ROW()-4,"0000"))</f>
        <v/>
      </c>
      <c r="B207" s="47" t="n"/>
      <c r="C207" s="40" t="n"/>
      <c r="D207" s="50" t="n"/>
      <c r="E207" s="49">
        <f>IF(D207="","",IFERROR(INDEX('المشروعات'!$B$5:$B$304,MATCH(D207,'المشروعات'!$A$5:$A$304,0)),""))</f>
        <v/>
      </c>
      <c r="F207" s="40" t="n"/>
      <c r="G207" s="40" t="n"/>
      <c r="H207" s="40" t="n"/>
      <c r="I207" s="40" t="n"/>
      <c r="J207" s="40" t="n"/>
      <c r="K207" s="41" t="n"/>
      <c r="L207" s="40" t="n"/>
      <c r="M207" s="40" t="n"/>
    </row>
    <row r="208">
      <c r="A208" s="39">
        <f>IF(K208="","","RV-"&amp;TEXT(ROW()-4,"0000"))</f>
        <v/>
      </c>
      <c r="B208" s="47" t="n"/>
      <c r="C208" s="40" t="n"/>
      <c r="D208" s="50" t="n"/>
      <c r="E208" s="49">
        <f>IF(D208="","",IFERROR(INDEX('المشروعات'!$B$5:$B$304,MATCH(D208,'المشروعات'!$A$5:$A$304,0)),""))</f>
        <v/>
      </c>
      <c r="F208" s="40" t="n"/>
      <c r="G208" s="40" t="n"/>
      <c r="H208" s="40" t="n"/>
      <c r="I208" s="40" t="n"/>
      <c r="J208" s="40" t="n"/>
      <c r="K208" s="41" t="n"/>
      <c r="L208" s="40" t="n"/>
      <c r="M208" s="40" t="n"/>
    </row>
    <row r="209">
      <c r="A209" s="39">
        <f>IF(K209="","","RV-"&amp;TEXT(ROW()-4,"0000"))</f>
        <v/>
      </c>
      <c r="B209" s="47" t="n"/>
      <c r="C209" s="40" t="n"/>
      <c r="D209" s="50" t="n"/>
      <c r="E209" s="49">
        <f>IF(D209="","",IFERROR(INDEX('المشروعات'!$B$5:$B$304,MATCH(D209,'المشروعات'!$A$5:$A$304,0)),""))</f>
        <v/>
      </c>
      <c r="F209" s="40" t="n"/>
      <c r="G209" s="40" t="n"/>
      <c r="H209" s="40" t="n"/>
      <c r="I209" s="40" t="n"/>
      <c r="J209" s="40" t="n"/>
      <c r="K209" s="41" t="n"/>
      <c r="L209" s="40" t="n"/>
      <c r="M209" s="40" t="n"/>
    </row>
    <row r="210">
      <c r="A210" s="39">
        <f>IF(K210="","","RV-"&amp;TEXT(ROW()-4,"0000"))</f>
        <v/>
      </c>
      <c r="B210" s="47" t="n"/>
      <c r="C210" s="40" t="n"/>
      <c r="D210" s="50" t="n"/>
      <c r="E210" s="49">
        <f>IF(D210="","",IFERROR(INDEX('المشروعات'!$B$5:$B$304,MATCH(D210,'المشروعات'!$A$5:$A$304,0)),""))</f>
        <v/>
      </c>
      <c r="F210" s="40" t="n"/>
      <c r="G210" s="40" t="n"/>
      <c r="H210" s="40" t="n"/>
      <c r="I210" s="40" t="n"/>
      <c r="J210" s="40" t="n"/>
      <c r="K210" s="41" t="n"/>
      <c r="L210" s="40" t="n"/>
      <c r="M210" s="40" t="n"/>
    </row>
    <row r="211">
      <c r="A211" s="39">
        <f>IF(K211="","","RV-"&amp;TEXT(ROW()-4,"0000"))</f>
        <v/>
      </c>
      <c r="B211" s="47" t="n"/>
      <c r="C211" s="40" t="n"/>
      <c r="D211" s="50" t="n"/>
      <c r="E211" s="49">
        <f>IF(D211="","",IFERROR(INDEX('المشروعات'!$B$5:$B$304,MATCH(D211,'المشروعات'!$A$5:$A$304,0)),""))</f>
        <v/>
      </c>
      <c r="F211" s="40" t="n"/>
      <c r="G211" s="40" t="n"/>
      <c r="H211" s="40" t="n"/>
      <c r="I211" s="40" t="n"/>
      <c r="J211" s="40" t="n"/>
      <c r="K211" s="41" t="n"/>
      <c r="L211" s="40" t="n"/>
      <c r="M211" s="40" t="n"/>
    </row>
    <row r="212">
      <c r="A212" s="39">
        <f>IF(K212="","","RV-"&amp;TEXT(ROW()-4,"0000"))</f>
        <v/>
      </c>
      <c r="B212" s="47" t="n"/>
      <c r="C212" s="40" t="n"/>
      <c r="D212" s="50" t="n"/>
      <c r="E212" s="49">
        <f>IF(D212="","",IFERROR(INDEX('المشروعات'!$B$5:$B$304,MATCH(D212,'المشروعات'!$A$5:$A$304,0)),""))</f>
        <v/>
      </c>
      <c r="F212" s="40" t="n"/>
      <c r="G212" s="40" t="n"/>
      <c r="H212" s="40" t="n"/>
      <c r="I212" s="40" t="n"/>
      <c r="J212" s="40" t="n"/>
      <c r="K212" s="41" t="n"/>
      <c r="L212" s="40" t="n"/>
      <c r="M212" s="40" t="n"/>
    </row>
    <row r="213">
      <c r="A213" s="39">
        <f>IF(K213="","","RV-"&amp;TEXT(ROW()-4,"0000"))</f>
        <v/>
      </c>
      <c r="B213" s="47" t="n"/>
      <c r="C213" s="40" t="n"/>
      <c r="D213" s="50" t="n"/>
      <c r="E213" s="49">
        <f>IF(D213="","",IFERROR(INDEX('المشروعات'!$B$5:$B$304,MATCH(D213,'المشروعات'!$A$5:$A$304,0)),""))</f>
        <v/>
      </c>
      <c r="F213" s="40" t="n"/>
      <c r="G213" s="40" t="n"/>
      <c r="H213" s="40" t="n"/>
      <c r="I213" s="40" t="n"/>
      <c r="J213" s="40" t="n"/>
      <c r="K213" s="41" t="n"/>
      <c r="L213" s="40" t="n"/>
      <c r="M213" s="40" t="n"/>
    </row>
    <row r="214">
      <c r="A214" s="39">
        <f>IF(K214="","","RV-"&amp;TEXT(ROW()-4,"0000"))</f>
        <v/>
      </c>
      <c r="B214" s="47" t="n"/>
      <c r="C214" s="40" t="n"/>
      <c r="D214" s="50" t="n"/>
      <c r="E214" s="49">
        <f>IF(D214="","",IFERROR(INDEX('المشروعات'!$B$5:$B$304,MATCH(D214,'المشروعات'!$A$5:$A$304,0)),""))</f>
        <v/>
      </c>
      <c r="F214" s="40" t="n"/>
      <c r="G214" s="40" t="n"/>
      <c r="H214" s="40" t="n"/>
      <c r="I214" s="40" t="n"/>
      <c r="J214" s="40" t="n"/>
      <c r="K214" s="41" t="n"/>
      <c r="L214" s="40" t="n"/>
      <c r="M214" s="40" t="n"/>
    </row>
    <row r="215">
      <c r="A215" s="39">
        <f>IF(K215="","","RV-"&amp;TEXT(ROW()-4,"0000"))</f>
        <v/>
      </c>
      <c r="B215" s="47" t="n"/>
      <c r="C215" s="40" t="n"/>
      <c r="D215" s="50" t="n"/>
      <c r="E215" s="49">
        <f>IF(D215="","",IFERROR(INDEX('المشروعات'!$B$5:$B$304,MATCH(D215,'المشروعات'!$A$5:$A$304,0)),""))</f>
        <v/>
      </c>
      <c r="F215" s="40" t="n"/>
      <c r="G215" s="40" t="n"/>
      <c r="H215" s="40" t="n"/>
      <c r="I215" s="40" t="n"/>
      <c r="J215" s="40" t="n"/>
      <c r="K215" s="41" t="n"/>
      <c r="L215" s="40" t="n"/>
      <c r="M215" s="40" t="n"/>
    </row>
    <row r="216">
      <c r="A216" s="39">
        <f>IF(K216="","","RV-"&amp;TEXT(ROW()-4,"0000"))</f>
        <v/>
      </c>
      <c r="B216" s="47" t="n"/>
      <c r="C216" s="40" t="n"/>
      <c r="D216" s="50" t="n"/>
      <c r="E216" s="49">
        <f>IF(D216="","",IFERROR(INDEX('المشروعات'!$B$5:$B$304,MATCH(D216,'المشروعات'!$A$5:$A$304,0)),""))</f>
        <v/>
      </c>
      <c r="F216" s="40" t="n"/>
      <c r="G216" s="40" t="n"/>
      <c r="H216" s="40" t="n"/>
      <c r="I216" s="40" t="n"/>
      <c r="J216" s="40" t="n"/>
      <c r="K216" s="41" t="n"/>
      <c r="L216" s="40" t="n"/>
      <c r="M216" s="40" t="n"/>
    </row>
    <row r="217">
      <c r="A217" s="39">
        <f>IF(K217="","","RV-"&amp;TEXT(ROW()-4,"0000"))</f>
        <v/>
      </c>
      <c r="B217" s="47" t="n"/>
      <c r="C217" s="40" t="n"/>
      <c r="D217" s="50" t="n"/>
      <c r="E217" s="49">
        <f>IF(D217="","",IFERROR(INDEX('المشروعات'!$B$5:$B$304,MATCH(D217,'المشروعات'!$A$5:$A$304,0)),""))</f>
        <v/>
      </c>
      <c r="F217" s="40" t="n"/>
      <c r="G217" s="40" t="n"/>
      <c r="H217" s="40" t="n"/>
      <c r="I217" s="40" t="n"/>
      <c r="J217" s="40" t="n"/>
      <c r="K217" s="41" t="n"/>
      <c r="L217" s="40" t="n"/>
      <c r="M217" s="40" t="n"/>
    </row>
    <row r="218">
      <c r="A218" s="39">
        <f>IF(K218="","","RV-"&amp;TEXT(ROW()-4,"0000"))</f>
        <v/>
      </c>
      <c r="B218" s="47" t="n"/>
      <c r="C218" s="40" t="n"/>
      <c r="D218" s="50" t="n"/>
      <c r="E218" s="49">
        <f>IF(D218="","",IFERROR(INDEX('المشروعات'!$B$5:$B$304,MATCH(D218,'المشروعات'!$A$5:$A$304,0)),""))</f>
        <v/>
      </c>
      <c r="F218" s="40" t="n"/>
      <c r="G218" s="40" t="n"/>
      <c r="H218" s="40" t="n"/>
      <c r="I218" s="40" t="n"/>
      <c r="J218" s="40" t="n"/>
      <c r="K218" s="41" t="n"/>
      <c r="L218" s="40" t="n"/>
      <c r="M218" s="40" t="n"/>
    </row>
    <row r="219">
      <c r="A219" s="39">
        <f>IF(K219="","","RV-"&amp;TEXT(ROW()-4,"0000"))</f>
        <v/>
      </c>
      <c r="B219" s="47" t="n"/>
      <c r="C219" s="40" t="n"/>
      <c r="D219" s="50" t="n"/>
      <c r="E219" s="49">
        <f>IF(D219="","",IFERROR(INDEX('المشروعات'!$B$5:$B$304,MATCH(D219,'المشروعات'!$A$5:$A$304,0)),""))</f>
        <v/>
      </c>
      <c r="F219" s="40" t="n"/>
      <c r="G219" s="40" t="n"/>
      <c r="H219" s="40" t="n"/>
      <c r="I219" s="40" t="n"/>
      <c r="J219" s="40" t="n"/>
      <c r="K219" s="41" t="n"/>
      <c r="L219" s="40" t="n"/>
      <c r="M219" s="40" t="n"/>
    </row>
    <row r="220">
      <c r="A220" s="39">
        <f>IF(K220="","","RV-"&amp;TEXT(ROW()-4,"0000"))</f>
        <v/>
      </c>
      <c r="B220" s="47" t="n"/>
      <c r="C220" s="40" t="n"/>
      <c r="D220" s="50" t="n"/>
      <c r="E220" s="49">
        <f>IF(D220="","",IFERROR(INDEX('المشروعات'!$B$5:$B$304,MATCH(D220,'المشروعات'!$A$5:$A$304,0)),""))</f>
        <v/>
      </c>
      <c r="F220" s="40" t="n"/>
      <c r="G220" s="40" t="n"/>
      <c r="H220" s="40" t="n"/>
      <c r="I220" s="40" t="n"/>
      <c r="J220" s="40" t="n"/>
      <c r="K220" s="41" t="n"/>
      <c r="L220" s="40" t="n"/>
      <c r="M220" s="40" t="n"/>
    </row>
    <row r="221">
      <c r="A221" s="39">
        <f>IF(K221="","","RV-"&amp;TEXT(ROW()-4,"0000"))</f>
        <v/>
      </c>
      <c r="B221" s="47" t="n"/>
      <c r="C221" s="40" t="n"/>
      <c r="D221" s="50" t="n"/>
      <c r="E221" s="49">
        <f>IF(D221="","",IFERROR(INDEX('المشروعات'!$B$5:$B$304,MATCH(D221,'المشروعات'!$A$5:$A$304,0)),""))</f>
        <v/>
      </c>
      <c r="F221" s="40" t="n"/>
      <c r="G221" s="40" t="n"/>
      <c r="H221" s="40" t="n"/>
      <c r="I221" s="40" t="n"/>
      <c r="J221" s="40" t="n"/>
      <c r="K221" s="41" t="n"/>
      <c r="L221" s="40" t="n"/>
      <c r="M221" s="40" t="n"/>
    </row>
    <row r="222">
      <c r="A222" s="39">
        <f>IF(K222="","","RV-"&amp;TEXT(ROW()-4,"0000"))</f>
        <v/>
      </c>
      <c r="B222" s="47" t="n"/>
      <c r="C222" s="40" t="n"/>
      <c r="D222" s="50" t="n"/>
      <c r="E222" s="49">
        <f>IF(D222="","",IFERROR(INDEX('المشروعات'!$B$5:$B$304,MATCH(D222,'المشروعات'!$A$5:$A$304,0)),""))</f>
        <v/>
      </c>
      <c r="F222" s="40" t="n"/>
      <c r="G222" s="40" t="n"/>
      <c r="H222" s="40" t="n"/>
      <c r="I222" s="40" t="n"/>
      <c r="J222" s="40" t="n"/>
      <c r="K222" s="41" t="n"/>
      <c r="L222" s="40" t="n"/>
      <c r="M222" s="40" t="n"/>
    </row>
    <row r="223">
      <c r="A223" s="39">
        <f>IF(K223="","","RV-"&amp;TEXT(ROW()-4,"0000"))</f>
        <v/>
      </c>
      <c r="B223" s="47" t="n"/>
      <c r="C223" s="40" t="n"/>
      <c r="D223" s="50" t="n"/>
      <c r="E223" s="49">
        <f>IF(D223="","",IFERROR(INDEX('المشروعات'!$B$5:$B$304,MATCH(D223,'المشروعات'!$A$5:$A$304,0)),""))</f>
        <v/>
      </c>
      <c r="F223" s="40" t="n"/>
      <c r="G223" s="40" t="n"/>
      <c r="H223" s="40" t="n"/>
      <c r="I223" s="40" t="n"/>
      <c r="J223" s="40" t="n"/>
      <c r="K223" s="41" t="n"/>
      <c r="L223" s="40" t="n"/>
      <c r="M223" s="40" t="n"/>
    </row>
    <row r="224">
      <c r="A224" s="39">
        <f>IF(K224="","","RV-"&amp;TEXT(ROW()-4,"0000"))</f>
        <v/>
      </c>
      <c r="B224" s="47" t="n"/>
      <c r="C224" s="40" t="n"/>
      <c r="D224" s="50" t="n"/>
      <c r="E224" s="49">
        <f>IF(D224="","",IFERROR(INDEX('المشروعات'!$B$5:$B$304,MATCH(D224,'المشروعات'!$A$5:$A$304,0)),""))</f>
        <v/>
      </c>
      <c r="F224" s="40" t="n"/>
      <c r="G224" s="40" t="n"/>
      <c r="H224" s="40" t="n"/>
      <c r="I224" s="40" t="n"/>
      <c r="J224" s="40" t="n"/>
      <c r="K224" s="41" t="n"/>
      <c r="L224" s="40" t="n"/>
      <c r="M224" s="40" t="n"/>
    </row>
    <row r="225">
      <c r="A225" s="39">
        <f>IF(K225="","","RV-"&amp;TEXT(ROW()-4,"0000"))</f>
        <v/>
      </c>
      <c r="B225" s="47" t="n"/>
      <c r="C225" s="40" t="n"/>
      <c r="D225" s="50" t="n"/>
      <c r="E225" s="49">
        <f>IF(D225="","",IFERROR(INDEX('المشروعات'!$B$5:$B$304,MATCH(D225,'المشروعات'!$A$5:$A$304,0)),""))</f>
        <v/>
      </c>
      <c r="F225" s="40" t="n"/>
      <c r="G225" s="40" t="n"/>
      <c r="H225" s="40" t="n"/>
      <c r="I225" s="40" t="n"/>
      <c r="J225" s="40" t="n"/>
      <c r="K225" s="41" t="n"/>
      <c r="L225" s="40" t="n"/>
      <c r="M225" s="40" t="n"/>
    </row>
    <row r="226">
      <c r="A226" s="39">
        <f>IF(K226="","","RV-"&amp;TEXT(ROW()-4,"0000"))</f>
        <v/>
      </c>
      <c r="B226" s="47" t="n"/>
      <c r="C226" s="40" t="n"/>
      <c r="D226" s="50" t="n"/>
      <c r="E226" s="49">
        <f>IF(D226="","",IFERROR(INDEX('المشروعات'!$B$5:$B$304,MATCH(D226,'المشروعات'!$A$5:$A$304,0)),""))</f>
        <v/>
      </c>
      <c r="F226" s="40" t="n"/>
      <c r="G226" s="40" t="n"/>
      <c r="H226" s="40" t="n"/>
      <c r="I226" s="40" t="n"/>
      <c r="J226" s="40" t="n"/>
      <c r="K226" s="41" t="n"/>
      <c r="L226" s="40" t="n"/>
      <c r="M226" s="40" t="n"/>
    </row>
    <row r="227">
      <c r="A227" s="39">
        <f>IF(K227="","","RV-"&amp;TEXT(ROW()-4,"0000"))</f>
        <v/>
      </c>
      <c r="B227" s="47" t="n"/>
      <c r="C227" s="40" t="n"/>
      <c r="D227" s="50" t="n"/>
      <c r="E227" s="49">
        <f>IF(D227="","",IFERROR(INDEX('المشروعات'!$B$5:$B$304,MATCH(D227,'المشروعات'!$A$5:$A$304,0)),""))</f>
        <v/>
      </c>
      <c r="F227" s="40" t="n"/>
      <c r="G227" s="40" t="n"/>
      <c r="H227" s="40" t="n"/>
      <c r="I227" s="40" t="n"/>
      <c r="J227" s="40" t="n"/>
      <c r="K227" s="41" t="n"/>
      <c r="L227" s="40" t="n"/>
      <c r="M227" s="40" t="n"/>
    </row>
    <row r="228">
      <c r="A228" s="39">
        <f>IF(K228="","","RV-"&amp;TEXT(ROW()-4,"0000"))</f>
        <v/>
      </c>
      <c r="B228" s="47" t="n"/>
      <c r="C228" s="40" t="n"/>
      <c r="D228" s="50" t="n"/>
      <c r="E228" s="49">
        <f>IF(D228="","",IFERROR(INDEX('المشروعات'!$B$5:$B$304,MATCH(D228,'المشروعات'!$A$5:$A$304,0)),""))</f>
        <v/>
      </c>
      <c r="F228" s="40" t="n"/>
      <c r="G228" s="40" t="n"/>
      <c r="H228" s="40" t="n"/>
      <c r="I228" s="40" t="n"/>
      <c r="J228" s="40" t="n"/>
      <c r="K228" s="41" t="n"/>
      <c r="L228" s="40" t="n"/>
      <c r="M228" s="40" t="n"/>
    </row>
    <row r="229">
      <c r="A229" s="39">
        <f>IF(K229="","","RV-"&amp;TEXT(ROW()-4,"0000"))</f>
        <v/>
      </c>
      <c r="B229" s="47" t="n"/>
      <c r="C229" s="40" t="n"/>
      <c r="D229" s="50" t="n"/>
      <c r="E229" s="49">
        <f>IF(D229="","",IFERROR(INDEX('المشروعات'!$B$5:$B$304,MATCH(D229,'المشروعات'!$A$5:$A$304,0)),""))</f>
        <v/>
      </c>
      <c r="F229" s="40" t="n"/>
      <c r="G229" s="40" t="n"/>
      <c r="H229" s="40" t="n"/>
      <c r="I229" s="40" t="n"/>
      <c r="J229" s="40" t="n"/>
      <c r="K229" s="41" t="n"/>
      <c r="L229" s="40" t="n"/>
      <c r="M229" s="40" t="n"/>
    </row>
    <row r="230">
      <c r="A230" s="39">
        <f>IF(K230="","","RV-"&amp;TEXT(ROW()-4,"0000"))</f>
        <v/>
      </c>
      <c r="B230" s="47" t="n"/>
      <c r="C230" s="40" t="n"/>
      <c r="D230" s="50" t="n"/>
      <c r="E230" s="49">
        <f>IF(D230="","",IFERROR(INDEX('المشروعات'!$B$5:$B$304,MATCH(D230,'المشروعات'!$A$5:$A$304,0)),""))</f>
        <v/>
      </c>
      <c r="F230" s="40" t="n"/>
      <c r="G230" s="40" t="n"/>
      <c r="H230" s="40" t="n"/>
      <c r="I230" s="40" t="n"/>
      <c r="J230" s="40" t="n"/>
      <c r="K230" s="41" t="n"/>
      <c r="L230" s="40" t="n"/>
      <c r="M230" s="40" t="n"/>
    </row>
    <row r="231">
      <c r="A231" s="39">
        <f>IF(K231="","","RV-"&amp;TEXT(ROW()-4,"0000"))</f>
        <v/>
      </c>
      <c r="B231" s="47" t="n"/>
      <c r="C231" s="40" t="n"/>
      <c r="D231" s="50" t="n"/>
      <c r="E231" s="49">
        <f>IF(D231="","",IFERROR(INDEX('المشروعات'!$B$5:$B$304,MATCH(D231,'المشروعات'!$A$5:$A$304,0)),""))</f>
        <v/>
      </c>
      <c r="F231" s="40" t="n"/>
      <c r="G231" s="40" t="n"/>
      <c r="H231" s="40" t="n"/>
      <c r="I231" s="40" t="n"/>
      <c r="J231" s="40" t="n"/>
      <c r="K231" s="41" t="n"/>
      <c r="L231" s="40" t="n"/>
      <c r="M231" s="40" t="n"/>
    </row>
    <row r="232">
      <c r="A232" s="39">
        <f>IF(K232="","","RV-"&amp;TEXT(ROW()-4,"0000"))</f>
        <v/>
      </c>
      <c r="B232" s="47" t="n"/>
      <c r="C232" s="40" t="n"/>
      <c r="D232" s="50" t="n"/>
      <c r="E232" s="49">
        <f>IF(D232="","",IFERROR(INDEX('المشروعات'!$B$5:$B$304,MATCH(D232,'المشروعات'!$A$5:$A$304,0)),""))</f>
        <v/>
      </c>
      <c r="F232" s="40" t="n"/>
      <c r="G232" s="40" t="n"/>
      <c r="H232" s="40" t="n"/>
      <c r="I232" s="40" t="n"/>
      <c r="J232" s="40" t="n"/>
      <c r="K232" s="41" t="n"/>
      <c r="L232" s="40" t="n"/>
      <c r="M232" s="40" t="n"/>
    </row>
    <row r="233">
      <c r="A233" s="39">
        <f>IF(K233="","","RV-"&amp;TEXT(ROW()-4,"0000"))</f>
        <v/>
      </c>
      <c r="B233" s="47" t="n"/>
      <c r="C233" s="40" t="n"/>
      <c r="D233" s="50" t="n"/>
      <c r="E233" s="49">
        <f>IF(D233="","",IFERROR(INDEX('المشروعات'!$B$5:$B$304,MATCH(D233,'المشروعات'!$A$5:$A$304,0)),""))</f>
        <v/>
      </c>
      <c r="F233" s="40" t="n"/>
      <c r="G233" s="40" t="n"/>
      <c r="H233" s="40" t="n"/>
      <c r="I233" s="40" t="n"/>
      <c r="J233" s="40" t="n"/>
      <c r="K233" s="41" t="n"/>
      <c r="L233" s="40" t="n"/>
      <c r="M233" s="40" t="n"/>
    </row>
    <row r="234">
      <c r="A234" s="39">
        <f>IF(K234="","","RV-"&amp;TEXT(ROW()-4,"0000"))</f>
        <v/>
      </c>
      <c r="B234" s="47" t="n"/>
      <c r="C234" s="40" t="n"/>
      <c r="D234" s="50" t="n"/>
      <c r="E234" s="49">
        <f>IF(D234="","",IFERROR(INDEX('المشروعات'!$B$5:$B$304,MATCH(D234,'المشروعات'!$A$5:$A$304,0)),""))</f>
        <v/>
      </c>
      <c r="F234" s="40" t="n"/>
      <c r="G234" s="40" t="n"/>
      <c r="H234" s="40" t="n"/>
      <c r="I234" s="40" t="n"/>
      <c r="J234" s="40" t="n"/>
      <c r="K234" s="41" t="n"/>
      <c r="L234" s="40" t="n"/>
      <c r="M234" s="40" t="n"/>
    </row>
    <row r="235">
      <c r="A235" s="39">
        <f>IF(K235="","","RV-"&amp;TEXT(ROW()-4,"0000"))</f>
        <v/>
      </c>
      <c r="B235" s="47" t="n"/>
      <c r="C235" s="40" t="n"/>
      <c r="D235" s="50" t="n"/>
      <c r="E235" s="49">
        <f>IF(D235="","",IFERROR(INDEX('المشروعات'!$B$5:$B$304,MATCH(D235,'المشروعات'!$A$5:$A$304,0)),""))</f>
        <v/>
      </c>
      <c r="F235" s="40" t="n"/>
      <c r="G235" s="40" t="n"/>
      <c r="H235" s="40" t="n"/>
      <c r="I235" s="40" t="n"/>
      <c r="J235" s="40" t="n"/>
      <c r="K235" s="41" t="n"/>
      <c r="L235" s="40" t="n"/>
      <c r="M235" s="40" t="n"/>
    </row>
    <row r="236">
      <c r="A236" s="39">
        <f>IF(K236="","","RV-"&amp;TEXT(ROW()-4,"0000"))</f>
        <v/>
      </c>
      <c r="B236" s="47" t="n"/>
      <c r="C236" s="40" t="n"/>
      <c r="D236" s="50" t="n"/>
      <c r="E236" s="49">
        <f>IF(D236="","",IFERROR(INDEX('المشروعات'!$B$5:$B$304,MATCH(D236,'المشروعات'!$A$5:$A$304,0)),""))</f>
        <v/>
      </c>
      <c r="F236" s="40" t="n"/>
      <c r="G236" s="40" t="n"/>
      <c r="H236" s="40" t="n"/>
      <c r="I236" s="40" t="n"/>
      <c r="J236" s="40" t="n"/>
      <c r="K236" s="41" t="n"/>
      <c r="L236" s="40" t="n"/>
      <c r="M236" s="40" t="n"/>
    </row>
    <row r="237">
      <c r="A237" s="39">
        <f>IF(K237="","","RV-"&amp;TEXT(ROW()-4,"0000"))</f>
        <v/>
      </c>
      <c r="B237" s="47" t="n"/>
      <c r="C237" s="40" t="n"/>
      <c r="D237" s="50" t="n"/>
      <c r="E237" s="49">
        <f>IF(D237="","",IFERROR(INDEX('المشروعات'!$B$5:$B$304,MATCH(D237,'المشروعات'!$A$5:$A$304,0)),""))</f>
        <v/>
      </c>
      <c r="F237" s="40" t="n"/>
      <c r="G237" s="40" t="n"/>
      <c r="H237" s="40" t="n"/>
      <c r="I237" s="40" t="n"/>
      <c r="J237" s="40" t="n"/>
      <c r="K237" s="41" t="n"/>
      <c r="L237" s="40" t="n"/>
      <c r="M237" s="40" t="n"/>
    </row>
    <row r="238">
      <c r="A238" s="39">
        <f>IF(K238="","","RV-"&amp;TEXT(ROW()-4,"0000"))</f>
        <v/>
      </c>
      <c r="B238" s="47" t="n"/>
      <c r="C238" s="40" t="n"/>
      <c r="D238" s="50" t="n"/>
      <c r="E238" s="49">
        <f>IF(D238="","",IFERROR(INDEX('المشروعات'!$B$5:$B$304,MATCH(D238,'المشروعات'!$A$5:$A$304,0)),""))</f>
        <v/>
      </c>
      <c r="F238" s="40" t="n"/>
      <c r="G238" s="40" t="n"/>
      <c r="H238" s="40" t="n"/>
      <c r="I238" s="40" t="n"/>
      <c r="J238" s="40" t="n"/>
      <c r="K238" s="41" t="n"/>
      <c r="L238" s="40" t="n"/>
      <c r="M238" s="40" t="n"/>
    </row>
    <row r="239">
      <c r="A239" s="39">
        <f>IF(K239="","","RV-"&amp;TEXT(ROW()-4,"0000"))</f>
        <v/>
      </c>
      <c r="B239" s="47" t="n"/>
      <c r="C239" s="40" t="n"/>
      <c r="D239" s="50" t="n"/>
      <c r="E239" s="49">
        <f>IF(D239="","",IFERROR(INDEX('المشروعات'!$B$5:$B$304,MATCH(D239,'المشروعات'!$A$5:$A$304,0)),""))</f>
        <v/>
      </c>
      <c r="F239" s="40" t="n"/>
      <c r="G239" s="40" t="n"/>
      <c r="H239" s="40" t="n"/>
      <c r="I239" s="40" t="n"/>
      <c r="J239" s="40" t="n"/>
      <c r="K239" s="41" t="n"/>
      <c r="L239" s="40" t="n"/>
      <c r="M239" s="40" t="n"/>
    </row>
    <row r="240">
      <c r="A240" s="39">
        <f>IF(K240="","","RV-"&amp;TEXT(ROW()-4,"0000"))</f>
        <v/>
      </c>
      <c r="B240" s="47" t="n"/>
      <c r="C240" s="40" t="n"/>
      <c r="D240" s="50" t="n"/>
      <c r="E240" s="49">
        <f>IF(D240="","",IFERROR(INDEX('المشروعات'!$B$5:$B$304,MATCH(D240,'المشروعات'!$A$5:$A$304,0)),""))</f>
        <v/>
      </c>
      <c r="F240" s="40" t="n"/>
      <c r="G240" s="40" t="n"/>
      <c r="H240" s="40" t="n"/>
      <c r="I240" s="40" t="n"/>
      <c r="J240" s="40" t="n"/>
      <c r="K240" s="41" t="n"/>
      <c r="L240" s="40" t="n"/>
      <c r="M240" s="40" t="n"/>
    </row>
    <row r="241">
      <c r="A241" s="39">
        <f>IF(K241="","","RV-"&amp;TEXT(ROW()-4,"0000"))</f>
        <v/>
      </c>
      <c r="B241" s="47" t="n"/>
      <c r="C241" s="40" t="n"/>
      <c r="D241" s="50" t="n"/>
      <c r="E241" s="49">
        <f>IF(D241="","",IFERROR(INDEX('المشروعات'!$B$5:$B$304,MATCH(D241,'المشروعات'!$A$5:$A$304,0)),""))</f>
        <v/>
      </c>
      <c r="F241" s="40" t="n"/>
      <c r="G241" s="40" t="n"/>
      <c r="H241" s="40" t="n"/>
      <c r="I241" s="40" t="n"/>
      <c r="J241" s="40" t="n"/>
      <c r="K241" s="41" t="n"/>
      <c r="L241" s="40" t="n"/>
      <c r="M241" s="40" t="n"/>
    </row>
    <row r="242">
      <c r="A242" s="39">
        <f>IF(K242="","","RV-"&amp;TEXT(ROW()-4,"0000"))</f>
        <v/>
      </c>
      <c r="B242" s="47" t="n"/>
      <c r="C242" s="40" t="n"/>
      <c r="D242" s="50" t="n"/>
      <c r="E242" s="49">
        <f>IF(D242="","",IFERROR(INDEX('المشروعات'!$B$5:$B$304,MATCH(D242,'المشروعات'!$A$5:$A$304,0)),""))</f>
        <v/>
      </c>
      <c r="F242" s="40" t="n"/>
      <c r="G242" s="40" t="n"/>
      <c r="H242" s="40" t="n"/>
      <c r="I242" s="40" t="n"/>
      <c r="J242" s="40" t="n"/>
      <c r="K242" s="41" t="n"/>
      <c r="L242" s="40" t="n"/>
      <c r="M242" s="40" t="n"/>
    </row>
    <row r="243">
      <c r="A243" s="39">
        <f>IF(K243="","","RV-"&amp;TEXT(ROW()-4,"0000"))</f>
        <v/>
      </c>
      <c r="B243" s="47" t="n"/>
      <c r="C243" s="40" t="n"/>
      <c r="D243" s="50" t="n"/>
      <c r="E243" s="49">
        <f>IF(D243="","",IFERROR(INDEX('المشروعات'!$B$5:$B$304,MATCH(D243,'المشروعات'!$A$5:$A$304,0)),""))</f>
        <v/>
      </c>
      <c r="F243" s="40" t="n"/>
      <c r="G243" s="40" t="n"/>
      <c r="H243" s="40" t="n"/>
      <c r="I243" s="40" t="n"/>
      <c r="J243" s="40" t="n"/>
      <c r="K243" s="41" t="n"/>
      <c r="L243" s="40" t="n"/>
      <c r="M243" s="40" t="n"/>
    </row>
    <row r="244">
      <c r="A244" s="39">
        <f>IF(K244="","","RV-"&amp;TEXT(ROW()-4,"0000"))</f>
        <v/>
      </c>
      <c r="B244" s="47" t="n"/>
      <c r="C244" s="40" t="n"/>
      <c r="D244" s="50" t="n"/>
      <c r="E244" s="49">
        <f>IF(D244="","",IFERROR(INDEX('المشروعات'!$B$5:$B$304,MATCH(D244,'المشروعات'!$A$5:$A$304,0)),""))</f>
        <v/>
      </c>
      <c r="F244" s="40" t="n"/>
      <c r="G244" s="40" t="n"/>
      <c r="H244" s="40" t="n"/>
      <c r="I244" s="40" t="n"/>
      <c r="J244" s="40" t="n"/>
      <c r="K244" s="41" t="n"/>
      <c r="L244" s="40" t="n"/>
      <c r="M244" s="40" t="n"/>
    </row>
    <row r="245">
      <c r="A245" s="39">
        <f>IF(K245="","","RV-"&amp;TEXT(ROW()-4,"0000"))</f>
        <v/>
      </c>
      <c r="B245" s="47" t="n"/>
      <c r="C245" s="40" t="n"/>
      <c r="D245" s="50" t="n"/>
      <c r="E245" s="49">
        <f>IF(D245="","",IFERROR(INDEX('المشروعات'!$B$5:$B$304,MATCH(D245,'المشروعات'!$A$5:$A$304,0)),""))</f>
        <v/>
      </c>
      <c r="F245" s="40" t="n"/>
      <c r="G245" s="40" t="n"/>
      <c r="H245" s="40" t="n"/>
      <c r="I245" s="40" t="n"/>
      <c r="J245" s="40" t="n"/>
      <c r="K245" s="41" t="n"/>
      <c r="L245" s="40" t="n"/>
      <c r="M245" s="40" t="n"/>
    </row>
    <row r="246">
      <c r="A246" s="39">
        <f>IF(K246="","","RV-"&amp;TEXT(ROW()-4,"0000"))</f>
        <v/>
      </c>
      <c r="B246" s="47" t="n"/>
      <c r="C246" s="40" t="n"/>
      <c r="D246" s="50" t="n"/>
      <c r="E246" s="49">
        <f>IF(D246="","",IFERROR(INDEX('المشروعات'!$B$5:$B$304,MATCH(D246,'المشروعات'!$A$5:$A$304,0)),""))</f>
        <v/>
      </c>
      <c r="F246" s="40" t="n"/>
      <c r="G246" s="40" t="n"/>
      <c r="H246" s="40" t="n"/>
      <c r="I246" s="40" t="n"/>
      <c r="J246" s="40" t="n"/>
      <c r="K246" s="41" t="n"/>
      <c r="L246" s="40" t="n"/>
      <c r="M246" s="40" t="n"/>
    </row>
    <row r="247">
      <c r="A247" s="39">
        <f>IF(K247="","","RV-"&amp;TEXT(ROW()-4,"0000"))</f>
        <v/>
      </c>
      <c r="B247" s="47" t="n"/>
      <c r="C247" s="40" t="n"/>
      <c r="D247" s="50" t="n"/>
      <c r="E247" s="49">
        <f>IF(D247="","",IFERROR(INDEX('المشروعات'!$B$5:$B$304,MATCH(D247,'المشروعات'!$A$5:$A$304,0)),""))</f>
        <v/>
      </c>
      <c r="F247" s="40" t="n"/>
      <c r="G247" s="40" t="n"/>
      <c r="H247" s="40" t="n"/>
      <c r="I247" s="40" t="n"/>
      <c r="J247" s="40" t="n"/>
      <c r="K247" s="41" t="n"/>
      <c r="L247" s="40" t="n"/>
      <c r="M247" s="40" t="n"/>
    </row>
    <row r="248">
      <c r="A248" s="39">
        <f>IF(K248="","","RV-"&amp;TEXT(ROW()-4,"0000"))</f>
        <v/>
      </c>
      <c r="B248" s="47" t="n"/>
      <c r="C248" s="40" t="n"/>
      <c r="D248" s="50" t="n"/>
      <c r="E248" s="49">
        <f>IF(D248="","",IFERROR(INDEX('المشروعات'!$B$5:$B$304,MATCH(D248,'المشروعات'!$A$5:$A$304,0)),""))</f>
        <v/>
      </c>
      <c r="F248" s="40" t="n"/>
      <c r="G248" s="40" t="n"/>
      <c r="H248" s="40" t="n"/>
      <c r="I248" s="40" t="n"/>
      <c r="J248" s="40" t="n"/>
      <c r="K248" s="41" t="n"/>
      <c r="L248" s="40" t="n"/>
      <c r="M248" s="40" t="n"/>
    </row>
    <row r="249">
      <c r="A249" s="39">
        <f>IF(K249="","","RV-"&amp;TEXT(ROW()-4,"0000"))</f>
        <v/>
      </c>
      <c r="B249" s="47" t="n"/>
      <c r="C249" s="40" t="n"/>
      <c r="D249" s="50" t="n"/>
      <c r="E249" s="49">
        <f>IF(D249="","",IFERROR(INDEX('المشروعات'!$B$5:$B$304,MATCH(D249,'المشروعات'!$A$5:$A$304,0)),""))</f>
        <v/>
      </c>
      <c r="F249" s="40" t="n"/>
      <c r="G249" s="40" t="n"/>
      <c r="H249" s="40" t="n"/>
      <c r="I249" s="40" t="n"/>
      <c r="J249" s="40" t="n"/>
      <c r="K249" s="41" t="n"/>
      <c r="L249" s="40" t="n"/>
      <c r="M249" s="40" t="n"/>
    </row>
    <row r="250">
      <c r="A250" s="39">
        <f>IF(K250="","","RV-"&amp;TEXT(ROW()-4,"0000"))</f>
        <v/>
      </c>
      <c r="B250" s="47" t="n"/>
      <c r="C250" s="40" t="n"/>
      <c r="D250" s="50" t="n"/>
      <c r="E250" s="49">
        <f>IF(D250="","",IFERROR(INDEX('المشروعات'!$B$5:$B$304,MATCH(D250,'المشروعات'!$A$5:$A$304,0)),""))</f>
        <v/>
      </c>
      <c r="F250" s="40" t="n"/>
      <c r="G250" s="40" t="n"/>
      <c r="H250" s="40" t="n"/>
      <c r="I250" s="40" t="n"/>
      <c r="J250" s="40" t="n"/>
      <c r="K250" s="41" t="n"/>
      <c r="L250" s="40" t="n"/>
      <c r="M250" s="40" t="n"/>
    </row>
    <row r="251">
      <c r="A251" s="39">
        <f>IF(K251="","","RV-"&amp;TEXT(ROW()-4,"0000"))</f>
        <v/>
      </c>
      <c r="B251" s="47" t="n"/>
      <c r="C251" s="40" t="n"/>
      <c r="D251" s="50" t="n"/>
      <c r="E251" s="49">
        <f>IF(D251="","",IFERROR(INDEX('المشروعات'!$B$5:$B$304,MATCH(D251,'المشروعات'!$A$5:$A$304,0)),""))</f>
        <v/>
      </c>
      <c r="F251" s="40" t="n"/>
      <c r="G251" s="40" t="n"/>
      <c r="H251" s="40" t="n"/>
      <c r="I251" s="40" t="n"/>
      <c r="J251" s="40" t="n"/>
      <c r="K251" s="41" t="n"/>
      <c r="L251" s="40" t="n"/>
      <c r="M251" s="40" t="n"/>
    </row>
    <row r="252">
      <c r="A252" s="39">
        <f>IF(K252="","","RV-"&amp;TEXT(ROW()-4,"0000"))</f>
        <v/>
      </c>
      <c r="B252" s="47" t="n"/>
      <c r="C252" s="40" t="n"/>
      <c r="D252" s="50" t="n"/>
      <c r="E252" s="49">
        <f>IF(D252="","",IFERROR(INDEX('المشروعات'!$B$5:$B$304,MATCH(D252,'المشروعات'!$A$5:$A$304,0)),""))</f>
        <v/>
      </c>
      <c r="F252" s="40" t="n"/>
      <c r="G252" s="40" t="n"/>
      <c r="H252" s="40" t="n"/>
      <c r="I252" s="40" t="n"/>
      <c r="J252" s="40" t="n"/>
      <c r="K252" s="41" t="n"/>
      <c r="L252" s="40" t="n"/>
      <c r="M252" s="40" t="n"/>
    </row>
    <row r="253">
      <c r="A253" s="39">
        <f>IF(K253="","","RV-"&amp;TEXT(ROW()-4,"0000"))</f>
        <v/>
      </c>
      <c r="B253" s="47" t="n"/>
      <c r="C253" s="40" t="n"/>
      <c r="D253" s="50" t="n"/>
      <c r="E253" s="49">
        <f>IF(D253="","",IFERROR(INDEX('المشروعات'!$B$5:$B$304,MATCH(D253,'المشروعات'!$A$5:$A$304,0)),""))</f>
        <v/>
      </c>
      <c r="F253" s="40" t="n"/>
      <c r="G253" s="40" t="n"/>
      <c r="H253" s="40" t="n"/>
      <c r="I253" s="40" t="n"/>
      <c r="J253" s="40" t="n"/>
      <c r="K253" s="41" t="n"/>
      <c r="L253" s="40" t="n"/>
      <c r="M253" s="40" t="n"/>
    </row>
    <row r="254">
      <c r="A254" s="39">
        <f>IF(K254="","","RV-"&amp;TEXT(ROW()-4,"0000"))</f>
        <v/>
      </c>
      <c r="B254" s="47" t="n"/>
      <c r="C254" s="40" t="n"/>
      <c r="D254" s="50" t="n"/>
      <c r="E254" s="49">
        <f>IF(D254="","",IFERROR(INDEX('المشروعات'!$B$5:$B$304,MATCH(D254,'المشروعات'!$A$5:$A$304,0)),""))</f>
        <v/>
      </c>
      <c r="F254" s="40" t="n"/>
      <c r="G254" s="40" t="n"/>
      <c r="H254" s="40" t="n"/>
      <c r="I254" s="40" t="n"/>
      <c r="J254" s="40" t="n"/>
      <c r="K254" s="41" t="n"/>
      <c r="L254" s="40" t="n"/>
      <c r="M254" s="40" t="n"/>
    </row>
    <row r="255">
      <c r="A255" s="39">
        <f>IF(K255="","","RV-"&amp;TEXT(ROW()-4,"0000"))</f>
        <v/>
      </c>
      <c r="B255" s="47" t="n"/>
      <c r="C255" s="40" t="n"/>
      <c r="D255" s="50" t="n"/>
      <c r="E255" s="49">
        <f>IF(D255="","",IFERROR(INDEX('المشروعات'!$B$5:$B$304,MATCH(D255,'المشروعات'!$A$5:$A$304,0)),""))</f>
        <v/>
      </c>
      <c r="F255" s="40" t="n"/>
      <c r="G255" s="40" t="n"/>
      <c r="H255" s="40" t="n"/>
      <c r="I255" s="40" t="n"/>
      <c r="J255" s="40" t="n"/>
      <c r="K255" s="41" t="n"/>
      <c r="L255" s="40" t="n"/>
      <c r="M255" s="40" t="n"/>
    </row>
    <row r="256">
      <c r="A256" s="39">
        <f>IF(K256="","","RV-"&amp;TEXT(ROW()-4,"0000"))</f>
        <v/>
      </c>
      <c r="B256" s="47" t="n"/>
      <c r="C256" s="40" t="n"/>
      <c r="D256" s="50" t="n"/>
      <c r="E256" s="49">
        <f>IF(D256="","",IFERROR(INDEX('المشروعات'!$B$5:$B$304,MATCH(D256,'المشروعات'!$A$5:$A$304,0)),""))</f>
        <v/>
      </c>
      <c r="F256" s="40" t="n"/>
      <c r="G256" s="40" t="n"/>
      <c r="H256" s="40" t="n"/>
      <c r="I256" s="40" t="n"/>
      <c r="J256" s="40" t="n"/>
      <c r="K256" s="41" t="n"/>
      <c r="L256" s="40" t="n"/>
      <c r="M256" s="40" t="n"/>
    </row>
    <row r="257">
      <c r="A257" s="39">
        <f>IF(K257="","","RV-"&amp;TEXT(ROW()-4,"0000"))</f>
        <v/>
      </c>
      <c r="B257" s="47" t="n"/>
      <c r="C257" s="40" t="n"/>
      <c r="D257" s="50" t="n"/>
      <c r="E257" s="49">
        <f>IF(D257="","",IFERROR(INDEX('المشروعات'!$B$5:$B$304,MATCH(D257,'المشروعات'!$A$5:$A$304,0)),""))</f>
        <v/>
      </c>
      <c r="F257" s="40" t="n"/>
      <c r="G257" s="40" t="n"/>
      <c r="H257" s="40" t="n"/>
      <c r="I257" s="40" t="n"/>
      <c r="J257" s="40" t="n"/>
      <c r="K257" s="41" t="n"/>
      <c r="L257" s="40" t="n"/>
      <c r="M257" s="40" t="n"/>
    </row>
    <row r="258">
      <c r="A258" s="39">
        <f>IF(K258="","","RV-"&amp;TEXT(ROW()-4,"0000"))</f>
        <v/>
      </c>
      <c r="B258" s="47" t="n"/>
      <c r="C258" s="40" t="n"/>
      <c r="D258" s="50" t="n"/>
      <c r="E258" s="49">
        <f>IF(D258="","",IFERROR(INDEX('المشروعات'!$B$5:$B$304,MATCH(D258,'المشروعات'!$A$5:$A$304,0)),""))</f>
        <v/>
      </c>
      <c r="F258" s="40" t="n"/>
      <c r="G258" s="40" t="n"/>
      <c r="H258" s="40" t="n"/>
      <c r="I258" s="40" t="n"/>
      <c r="J258" s="40" t="n"/>
      <c r="K258" s="41" t="n"/>
      <c r="L258" s="40" t="n"/>
      <c r="M258" s="40" t="n"/>
    </row>
    <row r="259">
      <c r="A259" s="39">
        <f>IF(K259="","","RV-"&amp;TEXT(ROW()-4,"0000"))</f>
        <v/>
      </c>
      <c r="B259" s="47" t="n"/>
      <c r="C259" s="40" t="n"/>
      <c r="D259" s="50" t="n"/>
      <c r="E259" s="49">
        <f>IF(D259="","",IFERROR(INDEX('المشروعات'!$B$5:$B$304,MATCH(D259,'المشروعات'!$A$5:$A$304,0)),""))</f>
        <v/>
      </c>
      <c r="F259" s="40" t="n"/>
      <c r="G259" s="40" t="n"/>
      <c r="H259" s="40" t="n"/>
      <c r="I259" s="40" t="n"/>
      <c r="J259" s="40" t="n"/>
      <c r="K259" s="41" t="n"/>
      <c r="L259" s="40" t="n"/>
      <c r="M259" s="40" t="n"/>
    </row>
    <row r="260">
      <c r="A260" s="39">
        <f>IF(K260="","","RV-"&amp;TEXT(ROW()-4,"0000"))</f>
        <v/>
      </c>
      <c r="B260" s="47" t="n"/>
      <c r="C260" s="40" t="n"/>
      <c r="D260" s="50" t="n"/>
      <c r="E260" s="49">
        <f>IF(D260="","",IFERROR(INDEX('المشروعات'!$B$5:$B$304,MATCH(D260,'المشروعات'!$A$5:$A$304,0)),""))</f>
        <v/>
      </c>
      <c r="F260" s="40" t="n"/>
      <c r="G260" s="40" t="n"/>
      <c r="H260" s="40" t="n"/>
      <c r="I260" s="40" t="n"/>
      <c r="J260" s="40" t="n"/>
      <c r="K260" s="41" t="n"/>
      <c r="L260" s="40" t="n"/>
      <c r="M260" s="40" t="n"/>
    </row>
    <row r="261">
      <c r="A261" s="39">
        <f>IF(K261="","","RV-"&amp;TEXT(ROW()-4,"0000"))</f>
        <v/>
      </c>
      <c r="B261" s="47" t="n"/>
      <c r="C261" s="40" t="n"/>
      <c r="D261" s="50" t="n"/>
      <c r="E261" s="49">
        <f>IF(D261="","",IFERROR(INDEX('المشروعات'!$B$5:$B$304,MATCH(D261,'المشروعات'!$A$5:$A$304,0)),""))</f>
        <v/>
      </c>
      <c r="F261" s="40" t="n"/>
      <c r="G261" s="40" t="n"/>
      <c r="H261" s="40" t="n"/>
      <c r="I261" s="40" t="n"/>
      <c r="J261" s="40" t="n"/>
      <c r="K261" s="41" t="n"/>
      <c r="L261" s="40" t="n"/>
      <c r="M261" s="40" t="n"/>
    </row>
    <row r="262">
      <c r="A262" s="39">
        <f>IF(K262="","","RV-"&amp;TEXT(ROW()-4,"0000"))</f>
        <v/>
      </c>
      <c r="B262" s="47" t="n"/>
      <c r="C262" s="40" t="n"/>
      <c r="D262" s="50" t="n"/>
      <c r="E262" s="49">
        <f>IF(D262="","",IFERROR(INDEX('المشروعات'!$B$5:$B$304,MATCH(D262,'المشروعات'!$A$5:$A$304,0)),""))</f>
        <v/>
      </c>
      <c r="F262" s="40" t="n"/>
      <c r="G262" s="40" t="n"/>
      <c r="H262" s="40" t="n"/>
      <c r="I262" s="40" t="n"/>
      <c r="J262" s="40" t="n"/>
      <c r="K262" s="41" t="n"/>
      <c r="L262" s="40" t="n"/>
      <c r="M262" s="40" t="n"/>
    </row>
    <row r="263">
      <c r="A263" s="39">
        <f>IF(K263="","","RV-"&amp;TEXT(ROW()-4,"0000"))</f>
        <v/>
      </c>
      <c r="B263" s="47" t="n"/>
      <c r="C263" s="40" t="n"/>
      <c r="D263" s="50" t="n"/>
      <c r="E263" s="49">
        <f>IF(D263="","",IFERROR(INDEX('المشروعات'!$B$5:$B$304,MATCH(D263,'المشروعات'!$A$5:$A$304,0)),""))</f>
        <v/>
      </c>
      <c r="F263" s="40" t="n"/>
      <c r="G263" s="40" t="n"/>
      <c r="H263" s="40" t="n"/>
      <c r="I263" s="40" t="n"/>
      <c r="J263" s="40" t="n"/>
      <c r="K263" s="41" t="n"/>
      <c r="L263" s="40" t="n"/>
      <c r="M263" s="40" t="n"/>
    </row>
    <row r="264">
      <c r="A264" s="39">
        <f>IF(K264="","","RV-"&amp;TEXT(ROW()-4,"0000"))</f>
        <v/>
      </c>
      <c r="B264" s="47" t="n"/>
      <c r="C264" s="40" t="n"/>
      <c r="D264" s="50" t="n"/>
      <c r="E264" s="49">
        <f>IF(D264="","",IFERROR(INDEX('المشروعات'!$B$5:$B$304,MATCH(D264,'المشروعات'!$A$5:$A$304,0)),""))</f>
        <v/>
      </c>
      <c r="F264" s="40" t="n"/>
      <c r="G264" s="40" t="n"/>
      <c r="H264" s="40" t="n"/>
      <c r="I264" s="40" t="n"/>
      <c r="J264" s="40" t="n"/>
      <c r="K264" s="41" t="n"/>
      <c r="L264" s="40" t="n"/>
      <c r="M264" s="40" t="n"/>
    </row>
    <row r="265">
      <c r="A265" s="39">
        <f>IF(K265="","","RV-"&amp;TEXT(ROW()-4,"0000"))</f>
        <v/>
      </c>
      <c r="B265" s="47" t="n"/>
      <c r="C265" s="40" t="n"/>
      <c r="D265" s="50" t="n"/>
      <c r="E265" s="49">
        <f>IF(D265="","",IFERROR(INDEX('المشروعات'!$B$5:$B$304,MATCH(D265,'المشروعات'!$A$5:$A$304,0)),""))</f>
        <v/>
      </c>
      <c r="F265" s="40" t="n"/>
      <c r="G265" s="40" t="n"/>
      <c r="H265" s="40" t="n"/>
      <c r="I265" s="40" t="n"/>
      <c r="J265" s="40" t="n"/>
      <c r="K265" s="41" t="n"/>
      <c r="L265" s="40" t="n"/>
      <c r="M265" s="40" t="n"/>
    </row>
    <row r="266">
      <c r="A266" s="39">
        <f>IF(K266="","","RV-"&amp;TEXT(ROW()-4,"0000"))</f>
        <v/>
      </c>
      <c r="B266" s="47" t="n"/>
      <c r="C266" s="40" t="n"/>
      <c r="D266" s="50" t="n"/>
      <c r="E266" s="49">
        <f>IF(D266="","",IFERROR(INDEX('المشروعات'!$B$5:$B$304,MATCH(D266,'المشروعات'!$A$5:$A$304,0)),""))</f>
        <v/>
      </c>
      <c r="F266" s="40" t="n"/>
      <c r="G266" s="40" t="n"/>
      <c r="H266" s="40" t="n"/>
      <c r="I266" s="40" t="n"/>
      <c r="J266" s="40" t="n"/>
      <c r="K266" s="41" t="n"/>
      <c r="L266" s="40" t="n"/>
      <c r="M266" s="40" t="n"/>
    </row>
    <row r="267">
      <c r="A267" s="39">
        <f>IF(K267="","","RV-"&amp;TEXT(ROW()-4,"0000"))</f>
        <v/>
      </c>
      <c r="B267" s="47" t="n"/>
      <c r="C267" s="40" t="n"/>
      <c r="D267" s="50" t="n"/>
      <c r="E267" s="49">
        <f>IF(D267="","",IFERROR(INDEX('المشروعات'!$B$5:$B$304,MATCH(D267,'المشروعات'!$A$5:$A$304,0)),""))</f>
        <v/>
      </c>
      <c r="F267" s="40" t="n"/>
      <c r="G267" s="40" t="n"/>
      <c r="H267" s="40" t="n"/>
      <c r="I267" s="40" t="n"/>
      <c r="J267" s="40" t="n"/>
      <c r="K267" s="41" t="n"/>
      <c r="L267" s="40" t="n"/>
      <c r="M267" s="40" t="n"/>
    </row>
    <row r="268">
      <c r="A268" s="39">
        <f>IF(K268="","","RV-"&amp;TEXT(ROW()-4,"0000"))</f>
        <v/>
      </c>
      <c r="B268" s="47" t="n"/>
      <c r="C268" s="40" t="n"/>
      <c r="D268" s="50" t="n"/>
      <c r="E268" s="49">
        <f>IF(D268="","",IFERROR(INDEX('المشروعات'!$B$5:$B$304,MATCH(D268,'المشروعات'!$A$5:$A$304,0)),""))</f>
        <v/>
      </c>
      <c r="F268" s="40" t="n"/>
      <c r="G268" s="40" t="n"/>
      <c r="H268" s="40" t="n"/>
      <c r="I268" s="40" t="n"/>
      <c r="J268" s="40" t="n"/>
      <c r="K268" s="41" t="n"/>
      <c r="L268" s="40" t="n"/>
      <c r="M268" s="40" t="n"/>
    </row>
    <row r="269">
      <c r="A269" s="39">
        <f>IF(K269="","","RV-"&amp;TEXT(ROW()-4,"0000"))</f>
        <v/>
      </c>
      <c r="B269" s="47" t="n"/>
      <c r="C269" s="40" t="n"/>
      <c r="D269" s="50" t="n"/>
      <c r="E269" s="49">
        <f>IF(D269="","",IFERROR(INDEX('المشروعات'!$B$5:$B$304,MATCH(D269,'المشروعات'!$A$5:$A$304,0)),""))</f>
        <v/>
      </c>
      <c r="F269" s="40" t="n"/>
      <c r="G269" s="40" t="n"/>
      <c r="H269" s="40" t="n"/>
      <c r="I269" s="40" t="n"/>
      <c r="J269" s="40" t="n"/>
      <c r="K269" s="41" t="n"/>
      <c r="L269" s="40" t="n"/>
      <c r="M269" s="40" t="n"/>
    </row>
    <row r="270">
      <c r="A270" s="39">
        <f>IF(K270="","","RV-"&amp;TEXT(ROW()-4,"0000"))</f>
        <v/>
      </c>
      <c r="B270" s="47" t="n"/>
      <c r="C270" s="40" t="n"/>
      <c r="D270" s="50" t="n"/>
      <c r="E270" s="49">
        <f>IF(D270="","",IFERROR(INDEX('المشروعات'!$B$5:$B$304,MATCH(D270,'المشروعات'!$A$5:$A$304,0)),""))</f>
        <v/>
      </c>
      <c r="F270" s="40" t="n"/>
      <c r="G270" s="40" t="n"/>
      <c r="H270" s="40" t="n"/>
      <c r="I270" s="40" t="n"/>
      <c r="J270" s="40" t="n"/>
      <c r="K270" s="41" t="n"/>
      <c r="L270" s="40" t="n"/>
      <c r="M270" s="40" t="n"/>
    </row>
    <row r="271">
      <c r="A271" s="39">
        <f>IF(K271="","","RV-"&amp;TEXT(ROW()-4,"0000"))</f>
        <v/>
      </c>
      <c r="B271" s="47" t="n"/>
      <c r="C271" s="40" t="n"/>
      <c r="D271" s="50" t="n"/>
      <c r="E271" s="49">
        <f>IF(D271="","",IFERROR(INDEX('المشروعات'!$B$5:$B$304,MATCH(D271,'المشروعات'!$A$5:$A$304,0)),""))</f>
        <v/>
      </c>
      <c r="F271" s="40" t="n"/>
      <c r="G271" s="40" t="n"/>
      <c r="H271" s="40" t="n"/>
      <c r="I271" s="40" t="n"/>
      <c r="J271" s="40" t="n"/>
      <c r="K271" s="41" t="n"/>
      <c r="L271" s="40" t="n"/>
      <c r="M271" s="40" t="n"/>
    </row>
    <row r="272">
      <c r="A272" s="39">
        <f>IF(K272="","","RV-"&amp;TEXT(ROW()-4,"0000"))</f>
        <v/>
      </c>
      <c r="B272" s="47" t="n"/>
      <c r="C272" s="40" t="n"/>
      <c r="D272" s="50" t="n"/>
      <c r="E272" s="49">
        <f>IF(D272="","",IFERROR(INDEX('المشروعات'!$B$5:$B$304,MATCH(D272,'المشروعات'!$A$5:$A$304,0)),""))</f>
        <v/>
      </c>
      <c r="F272" s="40" t="n"/>
      <c r="G272" s="40" t="n"/>
      <c r="H272" s="40" t="n"/>
      <c r="I272" s="40" t="n"/>
      <c r="J272" s="40" t="n"/>
      <c r="K272" s="41" t="n"/>
      <c r="L272" s="40" t="n"/>
      <c r="M272" s="40" t="n"/>
    </row>
    <row r="273">
      <c r="A273" s="39">
        <f>IF(K273="","","RV-"&amp;TEXT(ROW()-4,"0000"))</f>
        <v/>
      </c>
      <c r="B273" s="47" t="n"/>
      <c r="C273" s="40" t="n"/>
      <c r="D273" s="50" t="n"/>
      <c r="E273" s="49">
        <f>IF(D273="","",IFERROR(INDEX('المشروعات'!$B$5:$B$304,MATCH(D273,'المشروعات'!$A$5:$A$304,0)),""))</f>
        <v/>
      </c>
      <c r="F273" s="40" t="n"/>
      <c r="G273" s="40" t="n"/>
      <c r="H273" s="40" t="n"/>
      <c r="I273" s="40" t="n"/>
      <c r="J273" s="40" t="n"/>
      <c r="K273" s="41" t="n"/>
      <c r="L273" s="40" t="n"/>
      <c r="M273" s="40" t="n"/>
    </row>
    <row r="274">
      <c r="A274" s="39">
        <f>IF(K274="","","RV-"&amp;TEXT(ROW()-4,"0000"))</f>
        <v/>
      </c>
      <c r="B274" s="47" t="n"/>
      <c r="C274" s="40" t="n"/>
      <c r="D274" s="50" t="n"/>
      <c r="E274" s="49">
        <f>IF(D274="","",IFERROR(INDEX('المشروعات'!$B$5:$B$304,MATCH(D274,'المشروعات'!$A$5:$A$304,0)),""))</f>
        <v/>
      </c>
      <c r="F274" s="40" t="n"/>
      <c r="G274" s="40" t="n"/>
      <c r="H274" s="40" t="n"/>
      <c r="I274" s="40" t="n"/>
      <c r="J274" s="40" t="n"/>
      <c r="K274" s="41" t="n"/>
      <c r="L274" s="40" t="n"/>
      <c r="M274" s="40" t="n"/>
    </row>
    <row r="275">
      <c r="A275" s="39">
        <f>IF(K275="","","RV-"&amp;TEXT(ROW()-4,"0000"))</f>
        <v/>
      </c>
      <c r="B275" s="47" t="n"/>
      <c r="C275" s="40" t="n"/>
      <c r="D275" s="50" t="n"/>
      <c r="E275" s="49">
        <f>IF(D275="","",IFERROR(INDEX('المشروعات'!$B$5:$B$304,MATCH(D275,'المشروعات'!$A$5:$A$304,0)),""))</f>
        <v/>
      </c>
      <c r="F275" s="40" t="n"/>
      <c r="G275" s="40" t="n"/>
      <c r="H275" s="40" t="n"/>
      <c r="I275" s="40" t="n"/>
      <c r="J275" s="40" t="n"/>
      <c r="K275" s="41" t="n"/>
      <c r="L275" s="40" t="n"/>
      <c r="M275" s="40" t="n"/>
    </row>
    <row r="276">
      <c r="A276" s="39">
        <f>IF(K276="","","RV-"&amp;TEXT(ROW()-4,"0000"))</f>
        <v/>
      </c>
      <c r="B276" s="47" t="n"/>
      <c r="C276" s="40" t="n"/>
      <c r="D276" s="50" t="n"/>
      <c r="E276" s="49">
        <f>IF(D276="","",IFERROR(INDEX('المشروعات'!$B$5:$B$304,MATCH(D276,'المشروعات'!$A$5:$A$304,0)),""))</f>
        <v/>
      </c>
      <c r="F276" s="40" t="n"/>
      <c r="G276" s="40" t="n"/>
      <c r="H276" s="40" t="n"/>
      <c r="I276" s="40" t="n"/>
      <c r="J276" s="40" t="n"/>
      <c r="K276" s="41" t="n"/>
      <c r="L276" s="40" t="n"/>
      <c r="M276" s="40" t="n"/>
    </row>
    <row r="277">
      <c r="A277" s="39">
        <f>IF(K277="","","RV-"&amp;TEXT(ROW()-4,"0000"))</f>
        <v/>
      </c>
      <c r="B277" s="47" t="n"/>
      <c r="C277" s="40" t="n"/>
      <c r="D277" s="50" t="n"/>
      <c r="E277" s="49">
        <f>IF(D277="","",IFERROR(INDEX('المشروعات'!$B$5:$B$304,MATCH(D277,'المشروعات'!$A$5:$A$304,0)),""))</f>
        <v/>
      </c>
      <c r="F277" s="40" t="n"/>
      <c r="G277" s="40" t="n"/>
      <c r="H277" s="40" t="n"/>
      <c r="I277" s="40" t="n"/>
      <c r="J277" s="40" t="n"/>
      <c r="K277" s="41" t="n"/>
      <c r="L277" s="40" t="n"/>
      <c r="M277" s="40" t="n"/>
    </row>
    <row r="278">
      <c r="A278" s="39">
        <f>IF(K278="","","RV-"&amp;TEXT(ROW()-4,"0000"))</f>
        <v/>
      </c>
      <c r="B278" s="47" t="n"/>
      <c r="C278" s="40" t="n"/>
      <c r="D278" s="50" t="n"/>
      <c r="E278" s="49">
        <f>IF(D278="","",IFERROR(INDEX('المشروعات'!$B$5:$B$304,MATCH(D278,'المشروعات'!$A$5:$A$304,0)),""))</f>
        <v/>
      </c>
      <c r="F278" s="40" t="n"/>
      <c r="G278" s="40" t="n"/>
      <c r="H278" s="40" t="n"/>
      <c r="I278" s="40" t="n"/>
      <c r="J278" s="40" t="n"/>
      <c r="K278" s="41" t="n"/>
      <c r="L278" s="40" t="n"/>
      <c r="M278" s="40" t="n"/>
    </row>
    <row r="279">
      <c r="A279" s="39">
        <f>IF(K279="","","RV-"&amp;TEXT(ROW()-4,"0000"))</f>
        <v/>
      </c>
      <c r="B279" s="47" t="n"/>
      <c r="C279" s="40" t="n"/>
      <c r="D279" s="50" t="n"/>
      <c r="E279" s="49">
        <f>IF(D279="","",IFERROR(INDEX('المشروعات'!$B$5:$B$304,MATCH(D279,'المشروعات'!$A$5:$A$304,0)),""))</f>
        <v/>
      </c>
      <c r="F279" s="40" t="n"/>
      <c r="G279" s="40" t="n"/>
      <c r="H279" s="40" t="n"/>
      <c r="I279" s="40" t="n"/>
      <c r="J279" s="40" t="n"/>
      <c r="K279" s="41" t="n"/>
      <c r="L279" s="40" t="n"/>
      <c r="M279" s="40" t="n"/>
    </row>
    <row r="280">
      <c r="A280" s="39">
        <f>IF(K280="","","RV-"&amp;TEXT(ROW()-4,"0000"))</f>
        <v/>
      </c>
      <c r="B280" s="47" t="n"/>
      <c r="C280" s="40" t="n"/>
      <c r="D280" s="50" t="n"/>
      <c r="E280" s="49">
        <f>IF(D280="","",IFERROR(INDEX('المشروعات'!$B$5:$B$304,MATCH(D280,'المشروعات'!$A$5:$A$304,0)),""))</f>
        <v/>
      </c>
      <c r="F280" s="40" t="n"/>
      <c r="G280" s="40" t="n"/>
      <c r="H280" s="40" t="n"/>
      <c r="I280" s="40" t="n"/>
      <c r="J280" s="40" t="n"/>
      <c r="K280" s="41" t="n"/>
      <c r="L280" s="40" t="n"/>
      <c r="M280" s="40" t="n"/>
    </row>
    <row r="281">
      <c r="A281" s="39">
        <f>IF(K281="","","RV-"&amp;TEXT(ROW()-4,"0000"))</f>
        <v/>
      </c>
      <c r="B281" s="47" t="n"/>
      <c r="C281" s="40" t="n"/>
      <c r="D281" s="50" t="n"/>
      <c r="E281" s="49">
        <f>IF(D281="","",IFERROR(INDEX('المشروعات'!$B$5:$B$304,MATCH(D281,'المشروعات'!$A$5:$A$304,0)),""))</f>
        <v/>
      </c>
      <c r="F281" s="40" t="n"/>
      <c r="G281" s="40" t="n"/>
      <c r="H281" s="40" t="n"/>
      <c r="I281" s="40" t="n"/>
      <c r="J281" s="40" t="n"/>
      <c r="K281" s="41" t="n"/>
      <c r="L281" s="40" t="n"/>
      <c r="M281" s="40" t="n"/>
    </row>
    <row r="282">
      <c r="A282" s="39">
        <f>IF(K282="","","RV-"&amp;TEXT(ROW()-4,"0000"))</f>
        <v/>
      </c>
      <c r="B282" s="47" t="n"/>
      <c r="C282" s="40" t="n"/>
      <c r="D282" s="50" t="n"/>
      <c r="E282" s="49">
        <f>IF(D282="","",IFERROR(INDEX('المشروعات'!$B$5:$B$304,MATCH(D282,'المشروعات'!$A$5:$A$304,0)),""))</f>
        <v/>
      </c>
      <c r="F282" s="40" t="n"/>
      <c r="G282" s="40" t="n"/>
      <c r="H282" s="40" t="n"/>
      <c r="I282" s="40" t="n"/>
      <c r="J282" s="40" t="n"/>
      <c r="K282" s="41" t="n"/>
      <c r="L282" s="40" t="n"/>
      <c r="M282" s="40" t="n"/>
    </row>
    <row r="283">
      <c r="A283" s="39">
        <f>IF(K283="","","RV-"&amp;TEXT(ROW()-4,"0000"))</f>
        <v/>
      </c>
      <c r="B283" s="47" t="n"/>
      <c r="C283" s="40" t="n"/>
      <c r="D283" s="50" t="n"/>
      <c r="E283" s="49">
        <f>IF(D283="","",IFERROR(INDEX('المشروعات'!$B$5:$B$304,MATCH(D283,'المشروعات'!$A$5:$A$304,0)),""))</f>
        <v/>
      </c>
      <c r="F283" s="40" t="n"/>
      <c r="G283" s="40" t="n"/>
      <c r="H283" s="40" t="n"/>
      <c r="I283" s="40" t="n"/>
      <c r="J283" s="40" t="n"/>
      <c r="K283" s="41" t="n"/>
      <c r="L283" s="40" t="n"/>
      <c r="M283" s="40" t="n"/>
    </row>
    <row r="284">
      <c r="A284" s="39">
        <f>IF(K284="","","RV-"&amp;TEXT(ROW()-4,"0000"))</f>
        <v/>
      </c>
      <c r="B284" s="47" t="n"/>
      <c r="C284" s="40" t="n"/>
      <c r="D284" s="50" t="n"/>
      <c r="E284" s="49">
        <f>IF(D284="","",IFERROR(INDEX('المشروعات'!$B$5:$B$304,MATCH(D284,'المشروعات'!$A$5:$A$304,0)),""))</f>
        <v/>
      </c>
      <c r="F284" s="40" t="n"/>
      <c r="G284" s="40" t="n"/>
      <c r="H284" s="40" t="n"/>
      <c r="I284" s="40" t="n"/>
      <c r="J284" s="40" t="n"/>
      <c r="K284" s="41" t="n"/>
      <c r="L284" s="40" t="n"/>
      <c r="M284" s="40" t="n"/>
    </row>
    <row r="285">
      <c r="A285" s="39">
        <f>IF(K285="","","RV-"&amp;TEXT(ROW()-4,"0000"))</f>
        <v/>
      </c>
      <c r="B285" s="47" t="n"/>
      <c r="C285" s="40" t="n"/>
      <c r="D285" s="50" t="n"/>
      <c r="E285" s="49">
        <f>IF(D285="","",IFERROR(INDEX('المشروعات'!$B$5:$B$304,MATCH(D285,'المشروعات'!$A$5:$A$304,0)),""))</f>
        <v/>
      </c>
      <c r="F285" s="40" t="n"/>
      <c r="G285" s="40" t="n"/>
      <c r="H285" s="40" t="n"/>
      <c r="I285" s="40" t="n"/>
      <c r="J285" s="40" t="n"/>
      <c r="K285" s="41" t="n"/>
      <c r="L285" s="40" t="n"/>
      <c r="M285" s="40" t="n"/>
    </row>
    <row r="286">
      <c r="A286" s="39">
        <f>IF(K286="","","RV-"&amp;TEXT(ROW()-4,"0000"))</f>
        <v/>
      </c>
      <c r="B286" s="47" t="n"/>
      <c r="C286" s="40" t="n"/>
      <c r="D286" s="50" t="n"/>
      <c r="E286" s="49">
        <f>IF(D286="","",IFERROR(INDEX('المشروعات'!$B$5:$B$304,MATCH(D286,'المشروعات'!$A$5:$A$304,0)),""))</f>
        <v/>
      </c>
      <c r="F286" s="40" t="n"/>
      <c r="G286" s="40" t="n"/>
      <c r="H286" s="40" t="n"/>
      <c r="I286" s="40" t="n"/>
      <c r="J286" s="40" t="n"/>
      <c r="K286" s="41" t="n"/>
      <c r="L286" s="40" t="n"/>
      <c r="M286" s="40" t="n"/>
    </row>
    <row r="287">
      <c r="A287" s="39">
        <f>IF(K287="","","RV-"&amp;TEXT(ROW()-4,"0000"))</f>
        <v/>
      </c>
      <c r="B287" s="47" t="n"/>
      <c r="C287" s="40" t="n"/>
      <c r="D287" s="50" t="n"/>
      <c r="E287" s="49">
        <f>IF(D287="","",IFERROR(INDEX('المشروعات'!$B$5:$B$304,MATCH(D287,'المشروعات'!$A$5:$A$304,0)),""))</f>
        <v/>
      </c>
      <c r="F287" s="40" t="n"/>
      <c r="G287" s="40" t="n"/>
      <c r="H287" s="40" t="n"/>
      <c r="I287" s="40" t="n"/>
      <c r="J287" s="40" t="n"/>
      <c r="K287" s="41" t="n"/>
      <c r="L287" s="40" t="n"/>
      <c r="M287" s="40" t="n"/>
    </row>
    <row r="288">
      <c r="A288" s="39">
        <f>IF(K288="","","RV-"&amp;TEXT(ROW()-4,"0000"))</f>
        <v/>
      </c>
      <c r="B288" s="47" t="n"/>
      <c r="C288" s="40" t="n"/>
      <c r="D288" s="50" t="n"/>
      <c r="E288" s="49">
        <f>IF(D288="","",IFERROR(INDEX('المشروعات'!$B$5:$B$304,MATCH(D288,'المشروعات'!$A$5:$A$304,0)),""))</f>
        <v/>
      </c>
      <c r="F288" s="40" t="n"/>
      <c r="G288" s="40" t="n"/>
      <c r="H288" s="40" t="n"/>
      <c r="I288" s="40" t="n"/>
      <c r="J288" s="40" t="n"/>
      <c r="K288" s="41" t="n"/>
      <c r="L288" s="40" t="n"/>
      <c r="M288" s="40" t="n"/>
    </row>
    <row r="289">
      <c r="A289" s="39">
        <f>IF(K289="","","RV-"&amp;TEXT(ROW()-4,"0000"))</f>
        <v/>
      </c>
      <c r="B289" s="47" t="n"/>
      <c r="C289" s="40" t="n"/>
      <c r="D289" s="50" t="n"/>
      <c r="E289" s="49">
        <f>IF(D289="","",IFERROR(INDEX('المشروعات'!$B$5:$B$304,MATCH(D289,'المشروعات'!$A$5:$A$304,0)),""))</f>
        <v/>
      </c>
      <c r="F289" s="40" t="n"/>
      <c r="G289" s="40" t="n"/>
      <c r="H289" s="40" t="n"/>
      <c r="I289" s="40" t="n"/>
      <c r="J289" s="40" t="n"/>
      <c r="K289" s="41" t="n"/>
      <c r="L289" s="40" t="n"/>
      <c r="M289" s="40" t="n"/>
    </row>
    <row r="290">
      <c r="A290" s="39">
        <f>IF(K290="","","RV-"&amp;TEXT(ROW()-4,"0000"))</f>
        <v/>
      </c>
      <c r="B290" s="47" t="n"/>
      <c r="C290" s="40" t="n"/>
      <c r="D290" s="50" t="n"/>
      <c r="E290" s="49">
        <f>IF(D290="","",IFERROR(INDEX('المشروعات'!$B$5:$B$304,MATCH(D290,'المشروعات'!$A$5:$A$304,0)),""))</f>
        <v/>
      </c>
      <c r="F290" s="40" t="n"/>
      <c r="G290" s="40" t="n"/>
      <c r="H290" s="40" t="n"/>
      <c r="I290" s="40" t="n"/>
      <c r="J290" s="40" t="n"/>
      <c r="K290" s="41" t="n"/>
      <c r="L290" s="40" t="n"/>
      <c r="M290" s="40" t="n"/>
    </row>
    <row r="291">
      <c r="A291" s="39">
        <f>IF(K291="","","RV-"&amp;TEXT(ROW()-4,"0000"))</f>
        <v/>
      </c>
      <c r="B291" s="47" t="n"/>
      <c r="C291" s="40" t="n"/>
      <c r="D291" s="50" t="n"/>
      <c r="E291" s="49">
        <f>IF(D291="","",IFERROR(INDEX('المشروعات'!$B$5:$B$304,MATCH(D291,'المشروعات'!$A$5:$A$304,0)),""))</f>
        <v/>
      </c>
      <c r="F291" s="40" t="n"/>
      <c r="G291" s="40" t="n"/>
      <c r="H291" s="40" t="n"/>
      <c r="I291" s="40" t="n"/>
      <c r="J291" s="40" t="n"/>
      <c r="K291" s="41" t="n"/>
      <c r="L291" s="40" t="n"/>
      <c r="M291" s="40" t="n"/>
    </row>
    <row r="292">
      <c r="A292" s="39">
        <f>IF(K292="","","RV-"&amp;TEXT(ROW()-4,"0000"))</f>
        <v/>
      </c>
      <c r="B292" s="47" t="n"/>
      <c r="C292" s="40" t="n"/>
      <c r="D292" s="50" t="n"/>
      <c r="E292" s="49">
        <f>IF(D292="","",IFERROR(INDEX('المشروعات'!$B$5:$B$304,MATCH(D292,'المشروعات'!$A$5:$A$304,0)),""))</f>
        <v/>
      </c>
      <c r="F292" s="40" t="n"/>
      <c r="G292" s="40" t="n"/>
      <c r="H292" s="40" t="n"/>
      <c r="I292" s="40" t="n"/>
      <c r="J292" s="40" t="n"/>
      <c r="K292" s="41" t="n"/>
      <c r="L292" s="40" t="n"/>
      <c r="M292" s="40" t="n"/>
    </row>
    <row r="293">
      <c r="A293" s="39">
        <f>IF(K293="","","RV-"&amp;TEXT(ROW()-4,"0000"))</f>
        <v/>
      </c>
      <c r="B293" s="47" t="n"/>
      <c r="C293" s="40" t="n"/>
      <c r="D293" s="50" t="n"/>
      <c r="E293" s="49">
        <f>IF(D293="","",IFERROR(INDEX('المشروعات'!$B$5:$B$304,MATCH(D293,'المشروعات'!$A$5:$A$304,0)),""))</f>
        <v/>
      </c>
      <c r="F293" s="40" t="n"/>
      <c r="G293" s="40" t="n"/>
      <c r="H293" s="40" t="n"/>
      <c r="I293" s="40" t="n"/>
      <c r="J293" s="40" t="n"/>
      <c r="K293" s="41" t="n"/>
      <c r="L293" s="40" t="n"/>
      <c r="M293" s="40" t="n"/>
    </row>
    <row r="294">
      <c r="A294" s="39">
        <f>IF(K294="","","RV-"&amp;TEXT(ROW()-4,"0000"))</f>
        <v/>
      </c>
      <c r="B294" s="47" t="n"/>
      <c r="C294" s="40" t="n"/>
      <c r="D294" s="50" t="n"/>
      <c r="E294" s="49">
        <f>IF(D294="","",IFERROR(INDEX('المشروعات'!$B$5:$B$304,MATCH(D294,'المشروعات'!$A$5:$A$304,0)),""))</f>
        <v/>
      </c>
      <c r="F294" s="40" t="n"/>
      <c r="G294" s="40" t="n"/>
      <c r="H294" s="40" t="n"/>
      <c r="I294" s="40" t="n"/>
      <c r="J294" s="40" t="n"/>
      <c r="K294" s="41" t="n"/>
      <c r="L294" s="40" t="n"/>
      <c r="M294" s="40" t="n"/>
    </row>
    <row r="295">
      <c r="A295" s="39">
        <f>IF(K295="","","RV-"&amp;TEXT(ROW()-4,"0000"))</f>
        <v/>
      </c>
      <c r="B295" s="47" t="n"/>
      <c r="C295" s="40" t="n"/>
      <c r="D295" s="50" t="n"/>
      <c r="E295" s="49">
        <f>IF(D295="","",IFERROR(INDEX('المشروعات'!$B$5:$B$304,MATCH(D295,'المشروعات'!$A$5:$A$304,0)),""))</f>
        <v/>
      </c>
      <c r="F295" s="40" t="n"/>
      <c r="G295" s="40" t="n"/>
      <c r="H295" s="40" t="n"/>
      <c r="I295" s="40" t="n"/>
      <c r="J295" s="40" t="n"/>
      <c r="K295" s="41" t="n"/>
      <c r="L295" s="40" t="n"/>
      <c r="M295" s="40" t="n"/>
    </row>
    <row r="296">
      <c r="A296" s="39">
        <f>IF(K296="","","RV-"&amp;TEXT(ROW()-4,"0000"))</f>
        <v/>
      </c>
      <c r="B296" s="47" t="n"/>
      <c r="C296" s="40" t="n"/>
      <c r="D296" s="50" t="n"/>
      <c r="E296" s="49">
        <f>IF(D296="","",IFERROR(INDEX('المشروعات'!$B$5:$B$304,MATCH(D296,'المشروعات'!$A$5:$A$304,0)),""))</f>
        <v/>
      </c>
      <c r="F296" s="40" t="n"/>
      <c r="G296" s="40" t="n"/>
      <c r="H296" s="40" t="n"/>
      <c r="I296" s="40" t="n"/>
      <c r="J296" s="40" t="n"/>
      <c r="K296" s="41" t="n"/>
      <c r="L296" s="40" t="n"/>
      <c r="M296" s="40" t="n"/>
    </row>
    <row r="297">
      <c r="A297" s="39">
        <f>IF(K297="","","RV-"&amp;TEXT(ROW()-4,"0000"))</f>
        <v/>
      </c>
      <c r="B297" s="47" t="n"/>
      <c r="C297" s="40" t="n"/>
      <c r="D297" s="50" t="n"/>
      <c r="E297" s="49">
        <f>IF(D297="","",IFERROR(INDEX('المشروعات'!$B$5:$B$304,MATCH(D297,'المشروعات'!$A$5:$A$304,0)),""))</f>
        <v/>
      </c>
      <c r="F297" s="40" t="n"/>
      <c r="G297" s="40" t="n"/>
      <c r="H297" s="40" t="n"/>
      <c r="I297" s="40" t="n"/>
      <c r="J297" s="40" t="n"/>
      <c r="K297" s="41" t="n"/>
      <c r="L297" s="40" t="n"/>
      <c r="M297" s="40" t="n"/>
    </row>
    <row r="298">
      <c r="A298" s="39">
        <f>IF(K298="","","RV-"&amp;TEXT(ROW()-4,"0000"))</f>
        <v/>
      </c>
      <c r="B298" s="47" t="n"/>
      <c r="C298" s="40" t="n"/>
      <c r="D298" s="50" t="n"/>
      <c r="E298" s="49">
        <f>IF(D298="","",IFERROR(INDEX('المشروعات'!$B$5:$B$304,MATCH(D298,'المشروعات'!$A$5:$A$304,0)),""))</f>
        <v/>
      </c>
      <c r="F298" s="40" t="n"/>
      <c r="G298" s="40" t="n"/>
      <c r="H298" s="40" t="n"/>
      <c r="I298" s="40" t="n"/>
      <c r="J298" s="40" t="n"/>
      <c r="K298" s="41" t="n"/>
      <c r="L298" s="40" t="n"/>
      <c r="M298" s="40" t="n"/>
    </row>
    <row r="299">
      <c r="A299" s="39">
        <f>IF(K299="","","RV-"&amp;TEXT(ROW()-4,"0000"))</f>
        <v/>
      </c>
      <c r="B299" s="47" t="n"/>
      <c r="C299" s="40" t="n"/>
      <c r="D299" s="50" t="n"/>
      <c r="E299" s="49">
        <f>IF(D299="","",IFERROR(INDEX('المشروعات'!$B$5:$B$304,MATCH(D299,'المشروعات'!$A$5:$A$304,0)),""))</f>
        <v/>
      </c>
      <c r="F299" s="40" t="n"/>
      <c r="G299" s="40" t="n"/>
      <c r="H299" s="40" t="n"/>
      <c r="I299" s="40" t="n"/>
      <c r="J299" s="40" t="n"/>
      <c r="K299" s="41" t="n"/>
      <c r="L299" s="40" t="n"/>
      <c r="M299" s="40" t="n"/>
    </row>
    <row r="300">
      <c r="A300" s="39">
        <f>IF(K300="","","RV-"&amp;TEXT(ROW()-4,"0000"))</f>
        <v/>
      </c>
      <c r="B300" s="47" t="n"/>
      <c r="C300" s="40" t="n"/>
      <c r="D300" s="50" t="n"/>
      <c r="E300" s="49">
        <f>IF(D300="","",IFERROR(INDEX('المشروعات'!$B$5:$B$304,MATCH(D300,'المشروعات'!$A$5:$A$304,0)),""))</f>
        <v/>
      </c>
      <c r="F300" s="40" t="n"/>
      <c r="G300" s="40" t="n"/>
      <c r="H300" s="40" t="n"/>
      <c r="I300" s="40" t="n"/>
      <c r="J300" s="40" t="n"/>
      <c r="K300" s="41" t="n"/>
      <c r="L300" s="40" t="n"/>
      <c r="M300" s="40" t="n"/>
    </row>
    <row r="301">
      <c r="A301" s="39">
        <f>IF(K301="","","RV-"&amp;TEXT(ROW()-4,"0000"))</f>
        <v/>
      </c>
      <c r="B301" s="47" t="n"/>
      <c r="C301" s="40" t="n"/>
      <c r="D301" s="50" t="n"/>
      <c r="E301" s="49">
        <f>IF(D301="","",IFERROR(INDEX('المشروعات'!$B$5:$B$304,MATCH(D301,'المشروعات'!$A$5:$A$304,0)),""))</f>
        <v/>
      </c>
      <c r="F301" s="40" t="n"/>
      <c r="G301" s="40" t="n"/>
      <c r="H301" s="40" t="n"/>
      <c r="I301" s="40" t="n"/>
      <c r="J301" s="40" t="n"/>
      <c r="K301" s="41" t="n"/>
      <c r="L301" s="40" t="n"/>
      <c r="M301" s="40" t="n"/>
    </row>
    <row r="302">
      <c r="A302" s="39">
        <f>IF(K302="","","RV-"&amp;TEXT(ROW()-4,"0000"))</f>
        <v/>
      </c>
      <c r="B302" s="47" t="n"/>
      <c r="C302" s="40" t="n"/>
      <c r="D302" s="50" t="n"/>
      <c r="E302" s="49">
        <f>IF(D302="","",IFERROR(INDEX('المشروعات'!$B$5:$B$304,MATCH(D302,'المشروعات'!$A$5:$A$304,0)),""))</f>
        <v/>
      </c>
      <c r="F302" s="40" t="n"/>
      <c r="G302" s="40" t="n"/>
      <c r="H302" s="40" t="n"/>
      <c r="I302" s="40" t="n"/>
      <c r="J302" s="40" t="n"/>
      <c r="K302" s="41" t="n"/>
      <c r="L302" s="40" t="n"/>
      <c r="M302" s="40" t="n"/>
    </row>
    <row r="303">
      <c r="A303" s="39">
        <f>IF(K303="","","RV-"&amp;TEXT(ROW()-4,"0000"))</f>
        <v/>
      </c>
      <c r="B303" s="47" t="n"/>
      <c r="C303" s="40" t="n"/>
      <c r="D303" s="50" t="n"/>
      <c r="E303" s="49">
        <f>IF(D303="","",IFERROR(INDEX('المشروعات'!$B$5:$B$304,MATCH(D303,'المشروعات'!$A$5:$A$304,0)),""))</f>
        <v/>
      </c>
      <c r="F303" s="40" t="n"/>
      <c r="G303" s="40" t="n"/>
      <c r="H303" s="40" t="n"/>
      <c r="I303" s="40" t="n"/>
      <c r="J303" s="40" t="n"/>
      <c r="K303" s="41" t="n"/>
      <c r="L303" s="40" t="n"/>
      <c r="M303" s="40" t="n"/>
    </row>
    <row r="304">
      <c r="A304" s="39">
        <f>IF(K304="","","RV-"&amp;TEXT(ROW()-4,"0000"))</f>
        <v/>
      </c>
      <c r="B304" s="47" t="n"/>
      <c r="C304" s="40" t="n"/>
      <c r="D304" s="50" t="n"/>
      <c r="E304" s="49">
        <f>IF(D304="","",IFERROR(INDEX('المشروعات'!$B$5:$B$304,MATCH(D304,'المشروعات'!$A$5:$A$304,0)),""))</f>
        <v/>
      </c>
      <c r="F304" s="40" t="n"/>
      <c r="G304" s="40" t="n"/>
      <c r="H304" s="40" t="n"/>
      <c r="I304" s="40" t="n"/>
      <c r="J304" s="40" t="n"/>
      <c r="K304" s="41" t="n"/>
      <c r="L304" s="40" t="n"/>
      <c r="M304" s="40" t="n"/>
    </row>
  </sheetData>
  <autoFilter ref="A4:M304"/>
  <mergeCells count="2">
    <mergeCell ref="A2:M2"/>
    <mergeCell ref="A1:M1"/>
  </mergeCells>
  <dataValidations count="4">
    <dataValidation sqref="B5:B304" showDropDown="0" showInputMessage="0" showErrorMessage="1" allowBlank="1" errorTitle="تاريخ" error="أدخل تاريخاً صحيحاً" type="date" operator="between">
      <formula1>DATE(2000,1,1)</formula1>
      <formula2>DATE(2100,12,31)</formula2>
    </dataValidation>
    <dataValidation sqref="D5:D304" showDropDown="0" showInputMessage="0" showErrorMessage="1" allowBlank="1" errorTitle="قيمة غير صحيحة" error="اختر من القائمة المنسدلة فقط" type="list">
      <formula1>=L_Proj</formula1>
    </dataValidation>
    <dataValidation sqref="F5:F304" showDropDown="0" showInputMessage="0" showErrorMessage="1" allowBlank="1" errorTitle="قيمة غير صحيحة" error="اختر من القائمة المنسدلة فقط" type="list">
      <formula1>=L_IPC</formula1>
    </dataValidation>
    <dataValidation sqref="H5:H304" showDropDown="0" showInputMessage="0" showErrorMessage="1" allowBlank="1" errorTitle="قيمة غير صحيحة" error="اختر من القائمة المنسدلة فقط" type="list">
      <formula1>=L_Method</formula1>
    </dataValidation>
  </dataValidations>
  <hyperlinks>
    <hyperlink xmlns:r="http://schemas.openxmlformats.org/officeDocument/2006/relationships" ref="A3" r:id="rId1"/>
  </hyperlinks>
  <printOptions horizontalCentered="1"/>
  <pageMargins left="0.75" right="0.75" top="1" bottom="1" header="0.5" footer="0.5"/>
  <pageSetup orientation="landscape" paperSize="9" fitToHeight="0" fitToWidth="1"/>
</worksheet>
</file>

<file path=xl/worksheets/sheet14.xml><?xml version="1.0" encoding="utf-8"?>
<worksheet xmlns="http://schemas.openxmlformats.org/spreadsheetml/2006/main">
  <sheetPr>
    <tabColor rgb="00C62828"/>
    <outlinePr summaryBelow="1" summaryRight="1"/>
    <pageSetUpPr fitToPage="1"/>
  </sheetPr>
  <dimension ref="A1:N304"/>
  <sheetViews>
    <sheetView showGridLines="0" rightToLeft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22" customWidth="1" min="3" max="3"/>
    <col width="11" customWidth="1" min="4" max="4"/>
    <col width="20" customWidth="1" min="5" max="5"/>
    <col width="14" customWidth="1" min="6" max="6"/>
    <col width="13" customWidth="1" min="7" max="7"/>
    <col width="28" customWidth="1" min="8" max="8"/>
    <col width="11" customWidth="1" min="9" max="9"/>
    <col width="13" customWidth="1" min="10" max="10"/>
    <col width="12" customWidth="1" min="11" max="11"/>
    <col width="15" customWidth="1" min="12" max="12"/>
    <col width="34" customWidth="1" min="13" max="13"/>
    <col width="16" customWidth="1" min="14" max="14"/>
  </cols>
  <sheetData>
    <row r="1" ht="32" customHeight="1">
      <c r="A1" s="34">
        <f>S_Company&amp;"  |  سندات الصرف"</f>
        <v/>
      </c>
    </row>
    <row r="2">
      <c r="A2" s="35" t="inlineStr">
        <is>
          <t>دفتر سندات الصرف – كل سند يُطبع من شاشة (طباعة سند صرف)</t>
        </is>
      </c>
    </row>
    <row r="3">
      <c r="A3" s="33" t="inlineStr">
        <is>
          <t>↩ الرئيسية</t>
        </is>
      </c>
      <c r="B3" s="36" t="inlineStr">
        <is>
          <t xml:space="preserve">   ■ أصفر = إدخال يدوي    ■ رمادي = معادلة تلقائية (لا تكتب فيها)    — الصفوف الأولى أمثلة توضيحية؛ احذف قيم الإدخال واستبدلها ببياناتك</t>
        </is>
      </c>
    </row>
    <row r="4" ht="42" customHeight="1">
      <c r="A4" s="37" t="inlineStr">
        <is>
          <t>رقم السند</t>
        </is>
      </c>
      <c r="B4" s="38" t="inlineStr">
        <is>
          <t>التاريخ</t>
        </is>
      </c>
      <c r="C4" s="38" t="inlineStr">
        <is>
          <t>يُصرف للسيد/السادة</t>
        </is>
      </c>
      <c r="D4" s="38" t="inlineStr">
        <is>
          <t>كود المشروع</t>
        </is>
      </c>
      <c r="E4" s="37" t="inlineStr">
        <is>
          <t>اسم المشروع</t>
        </is>
      </c>
      <c r="F4" s="38" t="inlineStr">
        <is>
          <t>بند التكلفة</t>
        </is>
      </c>
      <c r="G4" s="38" t="inlineStr">
        <is>
          <t>رقم أمر التوريد (إن وجد)</t>
        </is>
      </c>
      <c r="H4" s="38" t="inlineStr">
        <is>
          <t>وذلك مقابل</t>
        </is>
      </c>
      <c r="I4" s="38" t="inlineStr">
        <is>
          <t>طريقة الدفع</t>
        </is>
      </c>
      <c r="J4" s="38" t="inlineStr">
        <is>
          <t>رقم الشيك / الحوالة</t>
        </is>
      </c>
      <c r="K4" s="38" t="inlineStr">
        <is>
          <t>البنك</t>
        </is>
      </c>
      <c r="L4" s="38" t="inlineStr">
        <is>
          <t>المبلغ</t>
        </is>
      </c>
      <c r="M4" s="38" t="inlineStr">
        <is>
          <t>المبلغ كتابةً</t>
        </is>
      </c>
      <c r="N4" s="38" t="inlineStr">
        <is>
          <t>المعتمد</t>
        </is>
      </c>
    </row>
    <row r="5">
      <c r="A5" s="39">
        <f>IF(L5="","","PV-"&amp;TEXT(ROW()-4,"0000"))</f>
        <v/>
      </c>
      <c r="B5" s="47" t="n">
        <v>45997</v>
      </c>
      <c r="C5" s="40" t="inlineStr">
        <is>
          <t>الموزع المعتمد للحديد</t>
        </is>
      </c>
      <c r="D5" s="50" t="inlineStr">
        <is>
          <t>PRJ-001</t>
        </is>
      </c>
      <c r="E5" s="49">
        <f>IF(D5="","",IFERROR(INDEX('المشروعات'!$B$5:$B$304,MATCH(D5,'المشروعات'!$A$5:$A$304,0)),""))</f>
        <v/>
      </c>
      <c r="F5" s="40" t="inlineStr">
        <is>
          <t>مواد</t>
        </is>
      </c>
      <c r="G5" s="40" t="inlineStr">
        <is>
          <t>PO-0001</t>
        </is>
      </c>
      <c r="H5" s="40" t="inlineStr">
        <is>
          <t>دفعة من أمر توريد الحديد</t>
        </is>
      </c>
      <c r="I5" s="40" t="inlineStr">
        <is>
          <t>شيك</t>
        </is>
      </c>
      <c r="J5" s="40" t="inlineStr">
        <is>
          <t>118804</t>
        </is>
      </c>
      <c r="K5" s="40" t="inlineStr">
        <is>
          <t>بنك مصر</t>
        </is>
      </c>
      <c r="L5" s="41" t="n">
        <v>3000000</v>
      </c>
      <c r="M5" s="40" t="inlineStr">
        <is>
          <t>ثلاثة ملايين جنيه فقط لا غير</t>
        </is>
      </c>
      <c r="N5" s="40" t="inlineStr">
        <is>
          <t>المدير المالي</t>
        </is>
      </c>
    </row>
    <row r="6">
      <c r="A6" s="39">
        <f>IF(L6="","","PV-"&amp;TEXT(ROW()-4,"0000"))</f>
        <v/>
      </c>
      <c r="B6" s="47" t="n">
        <v>46027</v>
      </c>
      <c r="C6" s="40" t="inlineStr">
        <is>
          <t>مقاول باطن الحدادة</t>
        </is>
      </c>
      <c r="D6" s="50" t="inlineStr">
        <is>
          <t>PRJ-001</t>
        </is>
      </c>
      <c r="E6" s="49">
        <f>IF(D6="","",IFERROR(INDEX('المشروعات'!$B$5:$B$304,MATCH(D6,'المشروعات'!$A$5:$A$304,0)),""))</f>
        <v/>
      </c>
      <c r="F6" s="40" t="inlineStr">
        <is>
          <t>مقاولو باطن</t>
        </is>
      </c>
      <c r="G6" s="40" t="n"/>
      <c r="H6" s="40" t="inlineStr">
        <is>
          <t>مستخلص مقاول الباطن رقم 1</t>
        </is>
      </c>
      <c r="I6" s="40" t="inlineStr">
        <is>
          <t>تحويل بنكي</t>
        </is>
      </c>
      <c r="J6" s="40" t="inlineStr">
        <is>
          <t>TRF-55120</t>
        </is>
      </c>
      <c r="K6" s="40" t="inlineStr">
        <is>
          <t>البنك الأهلي</t>
        </is>
      </c>
      <c r="L6" s="41" t="n">
        <v>420000</v>
      </c>
      <c r="M6" s="40" t="inlineStr">
        <is>
          <t>أربعمائة وعشرون ألف جنيه فقط لا غير</t>
        </is>
      </c>
      <c r="N6" s="40" t="inlineStr">
        <is>
          <t>المدير العام</t>
        </is>
      </c>
    </row>
    <row r="7">
      <c r="A7" s="39">
        <f>IF(L7="","","PV-"&amp;TEXT(ROW()-4,"0000"))</f>
        <v/>
      </c>
      <c r="B7" s="47" t="n">
        <v>46198</v>
      </c>
      <c r="C7" s="40" t="inlineStr">
        <is>
          <t>شركة الخرسانة الجاهزة</t>
        </is>
      </c>
      <c r="D7" s="50" t="inlineStr">
        <is>
          <t>PRJ-002</t>
        </is>
      </c>
      <c r="E7" s="49">
        <f>IF(D7="","",IFERROR(INDEX('المشروعات'!$B$5:$B$304,MATCH(D7,'المشروعات'!$A$5:$A$304,0)),""))</f>
        <v/>
      </c>
      <c r="F7" s="40" t="inlineStr">
        <is>
          <t>مواد</t>
        </is>
      </c>
      <c r="G7" s="40" t="inlineStr">
        <is>
          <t>PO-0003</t>
        </is>
      </c>
      <c r="H7" s="40" t="inlineStr">
        <is>
          <t>قيمة 320 م3 خرسانة</t>
        </is>
      </c>
      <c r="I7" s="40" t="inlineStr">
        <is>
          <t>شيك</t>
        </is>
      </c>
      <c r="J7" s="40" t="inlineStr">
        <is>
          <t>118990</t>
        </is>
      </c>
      <c r="K7" s="40" t="inlineStr">
        <is>
          <t>بنك مصر</t>
        </is>
      </c>
      <c r="L7" s="41" t="n">
        <v>848000</v>
      </c>
      <c r="M7" s="40" t="inlineStr">
        <is>
          <t>ثمانمائة وثمانية وأربعون ألف جنيه فقط لا غير</t>
        </is>
      </c>
      <c r="N7" s="40" t="inlineStr">
        <is>
          <t>المدير المالي</t>
        </is>
      </c>
    </row>
    <row r="8">
      <c r="A8" s="39">
        <f>IF(L8="","","PV-"&amp;TEXT(ROW()-4,"0000"))</f>
        <v/>
      </c>
      <c r="B8" s="47" t="n"/>
      <c r="C8" s="40" t="n"/>
      <c r="D8" s="50" t="n"/>
      <c r="E8" s="49">
        <f>IF(D8="","",IFERROR(INDEX('المشروعات'!$B$5:$B$304,MATCH(D8,'المشروعات'!$A$5:$A$304,0)),""))</f>
        <v/>
      </c>
      <c r="F8" s="40" t="n"/>
      <c r="G8" s="40" t="n"/>
      <c r="H8" s="40" t="n"/>
      <c r="I8" s="40" t="n"/>
      <c r="J8" s="40" t="n"/>
      <c r="K8" s="40" t="n"/>
      <c r="L8" s="41" t="n"/>
      <c r="M8" s="40" t="n"/>
      <c r="N8" s="40" t="n"/>
    </row>
    <row r="9">
      <c r="A9" s="39">
        <f>IF(L9="","","PV-"&amp;TEXT(ROW()-4,"0000"))</f>
        <v/>
      </c>
      <c r="B9" s="47" t="n"/>
      <c r="C9" s="40" t="n"/>
      <c r="D9" s="50" t="n"/>
      <c r="E9" s="49">
        <f>IF(D9="","",IFERROR(INDEX('المشروعات'!$B$5:$B$304,MATCH(D9,'المشروعات'!$A$5:$A$304,0)),""))</f>
        <v/>
      </c>
      <c r="F9" s="40" t="n"/>
      <c r="G9" s="40" t="n"/>
      <c r="H9" s="40" t="n"/>
      <c r="I9" s="40" t="n"/>
      <c r="J9" s="40" t="n"/>
      <c r="K9" s="40" t="n"/>
      <c r="L9" s="41" t="n"/>
      <c r="M9" s="40" t="n"/>
      <c r="N9" s="40" t="n"/>
    </row>
    <row r="10">
      <c r="A10" s="39">
        <f>IF(L10="","","PV-"&amp;TEXT(ROW()-4,"0000"))</f>
        <v/>
      </c>
      <c r="B10" s="47" t="n"/>
      <c r="C10" s="40" t="n"/>
      <c r="D10" s="50" t="n"/>
      <c r="E10" s="49">
        <f>IF(D10="","",IFERROR(INDEX('المشروعات'!$B$5:$B$304,MATCH(D10,'المشروعات'!$A$5:$A$304,0)),""))</f>
        <v/>
      </c>
      <c r="F10" s="40" t="n"/>
      <c r="G10" s="40" t="n"/>
      <c r="H10" s="40" t="n"/>
      <c r="I10" s="40" t="n"/>
      <c r="J10" s="40" t="n"/>
      <c r="K10" s="40" t="n"/>
      <c r="L10" s="41" t="n"/>
      <c r="M10" s="40" t="n"/>
      <c r="N10" s="40" t="n"/>
    </row>
    <row r="11">
      <c r="A11" s="39">
        <f>IF(L11="","","PV-"&amp;TEXT(ROW()-4,"0000"))</f>
        <v/>
      </c>
      <c r="B11" s="47" t="n"/>
      <c r="C11" s="40" t="n"/>
      <c r="D11" s="50" t="n"/>
      <c r="E11" s="49">
        <f>IF(D11="","",IFERROR(INDEX('المشروعات'!$B$5:$B$304,MATCH(D11,'المشروعات'!$A$5:$A$304,0)),""))</f>
        <v/>
      </c>
      <c r="F11" s="40" t="n"/>
      <c r="G11" s="40" t="n"/>
      <c r="H11" s="40" t="n"/>
      <c r="I11" s="40" t="n"/>
      <c r="J11" s="40" t="n"/>
      <c r="K11" s="40" t="n"/>
      <c r="L11" s="41" t="n"/>
      <c r="M11" s="40" t="n"/>
      <c r="N11" s="40" t="n"/>
    </row>
    <row r="12">
      <c r="A12" s="39">
        <f>IF(L12="","","PV-"&amp;TEXT(ROW()-4,"0000"))</f>
        <v/>
      </c>
      <c r="B12" s="47" t="n"/>
      <c r="C12" s="40" t="n"/>
      <c r="D12" s="50" t="n"/>
      <c r="E12" s="49">
        <f>IF(D12="","",IFERROR(INDEX('المشروعات'!$B$5:$B$304,MATCH(D12,'المشروعات'!$A$5:$A$304,0)),""))</f>
        <v/>
      </c>
      <c r="F12" s="40" t="n"/>
      <c r="G12" s="40" t="n"/>
      <c r="H12" s="40" t="n"/>
      <c r="I12" s="40" t="n"/>
      <c r="J12" s="40" t="n"/>
      <c r="K12" s="40" t="n"/>
      <c r="L12" s="41" t="n"/>
      <c r="M12" s="40" t="n"/>
      <c r="N12" s="40" t="n"/>
    </row>
    <row r="13">
      <c r="A13" s="39">
        <f>IF(L13="","","PV-"&amp;TEXT(ROW()-4,"0000"))</f>
        <v/>
      </c>
      <c r="B13" s="47" t="n"/>
      <c r="C13" s="40" t="n"/>
      <c r="D13" s="50" t="n"/>
      <c r="E13" s="49">
        <f>IF(D13="","",IFERROR(INDEX('المشروعات'!$B$5:$B$304,MATCH(D13,'المشروعات'!$A$5:$A$304,0)),""))</f>
        <v/>
      </c>
      <c r="F13" s="40" t="n"/>
      <c r="G13" s="40" t="n"/>
      <c r="H13" s="40" t="n"/>
      <c r="I13" s="40" t="n"/>
      <c r="J13" s="40" t="n"/>
      <c r="K13" s="40" t="n"/>
      <c r="L13" s="41" t="n"/>
      <c r="M13" s="40" t="n"/>
      <c r="N13" s="40" t="n"/>
    </row>
    <row r="14">
      <c r="A14" s="39">
        <f>IF(L14="","","PV-"&amp;TEXT(ROW()-4,"0000"))</f>
        <v/>
      </c>
      <c r="B14" s="47" t="n"/>
      <c r="C14" s="40" t="n"/>
      <c r="D14" s="50" t="n"/>
      <c r="E14" s="49">
        <f>IF(D14="","",IFERROR(INDEX('المشروعات'!$B$5:$B$304,MATCH(D14,'المشروعات'!$A$5:$A$304,0)),""))</f>
        <v/>
      </c>
      <c r="F14" s="40" t="n"/>
      <c r="G14" s="40" t="n"/>
      <c r="H14" s="40" t="n"/>
      <c r="I14" s="40" t="n"/>
      <c r="J14" s="40" t="n"/>
      <c r="K14" s="40" t="n"/>
      <c r="L14" s="41" t="n"/>
      <c r="M14" s="40" t="n"/>
      <c r="N14" s="40" t="n"/>
    </row>
    <row r="15">
      <c r="A15" s="39">
        <f>IF(L15="","","PV-"&amp;TEXT(ROW()-4,"0000"))</f>
        <v/>
      </c>
      <c r="B15" s="47" t="n"/>
      <c r="C15" s="40" t="n"/>
      <c r="D15" s="50" t="n"/>
      <c r="E15" s="49">
        <f>IF(D15="","",IFERROR(INDEX('المشروعات'!$B$5:$B$304,MATCH(D15,'المشروعات'!$A$5:$A$304,0)),""))</f>
        <v/>
      </c>
      <c r="F15" s="40" t="n"/>
      <c r="G15" s="40" t="n"/>
      <c r="H15" s="40" t="n"/>
      <c r="I15" s="40" t="n"/>
      <c r="J15" s="40" t="n"/>
      <c r="K15" s="40" t="n"/>
      <c r="L15" s="41" t="n"/>
      <c r="M15" s="40" t="n"/>
      <c r="N15" s="40" t="n"/>
    </row>
    <row r="16">
      <c r="A16" s="39">
        <f>IF(L16="","","PV-"&amp;TEXT(ROW()-4,"0000"))</f>
        <v/>
      </c>
      <c r="B16" s="47" t="n"/>
      <c r="C16" s="40" t="n"/>
      <c r="D16" s="50" t="n"/>
      <c r="E16" s="49">
        <f>IF(D16="","",IFERROR(INDEX('المشروعات'!$B$5:$B$304,MATCH(D16,'المشروعات'!$A$5:$A$304,0)),""))</f>
        <v/>
      </c>
      <c r="F16" s="40" t="n"/>
      <c r="G16" s="40" t="n"/>
      <c r="H16" s="40" t="n"/>
      <c r="I16" s="40" t="n"/>
      <c r="J16" s="40" t="n"/>
      <c r="K16" s="40" t="n"/>
      <c r="L16" s="41" t="n"/>
      <c r="M16" s="40" t="n"/>
      <c r="N16" s="40" t="n"/>
    </row>
    <row r="17">
      <c r="A17" s="39">
        <f>IF(L17="","","PV-"&amp;TEXT(ROW()-4,"0000"))</f>
        <v/>
      </c>
      <c r="B17" s="47" t="n"/>
      <c r="C17" s="40" t="n"/>
      <c r="D17" s="50" t="n"/>
      <c r="E17" s="49">
        <f>IF(D17="","",IFERROR(INDEX('المشروعات'!$B$5:$B$304,MATCH(D17,'المشروعات'!$A$5:$A$304,0)),""))</f>
        <v/>
      </c>
      <c r="F17" s="40" t="n"/>
      <c r="G17" s="40" t="n"/>
      <c r="H17" s="40" t="n"/>
      <c r="I17" s="40" t="n"/>
      <c r="J17" s="40" t="n"/>
      <c r="K17" s="40" t="n"/>
      <c r="L17" s="41" t="n"/>
      <c r="M17" s="40" t="n"/>
      <c r="N17" s="40" t="n"/>
    </row>
    <row r="18">
      <c r="A18" s="39">
        <f>IF(L18="","","PV-"&amp;TEXT(ROW()-4,"0000"))</f>
        <v/>
      </c>
      <c r="B18" s="47" t="n"/>
      <c r="C18" s="40" t="n"/>
      <c r="D18" s="50" t="n"/>
      <c r="E18" s="49">
        <f>IF(D18="","",IFERROR(INDEX('المشروعات'!$B$5:$B$304,MATCH(D18,'المشروعات'!$A$5:$A$304,0)),""))</f>
        <v/>
      </c>
      <c r="F18" s="40" t="n"/>
      <c r="G18" s="40" t="n"/>
      <c r="H18" s="40" t="n"/>
      <c r="I18" s="40" t="n"/>
      <c r="J18" s="40" t="n"/>
      <c r="K18" s="40" t="n"/>
      <c r="L18" s="41" t="n"/>
      <c r="M18" s="40" t="n"/>
      <c r="N18" s="40" t="n"/>
    </row>
    <row r="19">
      <c r="A19" s="39">
        <f>IF(L19="","","PV-"&amp;TEXT(ROW()-4,"0000"))</f>
        <v/>
      </c>
      <c r="B19" s="47" t="n"/>
      <c r="C19" s="40" t="n"/>
      <c r="D19" s="50" t="n"/>
      <c r="E19" s="49">
        <f>IF(D19="","",IFERROR(INDEX('المشروعات'!$B$5:$B$304,MATCH(D19,'المشروعات'!$A$5:$A$304,0)),""))</f>
        <v/>
      </c>
      <c r="F19" s="40" t="n"/>
      <c r="G19" s="40" t="n"/>
      <c r="H19" s="40" t="n"/>
      <c r="I19" s="40" t="n"/>
      <c r="J19" s="40" t="n"/>
      <c r="K19" s="40" t="n"/>
      <c r="L19" s="41" t="n"/>
      <c r="M19" s="40" t="n"/>
      <c r="N19" s="40" t="n"/>
    </row>
    <row r="20">
      <c r="A20" s="39">
        <f>IF(L20="","","PV-"&amp;TEXT(ROW()-4,"0000"))</f>
        <v/>
      </c>
      <c r="B20" s="47" t="n"/>
      <c r="C20" s="40" t="n"/>
      <c r="D20" s="50" t="n"/>
      <c r="E20" s="49">
        <f>IF(D20="","",IFERROR(INDEX('المشروعات'!$B$5:$B$304,MATCH(D20,'المشروعات'!$A$5:$A$304,0)),""))</f>
        <v/>
      </c>
      <c r="F20" s="40" t="n"/>
      <c r="G20" s="40" t="n"/>
      <c r="H20" s="40" t="n"/>
      <c r="I20" s="40" t="n"/>
      <c r="J20" s="40" t="n"/>
      <c r="K20" s="40" t="n"/>
      <c r="L20" s="41" t="n"/>
      <c r="M20" s="40" t="n"/>
      <c r="N20" s="40" t="n"/>
    </row>
    <row r="21">
      <c r="A21" s="39">
        <f>IF(L21="","","PV-"&amp;TEXT(ROW()-4,"0000"))</f>
        <v/>
      </c>
      <c r="B21" s="47" t="n"/>
      <c r="C21" s="40" t="n"/>
      <c r="D21" s="50" t="n"/>
      <c r="E21" s="49">
        <f>IF(D21="","",IFERROR(INDEX('المشروعات'!$B$5:$B$304,MATCH(D21,'المشروعات'!$A$5:$A$304,0)),""))</f>
        <v/>
      </c>
      <c r="F21" s="40" t="n"/>
      <c r="G21" s="40" t="n"/>
      <c r="H21" s="40" t="n"/>
      <c r="I21" s="40" t="n"/>
      <c r="J21" s="40" t="n"/>
      <c r="K21" s="40" t="n"/>
      <c r="L21" s="41" t="n"/>
      <c r="M21" s="40" t="n"/>
      <c r="N21" s="40" t="n"/>
    </row>
    <row r="22">
      <c r="A22" s="39">
        <f>IF(L22="","","PV-"&amp;TEXT(ROW()-4,"0000"))</f>
        <v/>
      </c>
      <c r="B22" s="47" t="n"/>
      <c r="C22" s="40" t="n"/>
      <c r="D22" s="50" t="n"/>
      <c r="E22" s="49">
        <f>IF(D22="","",IFERROR(INDEX('المشروعات'!$B$5:$B$304,MATCH(D22,'المشروعات'!$A$5:$A$304,0)),""))</f>
        <v/>
      </c>
      <c r="F22" s="40" t="n"/>
      <c r="G22" s="40" t="n"/>
      <c r="H22" s="40" t="n"/>
      <c r="I22" s="40" t="n"/>
      <c r="J22" s="40" t="n"/>
      <c r="K22" s="40" t="n"/>
      <c r="L22" s="41" t="n"/>
      <c r="M22" s="40" t="n"/>
      <c r="N22" s="40" t="n"/>
    </row>
    <row r="23">
      <c r="A23" s="39">
        <f>IF(L23="","","PV-"&amp;TEXT(ROW()-4,"0000"))</f>
        <v/>
      </c>
      <c r="B23" s="47" t="n"/>
      <c r="C23" s="40" t="n"/>
      <c r="D23" s="50" t="n"/>
      <c r="E23" s="49">
        <f>IF(D23="","",IFERROR(INDEX('المشروعات'!$B$5:$B$304,MATCH(D23,'المشروعات'!$A$5:$A$304,0)),""))</f>
        <v/>
      </c>
      <c r="F23" s="40" t="n"/>
      <c r="G23" s="40" t="n"/>
      <c r="H23" s="40" t="n"/>
      <c r="I23" s="40" t="n"/>
      <c r="J23" s="40" t="n"/>
      <c r="K23" s="40" t="n"/>
      <c r="L23" s="41" t="n"/>
      <c r="M23" s="40" t="n"/>
      <c r="N23" s="40" t="n"/>
    </row>
    <row r="24">
      <c r="A24" s="39">
        <f>IF(L24="","","PV-"&amp;TEXT(ROW()-4,"0000"))</f>
        <v/>
      </c>
      <c r="B24" s="47" t="n"/>
      <c r="C24" s="40" t="n"/>
      <c r="D24" s="50" t="n"/>
      <c r="E24" s="49">
        <f>IF(D24="","",IFERROR(INDEX('المشروعات'!$B$5:$B$304,MATCH(D24,'المشروعات'!$A$5:$A$304,0)),""))</f>
        <v/>
      </c>
      <c r="F24" s="40" t="n"/>
      <c r="G24" s="40" t="n"/>
      <c r="H24" s="40" t="n"/>
      <c r="I24" s="40" t="n"/>
      <c r="J24" s="40" t="n"/>
      <c r="K24" s="40" t="n"/>
      <c r="L24" s="41" t="n"/>
      <c r="M24" s="40" t="n"/>
      <c r="N24" s="40" t="n"/>
    </row>
    <row r="25">
      <c r="A25" s="39">
        <f>IF(L25="","","PV-"&amp;TEXT(ROW()-4,"0000"))</f>
        <v/>
      </c>
      <c r="B25" s="47" t="n"/>
      <c r="C25" s="40" t="n"/>
      <c r="D25" s="50" t="n"/>
      <c r="E25" s="49">
        <f>IF(D25="","",IFERROR(INDEX('المشروعات'!$B$5:$B$304,MATCH(D25,'المشروعات'!$A$5:$A$304,0)),""))</f>
        <v/>
      </c>
      <c r="F25" s="40" t="n"/>
      <c r="G25" s="40" t="n"/>
      <c r="H25" s="40" t="n"/>
      <c r="I25" s="40" t="n"/>
      <c r="J25" s="40" t="n"/>
      <c r="K25" s="40" t="n"/>
      <c r="L25" s="41" t="n"/>
      <c r="M25" s="40" t="n"/>
      <c r="N25" s="40" t="n"/>
    </row>
    <row r="26">
      <c r="A26" s="39">
        <f>IF(L26="","","PV-"&amp;TEXT(ROW()-4,"0000"))</f>
        <v/>
      </c>
      <c r="B26" s="47" t="n"/>
      <c r="C26" s="40" t="n"/>
      <c r="D26" s="50" t="n"/>
      <c r="E26" s="49">
        <f>IF(D26="","",IFERROR(INDEX('المشروعات'!$B$5:$B$304,MATCH(D26,'المشروعات'!$A$5:$A$304,0)),""))</f>
        <v/>
      </c>
      <c r="F26" s="40" t="n"/>
      <c r="G26" s="40" t="n"/>
      <c r="H26" s="40" t="n"/>
      <c r="I26" s="40" t="n"/>
      <c r="J26" s="40" t="n"/>
      <c r="K26" s="40" t="n"/>
      <c r="L26" s="41" t="n"/>
      <c r="M26" s="40" t="n"/>
      <c r="N26" s="40" t="n"/>
    </row>
    <row r="27">
      <c r="A27" s="39">
        <f>IF(L27="","","PV-"&amp;TEXT(ROW()-4,"0000"))</f>
        <v/>
      </c>
      <c r="B27" s="47" t="n"/>
      <c r="C27" s="40" t="n"/>
      <c r="D27" s="50" t="n"/>
      <c r="E27" s="49">
        <f>IF(D27="","",IFERROR(INDEX('المشروعات'!$B$5:$B$304,MATCH(D27,'المشروعات'!$A$5:$A$304,0)),""))</f>
        <v/>
      </c>
      <c r="F27" s="40" t="n"/>
      <c r="G27" s="40" t="n"/>
      <c r="H27" s="40" t="n"/>
      <c r="I27" s="40" t="n"/>
      <c r="J27" s="40" t="n"/>
      <c r="K27" s="40" t="n"/>
      <c r="L27" s="41" t="n"/>
      <c r="M27" s="40" t="n"/>
      <c r="N27" s="40" t="n"/>
    </row>
    <row r="28">
      <c r="A28" s="39">
        <f>IF(L28="","","PV-"&amp;TEXT(ROW()-4,"0000"))</f>
        <v/>
      </c>
      <c r="B28" s="47" t="n"/>
      <c r="C28" s="40" t="n"/>
      <c r="D28" s="50" t="n"/>
      <c r="E28" s="49">
        <f>IF(D28="","",IFERROR(INDEX('المشروعات'!$B$5:$B$304,MATCH(D28,'المشروعات'!$A$5:$A$304,0)),""))</f>
        <v/>
      </c>
      <c r="F28" s="40" t="n"/>
      <c r="G28" s="40" t="n"/>
      <c r="H28" s="40" t="n"/>
      <c r="I28" s="40" t="n"/>
      <c r="J28" s="40" t="n"/>
      <c r="K28" s="40" t="n"/>
      <c r="L28" s="41" t="n"/>
      <c r="M28" s="40" t="n"/>
      <c r="N28" s="40" t="n"/>
    </row>
    <row r="29">
      <c r="A29" s="39">
        <f>IF(L29="","","PV-"&amp;TEXT(ROW()-4,"0000"))</f>
        <v/>
      </c>
      <c r="B29" s="47" t="n"/>
      <c r="C29" s="40" t="n"/>
      <c r="D29" s="50" t="n"/>
      <c r="E29" s="49">
        <f>IF(D29="","",IFERROR(INDEX('المشروعات'!$B$5:$B$304,MATCH(D29,'المشروعات'!$A$5:$A$304,0)),""))</f>
        <v/>
      </c>
      <c r="F29" s="40" t="n"/>
      <c r="G29" s="40" t="n"/>
      <c r="H29" s="40" t="n"/>
      <c r="I29" s="40" t="n"/>
      <c r="J29" s="40" t="n"/>
      <c r="K29" s="40" t="n"/>
      <c r="L29" s="41" t="n"/>
      <c r="M29" s="40" t="n"/>
      <c r="N29" s="40" t="n"/>
    </row>
    <row r="30">
      <c r="A30" s="39">
        <f>IF(L30="","","PV-"&amp;TEXT(ROW()-4,"0000"))</f>
        <v/>
      </c>
      <c r="B30" s="47" t="n"/>
      <c r="C30" s="40" t="n"/>
      <c r="D30" s="50" t="n"/>
      <c r="E30" s="49">
        <f>IF(D30="","",IFERROR(INDEX('المشروعات'!$B$5:$B$304,MATCH(D30,'المشروعات'!$A$5:$A$304,0)),""))</f>
        <v/>
      </c>
      <c r="F30" s="40" t="n"/>
      <c r="G30" s="40" t="n"/>
      <c r="H30" s="40" t="n"/>
      <c r="I30" s="40" t="n"/>
      <c r="J30" s="40" t="n"/>
      <c r="K30" s="40" t="n"/>
      <c r="L30" s="41" t="n"/>
      <c r="M30" s="40" t="n"/>
      <c r="N30" s="40" t="n"/>
    </row>
    <row r="31">
      <c r="A31" s="39">
        <f>IF(L31="","","PV-"&amp;TEXT(ROW()-4,"0000"))</f>
        <v/>
      </c>
      <c r="B31" s="47" t="n"/>
      <c r="C31" s="40" t="n"/>
      <c r="D31" s="50" t="n"/>
      <c r="E31" s="49">
        <f>IF(D31="","",IFERROR(INDEX('المشروعات'!$B$5:$B$304,MATCH(D31,'المشروعات'!$A$5:$A$304,0)),""))</f>
        <v/>
      </c>
      <c r="F31" s="40" t="n"/>
      <c r="G31" s="40" t="n"/>
      <c r="H31" s="40" t="n"/>
      <c r="I31" s="40" t="n"/>
      <c r="J31" s="40" t="n"/>
      <c r="K31" s="40" t="n"/>
      <c r="L31" s="41" t="n"/>
      <c r="M31" s="40" t="n"/>
      <c r="N31" s="40" t="n"/>
    </row>
    <row r="32">
      <c r="A32" s="39">
        <f>IF(L32="","","PV-"&amp;TEXT(ROW()-4,"0000"))</f>
        <v/>
      </c>
      <c r="B32" s="47" t="n"/>
      <c r="C32" s="40" t="n"/>
      <c r="D32" s="50" t="n"/>
      <c r="E32" s="49">
        <f>IF(D32="","",IFERROR(INDEX('المشروعات'!$B$5:$B$304,MATCH(D32,'المشروعات'!$A$5:$A$304,0)),""))</f>
        <v/>
      </c>
      <c r="F32" s="40" t="n"/>
      <c r="G32" s="40" t="n"/>
      <c r="H32" s="40" t="n"/>
      <c r="I32" s="40" t="n"/>
      <c r="J32" s="40" t="n"/>
      <c r="K32" s="40" t="n"/>
      <c r="L32" s="41" t="n"/>
      <c r="M32" s="40" t="n"/>
      <c r="N32" s="40" t="n"/>
    </row>
    <row r="33">
      <c r="A33" s="39">
        <f>IF(L33="","","PV-"&amp;TEXT(ROW()-4,"0000"))</f>
        <v/>
      </c>
      <c r="B33" s="47" t="n"/>
      <c r="C33" s="40" t="n"/>
      <c r="D33" s="50" t="n"/>
      <c r="E33" s="49">
        <f>IF(D33="","",IFERROR(INDEX('المشروعات'!$B$5:$B$304,MATCH(D33,'المشروعات'!$A$5:$A$304,0)),""))</f>
        <v/>
      </c>
      <c r="F33" s="40" t="n"/>
      <c r="G33" s="40" t="n"/>
      <c r="H33" s="40" t="n"/>
      <c r="I33" s="40" t="n"/>
      <c r="J33" s="40" t="n"/>
      <c r="K33" s="40" t="n"/>
      <c r="L33" s="41" t="n"/>
      <c r="M33" s="40" t="n"/>
      <c r="N33" s="40" t="n"/>
    </row>
    <row r="34">
      <c r="A34" s="39">
        <f>IF(L34="","","PV-"&amp;TEXT(ROW()-4,"0000"))</f>
        <v/>
      </c>
      <c r="B34" s="47" t="n"/>
      <c r="C34" s="40" t="n"/>
      <c r="D34" s="50" t="n"/>
      <c r="E34" s="49">
        <f>IF(D34="","",IFERROR(INDEX('المشروعات'!$B$5:$B$304,MATCH(D34,'المشروعات'!$A$5:$A$304,0)),""))</f>
        <v/>
      </c>
      <c r="F34" s="40" t="n"/>
      <c r="G34" s="40" t="n"/>
      <c r="H34" s="40" t="n"/>
      <c r="I34" s="40" t="n"/>
      <c r="J34" s="40" t="n"/>
      <c r="K34" s="40" t="n"/>
      <c r="L34" s="41" t="n"/>
      <c r="M34" s="40" t="n"/>
      <c r="N34" s="40" t="n"/>
    </row>
    <row r="35">
      <c r="A35" s="39">
        <f>IF(L35="","","PV-"&amp;TEXT(ROW()-4,"0000"))</f>
        <v/>
      </c>
      <c r="B35" s="47" t="n"/>
      <c r="C35" s="40" t="n"/>
      <c r="D35" s="50" t="n"/>
      <c r="E35" s="49">
        <f>IF(D35="","",IFERROR(INDEX('المشروعات'!$B$5:$B$304,MATCH(D35,'المشروعات'!$A$5:$A$304,0)),""))</f>
        <v/>
      </c>
      <c r="F35" s="40" t="n"/>
      <c r="G35" s="40" t="n"/>
      <c r="H35" s="40" t="n"/>
      <c r="I35" s="40" t="n"/>
      <c r="J35" s="40" t="n"/>
      <c r="K35" s="40" t="n"/>
      <c r="L35" s="41" t="n"/>
      <c r="M35" s="40" t="n"/>
      <c r="N35" s="40" t="n"/>
    </row>
    <row r="36">
      <c r="A36" s="39">
        <f>IF(L36="","","PV-"&amp;TEXT(ROW()-4,"0000"))</f>
        <v/>
      </c>
      <c r="B36" s="47" t="n"/>
      <c r="C36" s="40" t="n"/>
      <c r="D36" s="50" t="n"/>
      <c r="E36" s="49">
        <f>IF(D36="","",IFERROR(INDEX('المشروعات'!$B$5:$B$304,MATCH(D36,'المشروعات'!$A$5:$A$304,0)),""))</f>
        <v/>
      </c>
      <c r="F36" s="40" t="n"/>
      <c r="G36" s="40" t="n"/>
      <c r="H36" s="40" t="n"/>
      <c r="I36" s="40" t="n"/>
      <c r="J36" s="40" t="n"/>
      <c r="K36" s="40" t="n"/>
      <c r="L36" s="41" t="n"/>
      <c r="M36" s="40" t="n"/>
      <c r="N36" s="40" t="n"/>
    </row>
    <row r="37">
      <c r="A37" s="39">
        <f>IF(L37="","","PV-"&amp;TEXT(ROW()-4,"0000"))</f>
        <v/>
      </c>
      <c r="B37" s="47" t="n"/>
      <c r="C37" s="40" t="n"/>
      <c r="D37" s="50" t="n"/>
      <c r="E37" s="49">
        <f>IF(D37="","",IFERROR(INDEX('المشروعات'!$B$5:$B$304,MATCH(D37,'المشروعات'!$A$5:$A$304,0)),""))</f>
        <v/>
      </c>
      <c r="F37" s="40" t="n"/>
      <c r="G37" s="40" t="n"/>
      <c r="H37" s="40" t="n"/>
      <c r="I37" s="40" t="n"/>
      <c r="J37" s="40" t="n"/>
      <c r="K37" s="40" t="n"/>
      <c r="L37" s="41" t="n"/>
      <c r="M37" s="40" t="n"/>
      <c r="N37" s="40" t="n"/>
    </row>
    <row r="38">
      <c r="A38" s="39">
        <f>IF(L38="","","PV-"&amp;TEXT(ROW()-4,"0000"))</f>
        <v/>
      </c>
      <c r="B38" s="47" t="n"/>
      <c r="C38" s="40" t="n"/>
      <c r="D38" s="50" t="n"/>
      <c r="E38" s="49">
        <f>IF(D38="","",IFERROR(INDEX('المشروعات'!$B$5:$B$304,MATCH(D38,'المشروعات'!$A$5:$A$304,0)),""))</f>
        <v/>
      </c>
      <c r="F38" s="40" t="n"/>
      <c r="G38" s="40" t="n"/>
      <c r="H38" s="40" t="n"/>
      <c r="I38" s="40" t="n"/>
      <c r="J38" s="40" t="n"/>
      <c r="K38" s="40" t="n"/>
      <c r="L38" s="41" t="n"/>
      <c r="M38" s="40" t="n"/>
      <c r="N38" s="40" t="n"/>
    </row>
    <row r="39">
      <c r="A39" s="39">
        <f>IF(L39="","","PV-"&amp;TEXT(ROW()-4,"0000"))</f>
        <v/>
      </c>
      <c r="B39" s="47" t="n"/>
      <c r="C39" s="40" t="n"/>
      <c r="D39" s="50" t="n"/>
      <c r="E39" s="49">
        <f>IF(D39="","",IFERROR(INDEX('المشروعات'!$B$5:$B$304,MATCH(D39,'المشروعات'!$A$5:$A$304,0)),""))</f>
        <v/>
      </c>
      <c r="F39" s="40" t="n"/>
      <c r="G39" s="40" t="n"/>
      <c r="H39" s="40" t="n"/>
      <c r="I39" s="40" t="n"/>
      <c r="J39" s="40" t="n"/>
      <c r="K39" s="40" t="n"/>
      <c r="L39" s="41" t="n"/>
      <c r="M39" s="40" t="n"/>
      <c r="N39" s="40" t="n"/>
    </row>
    <row r="40">
      <c r="A40" s="39">
        <f>IF(L40="","","PV-"&amp;TEXT(ROW()-4,"0000"))</f>
        <v/>
      </c>
      <c r="B40" s="47" t="n"/>
      <c r="C40" s="40" t="n"/>
      <c r="D40" s="50" t="n"/>
      <c r="E40" s="49">
        <f>IF(D40="","",IFERROR(INDEX('المشروعات'!$B$5:$B$304,MATCH(D40,'المشروعات'!$A$5:$A$304,0)),""))</f>
        <v/>
      </c>
      <c r="F40" s="40" t="n"/>
      <c r="G40" s="40" t="n"/>
      <c r="H40" s="40" t="n"/>
      <c r="I40" s="40" t="n"/>
      <c r="J40" s="40" t="n"/>
      <c r="K40" s="40" t="n"/>
      <c r="L40" s="41" t="n"/>
      <c r="M40" s="40" t="n"/>
      <c r="N40" s="40" t="n"/>
    </row>
    <row r="41">
      <c r="A41" s="39">
        <f>IF(L41="","","PV-"&amp;TEXT(ROW()-4,"0000"))</f>
        <v/>
      </c>
      <c r="B41" s="47" t="n"/>
      <c r="C41" s="40" t="n"/>
      <c r="D41" s="50" t="n"/>
      <c r="E41" s="49">
        <f>IF(D41="","",IFERROR(INDEX('المشروعات'!$B$5:$B$304,MATCH(D41,'المشروعات'!$A$5:$A$304,0)),""))</f>
        <v/>
      </c>
      <c r="F41" s="40" t="n"/>
      <c r="G41" s="40" t="n"/>
      <c r="H41" s="40" t="n"/>
      <c r="I41" s="40" t="n"/>
      <c r="J41" s="40" t="n"/>
      <c r="K41" s="40" t="n"/>
      <c r="L41" s="41" t="n"/>
      <c r="M41" s="40" t="n"/>
      <c r="N41" s="40" t="n"/>
    </row>
    <row r="42">
      <c r="A42" s="39">
        <f>IF(L42="","","PV-"&amp;TEXT(ROW()-4,"0000"))</f>
        <v/>
      </c>
      <c r="B42" s="47" t="n"/>
      <c r="C42" s="40" t="n"/>
      <c r="D42" s="50" t="n"/>
      <c r="E42" s="49">
        <f>IF(D42="","",IFERROR(INDEX('المشروعات'!$B$5:$B$304,MATCH(D42,'المشروعات'!$A$5:$A$304,0)),""))</f>
        <v/>
      </c>
      <c r="F42" s="40" t="n"/>
      <c r="G42" s="40" t="n"/>
      <c r="H42" s="40" t="n"/>
      <c r="I42" s="40" t="n"/>
      <c r="J42" s="40" t="n"/>
      <c r="K42" s="40" t="n"/>
      <c r="L42" s="41" t="n"/>
      <c r="M42" s="40" t="n"/>
      <c r="N42" s="40" t="n"/>
    </row>
    <row r="43">
      <c r="A43" s="39">
        <f>IF(L43="","","PV-"&amp;TEXT(ROW()-4,"0000"))</f>
        <v/>
      </c>
      <c r="B43" s="47" t="n"/>
      <c r="C43" s="40" t="n"/>
      <c r="D43" s="50" t="n"/>
      <c r="E43" s="49">
        <f>IF(D43="","",IFERROR(INDEX('المشروعات'!$B$5:$B$304,MATCH(D43,'المشروعات'!$A$5:$A$304,0)),""))</f>
        <v/>
      </c>
      <c r="F43" s="40" t="n"/>
      <c r="G43" s="40" t="n"/>
      <c r="H43" s="40" t="n"/>
      <c r="I43" s="40" t="n"/>
      <c r="J43" s="40" t="n"/>
      <c r="K43" s="40" t="n"/>
      <c r="L43" s="41" t="n"/>
      <c r="M43" s="40" t="n"/>
      <c r="N43" s="40" t="n"/>
    </row>
    <row r="44">
      <c r="A44" s="39">
        <f>IF(L44="","","PV-"&amp;TEXT(ROW()-4,"0000"))</f>
        <v/>
      </c>
      <c r="B44" s="47" t="n"/>
      <c r="C44" s="40" t="n"/>
      <c r="D44" s="50" t="n"/>
      <c r="E44" s="49">
        <f>IF(D44="","",IFERROR(INDEX('المشروعات'!$B$5:$B$304,MATCH(D44,'المشروعات'!$A$5:$A$304,0)),""))</f>
        <v/>
      </c>
      <c r="F44" s="40" t="n"/>
      <c r="G44" s="40" t="n"/>
      <c r="H44" s="40" t="n"/>
      <c r="I44" s="40" t="n"/>
      <c r="J44" s="40" t="n"/>
      <c r="K44" s="40" t="n"/>
      <c r="L44" s="41" t="n"/>
      <c r="M44" s="40" t="n"/>
      <c r="N44" s="40" t="n"/>
    </row>
    <row r="45">
      <c r="A45" s="39">
        <f>IF(L45="","","PV-"&amp;TEXT(ROW()-4,"0000"))</f>
        <v/>
      </c>
      <c r="B45" s="47" t="n"/>
      <c r="C45" s="40" t="n"/>
      <c r="D45" s="50" t="n"/>
      <c r="E45" s="49">
        <f>IF(D45="","",IFERROR(INDEX('المشروعات'!$B$5:$B$304,MATCH(D45,'المشروعات'!$A$5:$A$304,0)),""))</f>
        <v/>
      </c>
      <c r="F45" s="40" t="n"/>
      <c r="G45" s="40" t="n"/>
      <c r="H45" s="40" t="n"/>
      <c r="I45" s="40" t="n"/>
      <c r="J45" s="40" t="n"/>
      <c r="K45" s="40" t="n"/>
      <c r="L45" s="41" t="n"/>
      <c r="M45" s="40" t="n"/>
      <c r="N45" s="40" t="n"/>
    </row>
    <row r="46">
      <c r="A46" s="39">
        <f>IF(L46="","","PV-"&amp;TEXT(ROW()-4,"0000"))</f>
        <v/>
      </c>
      <c r="B46" s="47" t="n"/>
      <c r="C46" s="40" t="n"/>
      <c r="D46" s="50" t="n"/>
      <c r="E46" s="49">
        <f>IF(D46="","",IFERROR(INDEX('المشروعات'!$B$5:$B$304,MATCH(D46,'المشروعات'!$A$5:$A$304,0)),""))</f>
        <v/>
      </c>
      <c r="F46" s="40" t="n"/>
      <c r="G46" s="40" t="n"/>
      <c r="H46" s="40" t="n"/>
      <c r="I46" s="40" t="n"/>
      <c r="J46" s="40" t="n"/>
      <c r="K46" s="40" t="n"/>
      <c r="L46" s="41" t="n"/>
      <c r="M46" s="40" t="n"/>
      <c r="N46" s="40" t="n"/>
    </row>
    <row r="47">
      <c r="A47" s="39">
        <f>IF(L47="","","PV-"&amp;TEXT(ROW()-4,"0000"))</f>
        <v/>
      </c>
      <c r="B47" s="47" t="n"/>
      <c r="C47" s="40" t="n"/>
      <c r="D47" s="50" t="n"/>
      <c r="E47" s="49">
        <f>IF(D47="","",IFERROR(INDEX('المشروعات'!$B$5:$B$304,MATCH(D47,'المشروعات'!$A$5:$A$304,0)),""))</f>
        <v/>
      </c>
      <c r="F47" s="40" t="n"/>
      <c r="G47" s="40" t="n"/>
      <c r="H47" s="40" t="n"/>
      <c r="I47" s="40" t="n"/>
      <c r="J47" s="40" t="n"/>
      <c r="K47" s="40" t="n"/>
      <c r="L47" s="41" t="n"/>
      <c r="M47" s="40" t="n"/>
      <c r="N47" s="40" t="n"/>
    </row>
    <row r="48">
      <c r="A48" s="39">
        <f>IF(L48="","","PV-"&amp;TEXT(ROW()-4,"0000"))</f>
        <v/>
      </c>
      <c r="B48" s="47" t="n"/>
      <c r="C48" s="40" t="n"/>
      <c r="D48" s="50" t="n"/>
      <c r="E48" s="49">
        <f>IF(D48="","",IFERROR(INDEX('المشروعات'!$B$5:$B$304,MATCH(D48,'المشروعات'!$A$5:$A$304,0)),""))</f>
        <v/>
      </c>
      <c r="F48" s="40" t="n"/>
      <c r="G48" s="40" t="n"/>
      <c r="H48" s="40" t="n"/>
      <c r="I48" s="40" t="n"/>
      <c r="J48" s="40" t="n"/>
      <c r="K48" s="40" t="n"/>
      <c r="L48" s="41" t="n"/>
      <c r="M48" s="40" t="n"/>
      <c r="N48" s="40" t="n"/>
    </row>
    <row r="49">
      <c r="A49" s="39">
        <f>IF(L49="","","PV-"&amp;TEXT(ROW()-4,"0000"))</f>
        <v/>
      </c>
      <c r="B49" s="47" t="n"/>
      <c r="C49" s="40" t="n"/>
      <c r="D49" s="50" t="n"/>
      <c r="E49" s="49">
        <f>IF(D49="","",IFERROR(INDEX('المشروعات'!$B$5:$B$304,MATCH(D49,'المشروعات'!$A$5:$A$304,0)),""))</f>
        <v/>
      </c>
      <c r="F49" s="40" t="n"/>
      <c r="G49" s="40" t="n"/>
      <c r="H49" s="40" t="n"/>
      <c r="I49" s="40" t="n"/>
      <c r="J49" s="40" t="n"/>
      <c r="K49" s="40" t="n"/>
      <c r="L49" s="41" t="n"/>
      <c r="M49" s="40" t="n"/>
      <c r="N49" s="40" t="n"/>
    </row>
    <row r="50">
      <c r="A50" s="39">
        <f>IF(L50="","","PV-"&amp;TEXT(ROW()-4,"0000"))</f>
        <v/>
      </c>
      <c r="B50" s="47" t="n"/>
      <c r="C50" s="40" t="n"/>
      <c r="D50" s="50" t="n"/>
      <c r="E50" s="49">
        <f>IF(D50="","",IFERROR(INDEX('المشروعات'!$B$5:$B$304,MATCH(D50,'المشروعات'!$A$5:$A$304,0)),""))</f>
        <v/>
      </c>
      <c r="F50" s="40" t="n"/>
      <c r="G50" s="40" t="n"/>
      <c r="H50" s="40" t="n"/>
      <c r="I50" s="40" t="n"/>
      <c r="J50" s="40" t="n"/>
      <c r="K50" s="40" t="n"/>
      <c r="L50" s="41" t="n"/>
      <c r="M50" s="40" t="n"/>
      <c r="N50" s="40" t="n"/>
    </row>
    <row r="51">
      <c r="A51" s="39">
        <f>IF(L51="","","PV-"&amp;TEXT(ROW()-4,"0000"))</f>
        <v/>
      </c>
      <c r="B51" s="47" t="n"/>
      <c r="C51" s="40" t="n"/>
      <c r="D51" s="50" t="n"/>
      <c r="E51" s="49">
        <f>IF(D51="","",IFERROR(INDEX('المشروعات'!$B$5:$B$304,MATCH(D51,'المشروعات'!$A$5:$A$304,0)),""))</f>
        <v/>
      </c>
      <c r="F51" s="40" t="n"/>
      <c r="G51" s="40" t="n"/>
      <c r="H51" s="40" t="n"/>
      <c r="I51" s="40" t="n"/>
      <c r="J51" s="40" t="n"/>
      <c r="K51" s="40" t="n"/>
      <c r="L51" s="41" t="n"/>
      <c r="M51" s="40" t="n"/>
      <c r="N51" s="40" t="n"/>
    </row>
    <row r="52">
      <c r="A52" s="39">
        <f>IF(L52="","","PV-"&amp;TEXT(ROW()-4,"0000"))</f>
        <v/>
      </c>
      <c r="B52" s="47" t="n"/>
      <c r="C52" s="40" t="n"/>
      <c r="D52" s="50" t="n"/>
      <c r="E52" s="49">
        <f>IF(D52="","",IFERROR(INDEX('المشروعات'!$B$5:$B$304,MATCH(D52,'المشروعات'!$A$5:$A$304,0)),""))</f>
        <v/>
      </c>
      <c r="F52" s="40" t="n"/>
      <c r="G52" s="40" t="n"/>
      <c r="H52" s="40" t="n"/>
      <c r="I52" s="40" t="n"/>
      <c r="J52" s="40" t="n"/>
      <c r="K52" s="40" t="n"/>
      <c r="L52" s="41" t="n"/>
      <c r="M52" s="40" t="n"/>
      <c r="N52" s="40" t="n"/>
    </row>
    <row r="53">
      <c r="A53" s="39">
        <f>IF(L53="","","PV-"&amp;TEXT(ROW()-4,"0000"))</f>
        <v/>
      </c>
      <c r="B53" s="47" t="n"/>
      <c r="C53" s="40" t="n"/>
      <c r="D53" s="50" t="n"/>
      <c r="E53" s="49">
        <f>IF(D53="","",IFERROR(INDEX('المشروعات'!$B$5:$B$304,MATCH(D53,'المشروعات'!$A$5:$A$304,0)),""))</f>
        <v/>
      </c>
      <c r="F53" s="40" t="n"/>
      <c r="G53" s="40" t="n"/>
      <c r="H53" s="40" t="n"/>
      <c r="I53" s="40" t="n"/>
      <c r="J53" s="40" t="n"/>
      <c r="K53" s="40" t="n"/>
      <c r="L53" s="41" t="n"/>
      <c r="M53" s="40" t="n"/>
      <c r="N53" s="40" t="n"/>
    </row>
    <row r="54">
      <c r="A54" s="39">
        <f>IF(L54="","","PV-"&amp;TEXT(ROW()-4,"0000"))</f>
        <v/>
      </c>
      <c r="B54" s="47" t="n"/>
      <c r="C54" s="40" t="n"/>
      <c r="D54" s="50" t="n"/>
      <c r="E54" s="49">
        <f>IF(D54="","",IFERROR(INDEX('المشروعات'!$B$5:$B$304,MATCH(D54,'المشروعات'!$A$5:$A$304,0)),""))</f>
        <v/>
      </c>
      <c r="F54" s="40" t="n"/>
      <c r="G54" s="40" t="n"/>
      <c r="H54" s="40" t="n"/>
      <c r="I54" s="40" t="n"/>
      <c r="J54" s="40" t="n"/>
      <c r="K54" s="40" t="n"/>
      <c r="L54" s="41" t="n"/>
      <c r="M54" s="40" t="n"/>
      <c r="N54" s="40" t="n"/>
    </row>
    <row r="55">
      <c r="A55" s="39">
        <f>IF(L55="","","PV-"&amp;TEXT(ROW()-4,"0000"))</f>
        <v/>
      </c>
      <c r="B55" s="47" t="n"/>
      <c r="C55" s="40" t="n"/>
      <c r="D55" s="50" t="n"/>
      <c r="E55" s="49">
        <f>IF(D55="","",IFERROR(INDEX('المشروعات'!$B$5:$B$304,MATCH(D55,'المشروعات'!$A$5:$A$304,0)),""))</f>
        <v/>
      </c>
      <c r="F55" s="40" t="n"/>
      <c r="G55" s="40" t="n"/>
      <c r="H55" s="40" t="n"/>
      <c r="I55" s="40" t="n"/>
      <c r="J55" s="40" t="n"/>
      <c r="K55" s="40" t="n"/>
      <c r="L55" s="41" t="n"/>
      <c r="M55" s="40" t="n"/>
      <c r="N55" s="40" t="n"/>
    </row>
    <row r="56">
      <c r="A56" s="39">
        <f>IF(L56="","","PV-"&amp;TEXT(ROW()-4,"0000"))</f>
        <v/>
      </c>
      <c r="B56" s="47" t="n"/>
      <c r="C56" s="40" t="n"/>
      <c r="D56" s="50" t="n"/>
      <c r="E56" s="49">
        <f>IF(D56="","",IFERROR(INDEX('المشروعات'!$B$5:$B$304,MATCH(D56,'المشروعات'!$A$5:$A$304,0)),""))</f>
        <v/>
      </c>
      <c r="F56" s="40" t="n"/>
      <c r="G56" s="40" t="n"/>
      <c r="H56" s="40" t="n"/>
      <c r="I56" s="40" t="n"/>
      <c r="J56" s="40" t="n"/>
      <c r="K56" s="40" t="n"/>
      <c r="L56" s="41" t="n"/>
      <c r="M56" s="40" t="n"/>
      <c r="N56" s="40" t="n"/>
    </row>
    <row r="57">
      <c r="A57" s="39">
        <f>IF(L57="","","PV-"&amp;TEXT(ROW()-4,"0000"))</f>
        <v/>
      </c>
      <c r="B57" s="47" t="n"/>
      <c r="C57" s="40" t="n"/>
      <c r="D57" s="50" t="n"/>
      <c r="E57" s="49">
        <f>IF(D57="","",IFERROR(INDEX('المشروعات'!$B$5:$B$304,MATCH(D57,'المشروعات'!$A$5:$A$304,0)),""))</f>
        <v/>
      </c>
      <c r="F57" s="40" t="n"/>
      <c r="G57" s="40" t="n"/>
      <c r="H57" s="40" t="n"/>
      <c r="I57" s="40" t="n"/>
      <c r="J57" s="40" t="n"/>
      <c r="K57" s="40" t="n"/>
      <c r="L57" s="41" t="n"/>
      <c r="M57" s="40" t="n"/>
      <c r="N57" s="40" t="n"/>
    </row>
    <row r="58">
      <c r="A58" s="39">
        <f>IF(L58="","","PV-"&amp;TEXT(ROW()-4,"0000"))</f>
        <v/>
      </c>
      <c r="B58" s="47" t="n"/>
      <c r="C58" s="40" t="n"/>
      <c r="D58" s="50" t="n"/>
      <c r="E58" s="49">
        <f>IF(D58="","",IFERROR(INDEX('المشروعات'!$B$5:$B$304,MATCH(D58,'المشروعات'!$A$5:$A$304,0)),""))</f>
        <v/>
      </c>
      <c r="F58" s="40" t="n"/>
      <c r="G58" s="40" t="n"/>
      <c r="H58" s="40" t="n"/>
      <c r="I58" s="40" t="n"/>
      <c r="J58" s="40" t="n"/>
      <c r="K58" s="40" t="n"/>
      <c r="L58" s="41" t="n"/>
      <c r="M58" s="40" t="n"/>
      <c r="N58" s="40" t="n"/>
    </row>
    <row r="59">
      <c r="A59" s="39">
        <f>IF(L59="","","PV-"&amp;TEXT(ROW()-4,"0000"))</f>
        <v/>
      </c>
      <c r="B59" s="47" t="n"/>
      <c r="C59" s="40" t="n"/>
      <c r="D59" s="50" t="n"/>
      <c r="E59" s="49">
        <f>IF(D59="","",IFERROR(INDEX('المشروعات'!$B$5:$B$304,MATCH(D59,'المشروعات'!$A$5:$A$304,0)),""))</f>
        <v/>
      </c>
      <c r="F59" s="40" t="n"/>
      <c r="G59" s="40" t="n"/>
      <c r="H59" s="40" t="n"/>
      <c r="I59" s="40" t="n"/>
      <c r="J59" s="40" t="n"/>
      <c r="K59" s="40" t="n"/>
      <c r="L59" s="41" t="n"/>
      <c r="M59" s="40" t="n"/>
      <c r="N59" s="40" t="n"/>
    </row>
    <row r="60">
      <c r="A60" s="39">
        <f>IF(L60="","","PV-"&amp;TEXT(ROW()-4,"0000"))</f>
        <v/>
      </c>
      <c r="B60" s="47" t="n"/>
      <c r="C60" s="40" t="n"/>
      <c r="D60" s="50" t="n"/>
      <c r="E60" s="49">
        <f>IF(D60="","",IFERROR(INDEX('المشروعات'!$B$5:$B$304,MATCH(D60,'المشروعات'!$A$5:$A$304,0)),""))</f>
        <v/>
      </c>
      <c r="F60" s="40" t="n"/>
      <c r="G60" s="40" t="n"/>
      <c r="H60" s="40" t="n"/>
      <c r="I60" s="40" t="n"/>
      <c r="J60" s="40" t="n"/>
      <c r="K60" s="40" t="n"/>
      <c r="L60" s="41" t="n"/>
      <c r="M60" s="40" t="n"/>
      <c r="N60" s="40" t="n"/>
    </row>
    <row r="61">
      <c r="A61" s="39">
        <f>IF(L61="","","PV-"&amp;TEXT(ROW()-4,"0000"))</f>
        <v/>
      </c>
      <c r="B61" s="47" t="n"/>
      <c r="C61" s="40" t="n"/>
      <c r="D61" s="50" t="n"/>
      <c r="E61" s="49">
        <f>IF(D61="","",IFERROR(INDEX('المشروعات'!$B$5:$B$304,MATCH(D61,'المشروعات'!$A$5:$A$304,0)),""))</f>
        <v/>
      </c>
      <c r="F61" s="40" t="n"/>
      <c r="G61" s="40" t="n"/>
      <c r="H61" s="40" t="n"/>
      <c r="I61" s="40" t="n"/>
      <c r="J61" s="40" t="n"/>
      <c r="K61" s="40" t="n"/>
      <c r="L61" s="41" t="n"/>
      <c r="M61" s="40" t="n"/>
      <c r="N61" s="40" t="n"/>
    </row>
    <row r="62">
      <c r="A62" s="39">
        <f>IF(L62="","","PV-"&amp;TEXT(ROW()-4,"0000"))</f>
        <v/>
      </c>
      <c r="B62" s="47" t="n"/>
      <c r="C62" s="40" t="n"/>
      <c r="D62" s="50" t="n"/>
      <c r="E62" s="49">
        <f>IF(D62="","",IFERROR(INDEX('المشروعات'!$B$5:$B$304,MATCH(D62,'المشروعات'!$A$5:$A$304,0)),""))</f>
        <v/>
      </c>
      <c r="F62" s="40" t="n"/>
      <c r="G62" s="40" t="n"/>
      <c r="H62" s="40" t="n"/>
      <c r="I62" s="40" t="n"/>
      <c r="J62" s="40" t="n"/>
      <c r="K62" s="40" t="n"/>
      <c r="L62" s="41" t="n"/>
      <c r="M62" s="40" t="n"/>
      <c r="N62" s="40" t="n"/>
    </row>
    <row r="63">
      <c r="A63" s="39">
        <f>IF(L63="","","PV-"&amp;TEXT(ROW()-4,"0000"))</f>
        <v/>
      </c>
      <c r="B63" s="47" t="n"/>
      <c r="C63" s="40" t="n"/>
      <c r="D63" s="50" t="n"/>
      <c r="E63" s="49">
        <f>IF(D63="","",IFERROR(INDEX('المشروعات'!$B$5:$B$304,MATCH(D63,'المشروعات'!$A$5:$A$304,0)),""))</f>
        <v/>
      </c>
      <c r="F63" s="40" t="n"/>
      <c r="G63" s="40" t="n"/>
      <c r="H63" s="40" t="n"/>
      <c r="I63" s="40" t="n"/>
      <c r="J63" s="40" t="n"/>
      <c r="K63" s="40" t="n"/>
      <c r="L63" s="41" t="n"/>
      <c r="M63" s="40" t="n"/>
      <c r="N63" s="40" t="n"/>
    </row>
    <row r="64">
      <c r="A64" s="39">
        <f>IF(L64="","","PV-"&amp;TEXT(ROW()-4,"0000"))</f>
        <v/>
      </c>
      <c r="B64" s="47" t="n"/>
      <c r="C64" s="40" t="n"/>
      <c r="D64" s="50" t="n"/>
      <c r="E64" s="49">
        <f>IF(D64="","",IFERROR(INDEX('المشروعات'!$B$5:$B$304,MATCH(D64,'المشروعات'!$A$5:$A$304,0)),""))</f>
        <v/>
      </c>
      <c r="F64" s="40" t="n"/>
      <c r="G64" s="40" t="n"/>
      <c r="H64" s="40" t="n"/>
      <c r="I64" s="40" t="n"/>
      <c r="J64" s="40" t="n"/>
      <c r="K64" s="40" t="n"/>
      <c r="L64" s="41" t="n"/>
      <c r="M64" s="40" t="n"/>
      <c r="N64" s="40" t="n"/>
    </row>
    <row r="65">
      <c r="A65" s="39">
        <f>IF(L65="","","PV-"&amp;TEXT(ROW()-4,"0000"))</f>
        <v/>
      </c>
      <c r="B65" s="47" t="n"/>
      <c r="C65" s="40" t="n"/>
      <c r="D65" s="50" t="n"/>
      <c r="E65" s="49">
        <f>IF(D65="","",IFERROR(INDEX('المشروعات'!$B$5:$B$304,MATCH(D65,'المشروعات'!$A$5:$A$304,0)),""))</f>
        <v/>
      </c>
      <c r="F65" s="40" t="n"/>
      <c r="G65" s="40" t="n"/>
      <c r="H65" s="40" t="n"/>
      <c r="I65" s="40" t="n"/>
      <c r="J65" s="40" t="n"/>
      <c r="K65" s="40" t="n"/>
      <c r="L65" s="41" t="n"/>
      <c r="M65" s="40" t="n"/>
      <c r="N65" s="40" t="n"/>
    </row>
    <row r="66">
      <c r="A66" s="39">
        <f>IF(L66="","","PV-"&amp;TEXT(ROW()-4,"0000"))</f>
        <v/>
      </c>
      <c r="B66" s="47" t="n"/>
      <c r="C66" s="40" t="n"/>
      <c r="D66" s="50" t="n"/>
      <c r="E66" s="49">
        <f>IF(D66="","",IFERROR(INDEX('المشروعات'!$B$5:$B$304,MATCH(D66,'المشروعات'!$A$5:$A$304,0)),""))</f>
        <v/>
      </c>
      <c r="F66" s="40" t="n"/>
      <c r="G66" s="40" t="n"/>
      <c r="H66" s="40" t="n"/>
      <c r="I66" s="40" t="n"/>
      <c r="J66" s="40" t="n"/>
      <c r="K66" s="40" t="n"/>
      <c r="L66" s="41" t="n"/>
      <c r="M66" s="40" t="n"/>
      <c r="N66" s="40" t="n"/>
    </row>
    <row r="67">
      <c r="A67" s="39">
        <f>IF(L67="","","PV-"&amp;TEXT(ROW()-4,"0000"))</f>
        <v/>
      </c>
      <c r="B67" s="47" t="n"/>
      <c r="C67" s="40" t="n"/>
      <c r="D67" s="50" t="n"/>
      <c r="E67" s="49">
        <f>IF(D67="","",IFERROR(INDEX('المشروعات'!$B$5:$B$304,MATCH(D67,'المشروعات'!$A$5:$A$304,0)),""))</f>
        <v/>
      </c>
      <c r="F67" s="40" t="n"/>
      <c r="G67" s="40" t="n"/>
      <c r="H67" s="40" t="n"/>
      <c r="I67" s="40" t="n"/>
      <c r="J67" s="40" t="n"/>
      <c r="K67" s="40" t="n"/>
      <c r="L67" s="41" t="n"/>
      <c r="M67" s="40" t="n"/>
      <c r="N67" s="40" t="n"/>
    </row>
    <row r="68">
      <c r="A68" s="39">
        <f>IF(L68="","","PV-"&amp;TEXT(ROW()-4,"0000"))</f>
        <v/>
      </c>
      <c r="B68" s="47" t="n"/>
      <c r="C68" s="40" t="n"/>
      <c r="D68" s="50" t="n"/>
      <c r="E68" s="49">
        <f>IF(D68="","",IFERROR(INDEX('المشروعات'!$B$5:$B$304,MATCH(D68,'المشروعات'!$A$5:$A$304,0)),""))</f>
        <v/>
      </c>
      <c r="F68" s="40" t="n"/>
      <c r="G68" s="40" t="n"/>
      <c r="H68" s="40" t="n"/>
      <c r="I68" s="40" t="n"/>
      <c r="J68" s="40" t="n"/>
      <c r="K68" s="40" t="n"/>
      <c r="L68" s="41" t="n"/>
      <c r="M68" s="40" t="n"/>
      <c r="N68" s="40" t="n"/>
    </row>
    <row r="69">
      <c r="A69" s="39">
        <f>IF(L69="","","PV-"&amp;TEXT(ROW()-4,"0000"))</f>
        <v/>
      </c>
      <c r="B69" s="47" t="n"/>
      <c r="C69" s="40" t="n"/>
      <c r="D69" s="50" t="n"/>
      <c r="E69" s="49">
        <f>IF(D69="","",IFERROR(INDEX('المشروعات'!$B$5:$B$304,MATCH(D69,'المشروعات'!$A$5:$A$304,0)),""))</f>
        <v/>
      </c>
      <c r="F69" s="40" t="n"/>
      <c r="G69" s="40" t="n"/>
      <c r="H69" s="40" t="n"/>
      <c r="I69" s="40" t="n"/>
      <c r="J69" s="40" t="n"/>
      <c r="K69" s="40" t="n"/>
      <c r="L69" s="41" t="n"/>
      <c r="M69" s="40" t="n"/>
      <c r="N69" s="40" t="n"/>
    </row>
    <row r="70">
      <c r="A70" s="39">
        <f>IF(L70="","","PV-"&amp;TEXT(ROW()-4,"0000"))</f>
        <v/>
      </c>
      <c r="B70" s="47" t="n"/>
      <c r="C70" s="40" t="n"/>
      <c r="D70" s="50" t="n"/>
      <c r="E70" s="49">
        <f>IF(D70="","",IFERROR(INDEX('المشروعات'!$B$5:$B$304,MATCH(D70,'المشروعات'!$A$5:$A$304,0)),""))</f>
        <v/>
      </c>
      <c r="F70" s="40" t="n"/>
      <c r="G70" s="40" t="n"/>
      <c r="H70" s="40" t="n"/>
      <c r="I70" s="40" t="n"/>
      <c r="J70" s="40" t="n"/>
      <c r="K70" s="40" t="n"/>
      <c r="L70" s="41" t="n"/>
      <c r="M70" s="40" t="n"/>
      <c r="N70" s="40" t="n"/>
    </row>
    <row r="71">
      <c r="A71" s="39">
        <f>IF(L71="","","PV-"&amp;TEXT(ROW()-4,"0000"))</f>
        <v/>
      </c>
      <c r="B71" s="47" t="n"/>
      <c r="C71" s="40" t="n"/>
      <c r="D71" s="50" t="n"/>
      <c r="E71" s="49">
        <f>IF(D71="","",IFERROR(INDEX('المشروعات'!$B$5:$B$304,MATCH(D71,'المشروعات'!$A$5:$A$304,0)),""))</f>
        <v/>
      </c>
      <c r="F71" s="40" t="n"/>
      <c r="G71" s="40" t="n"/>
      <c r="H71" s="40" t="n"/>
      <c r="I71" s="40" t="n"/>
      <c r="J71" s="40" t="n"/>
      <c r="K71" s="40" t="n"/>
      <c r="L71" s="41" t="n"/>
      <c r="M71" s="40" t="n"/>
      <c r="N71" s="40" t="n"/>
    </row>
    <row r="72">
      <c r="A72" s="39">
        <f>IF(L72="","","PV-"&amp;TEXT(ROW()-4,"0000"))</f>
        <v/>
      </c>
      <c r="B72" s="47" t="n"/>
      <c r="C72" s="40" t="n"/>
      <c r="D72" s="50" t="n"/>
      <c r="E72" s="49">
        <f>IF(D72="","",IFERROR(INDEX('المشروعات'!$B$5:$B$304,MATCH(D72,'المشروعات'!$A$5:$A$304,0)),""))</f>
        <v/>
      </c>
      <c r="F72" s="40" t="n"/>
      <c r="G72" s="40" t="n"/>
      <c r="H72" s="40" t="n"/>
      <c r="I72" s="40" t="n"/>
      <c r="J72" s="40" t="n"/>
      <c r="K72" s="40" t="n"/>
      <c r="L72" s="41" t="n"/>
      <c r="M72" s="40" t="n"/>
      <c r="N72" s="40" t="n"/>
    </row>
    <row r="73">
      <c r="A73" s="39">
        <f>IF(L73="","","PV-"&amp;TEXT(ROW()-4,"0000"))</f>
        <v/>
      </c>
      <c r="B73" s="47" t="n"/>
      <c r="C73" s="40" t="n"/>
      <c r="D73" s="50" t="n"/>
      <c r="E73" s="49">
        <f>IF(D73="","",IFERROR(INDEX('المشروعات'!$B$5:$B$304,MATCH(D73,'المشروعات'!$A$5:$A$304,0)),""))</f>
        <v/>
      </c>
      <c r="F73" s="40" t="n"/>
      <c r="G73" s="40" t="n"/>
      <c r="H73" s="40" t="n"/>
      <c r="I73" s="40" t="n"/>
      <c r="J73" s="40" t="n"/>
      <c r="K73" s="40" t="n"/>
      <c r="L73" s="41" t="n"/>
      <c r="M73" s="40" t="n"/>
      <c r="N73" s="40" t="n"/>
    </row>
    <row r="74">
      <c r="A74" s="39">
        <f>IF(L74="","","PV-"&amp;TEXT(ROW()-4,"0000"))</f>
        <v/>
      </c>
      <c r="B74" s="47" t="n"/>
      <c r="C74" s="40" t="n"/>
      <c r="D74" s="50" t="n"/>
      <c r="E74" s="49">
        <f>IF(D74="","",IFERROR(INDEX('المشروعات'!$B$5:$B$304,MATCH(D74,'المشروعات'!$A$5:$A$304,0)),""))</f>
        <v/>
      </c>
      <c r="F74" s="40" t="n"/>
      <c r="G74" s="40" t="n"/>
      <c r="H74" s="40" t="n"/>
      <c r="I74" s="40" t="n"/>
      <c r="J74" s="40" t="n"/>
      <c r="K74" s="40" t="n"/>
      <c r="L74" s="41" t="n"/>
      <c r="M74" s="40" t="n"/>
      <c r="N74" s="40" t="n"/>
    </row>
    <row r="75">
      <c r="A75" s="39">
        <f>IF(L75="","","PV-"&amp;TEXT(ROW()-4,"0000"))</f>
        <v/>
      </c>
      <c r="B75" s="47" t="n"/>
      <c r="C75" s="40" t="n"/>
      <c r="D75" s="50" t="n"/>
      <c r="E75" s="49">
        <f>IF(D75="","",IFERROR(INDEX('المشروعات'!$B$5:$B$304,MATCH(D75,'المشروعات'!$A$5:$A$304,0)),""))</f>
        <v/>
      </c>
      <c r="F75" s="40" t="n"/>
      <c r="G75" s="40" t="n"/>
      <c r="H75" s="40" t="n"/>
      <c r="I75" s="40" t="n"/>
      <c r="J75" s="40" t="n"/>
      <c r="K75" s="40" t="n"/>
      <c r="L75" s="41" t="n"/>
      <c r="M75" s="40" t="n"/>
      <c r="N75" s="40" t="n"/>
    </row>
    <row r="76">
      <c r="A76" s="39">
        <f>IF(L76="","","PV-"&amp;TEXT(ROW()-4,"0000"))</f>
        <v/>
      </c>
      <c r="B76" s="47" t="n"/>
      <c r="C76" s="40" t="n"/>
      <c r="D76" s="50" t="n"/>
      <c r="E76" s="49">
        <f>IF(D76="","",IFERROR(INDEX('المشروعات'!$B$5:$B$304,MATCH(D76,'المشروعات'!$A$5:$A$304,0)),""))</f>
        <v/>
      </c>
      <c r="F76" s="40" t="n"/>
      <c r="G76" s="40" t="n"/>
      <c r="H76" s="40" t="n"/>
      <c r="I76" s="40" t="n"/>
      <c r="J76" s="40" t="n"/>
      <c r="K76" s="40" t="n"/>
      <c r="L76" s="41" t="n"/>
      <c r="M76" s="40" t="n"/>
      <c r="N76" s="40" t="n"/>
    </row>
    <row r="77">
      <c r="A77" s="39">
        <f>IF(L77="","","PV-"&amp;TEXT(ROW()-4,"0000"))</f>
        <v/>
      </c>
      <c r="B77" s="47" t="n"/>
      <c r="C77" s="40" t="n"/>
      <c r="D77" s="50" t="n"/>
      <c r="E77" s="49">
        <f>IF(D77="","",IFERROR(INDEX('المشروعات'!$B$5:$B$304,MATCH(D77,'المشروعات'!$A$5:$A$304,0)),""))</f>
        <v/>
      </c>
      <c r="F77" s="40" t="n"/>
      <c r="G77" s="40" t="n"/>
      <c r="H77" s="40" t="n"/>
      <c r="I77" s="40" t="n"/>
      <c r="J77" s="40" t="n"/>
      <c r="K77" s="40" t="n"/>
      <c r="L77" s="41" t="n"/>
      <c r="M77" s="40" t="n"/>
      <c r="N77" s="40" t="n"/>
    </row>
    <row r="78">
      <c r="A78" s="39">
        <f>IF(L78="","","PV-"&amp;TEXT(ROW()-4,"0000"))</f>
        <v/>
      </c>
      <c r="B78" s="47" t="n"/>
      <c r="C78" s="40" t="n"/>
      <c r="D78" s="50" t="n"/>
      <c r="E78" s="49">
        <f>IF(D78="","",IFERROR(INDEX('المشروعات'!$B$5:$B$304,MATCH(D78,'المشروعات'!$A$5:$A$304,0)),""))</f>
        <v/>
      </c>
      <c r="F78" s="40" t="n"/>
      <c r="G78" s="40" t="n"/>
      <c r="H78" s="40" t="n"/>
      <c r="I78" s="40" t="n"/>
      <c r="J78" s="40" t="n"/>
      <c r="K78" s="40" t="n"/>
      <c r="L78" s="41" t="n"/>
      <c r="M78" s="40" t="n"/>
      <c r="N78" s="40" t="n"/>
    </row>
    <row r="79">
      <c r="A79" s="39">
        <f>IF(L79="","","PV-"&amp;TEXT(ROW()-4,"0000"))</f>
        <v/>
      </c>
      <c r="B79" s="47" t="n"/>
      <c r="C79" s="40" t="n"/>
      <c r="D79" s="50" t="n"/>
      <c r="E79" s="49">
        <f>IF(D79="","",IFERROR(INDEX('المشروعات'!$B$5:$B$304,MATCH(D79,'المشروعات'!$A$5:$A$304,0)),""))</f>
        <v/>
      </c>
      <c r="F79" s="40" t="n"/>
      <c r="G79" s="40" t="n"/>
      <c r="H79" s="40" t="n"/>
      <c r="I79" s="40" t="n"/>
      <c r="J79" s="40" t="n"/>
      <c r="K79" s="40" t="n"/>
      <c r="L79" s="41" t="n"/>
      <c r="M79" s="40" t="n"/>
      <c r="N79" s="40" t="n"/>
    </row>
    <row r="80">
      <c r="A80" s="39">
        <f>IF(L80="","","PV-"&amp;TEXT(ROW()-4,"0000"))</f>
        <v/>
      </c>
      <c r="B80" s="47" t="n"/>
      <c r="C80" s="40" t="n"/>
      <c r="D80" s="50" t="n"/>
      <c r="E80" s="49">
        <f>IF(D80="","",IFERROR(INDEX('المشروعات'!$B$5:$B$304,MATCH(D80,'المشروعات'!$A$5:$A$304,0)),""))</f>
        <v/>
      </c>
      <c r="F80" s="40" t="n"/>
      <c r="G80" s="40" t="n"/>
      <c r="H80" s="40" t="n"/>
      <c r="I80" s="40" t="n"/>
      <c r="J80" s="40" t="n"/>
      <c r="K80" s="40" t="n"/>
      <c r="L80" s="41" t="n"/>
      <c r="M80" s="40" t="n"/>
      <c r="N80" s="40" t="n"/>
    </row>
    <row r="81">
      <c r="A81" s="39">
        <f>IF(L81="","","PV-"&amp;TEXT(ROW()-4,"0000"))</f>
        <v/>
      </c>
      <c r="B81" s="47" t="n"/>
      <c r="C81" s="40" t="n"/>
      <c r="D81" s="50" t="n"/>
      <c r="E81" s="49">
        <f>IF(D81="","",IFERROR(INDEX('المشروعات'!$B$5:$B$304,MATCH(D81,'المشروعات'!$A$5:$A$304,0)),""))</f>
        <v/>
      </c>
      <c r="F81" s="40" t="n"/>
      <c r="G81" s="40" t="n"/>
      <c r="H81" s="40" t="n"/>
      <c r="I81" s="40" t="n"/>
      <c r="J81" s="40" t="n"/>
      <c r="K81" s="40" t="n"/>
      <c r="L81" s="41" t="n"/>
      <c r="M81" s="40" t="n"/>
      <c r="N81" s="40" t="n"/>
    </row>
    <row r="82">
      <c r="A82" s="39">
        <f>IF(L82="","","PV-"&amp;TEXT(ROW()-4,"0000"))</f>
        <v/>
      </c>
      <c r="B82" s="47" t="n"/>
      <c r="C82" s="40" t="n"/>
      <c r="D82" s="50" t="n"/>
      <c r="E82" s="49">
        <f>IF(D82="","",IFERROR(INDEX('المشروعات'!$B$5:$B$304,MATCH(D82,'المشروعات'!$A$5:$A$304,0)),""))</f>
        <v/>
      </c>
      <c r="F82" s="40" t="n"/>
      <c r="G82" s="40" t="n"/>
      <c r="H82" s="40" t="n"/>
      <c r="I82" s="40" t="n"/>
      <c r="J82" s="40" t="n"/>
      <c r="K82" s="40" t="n"/>
      <c r="L82" s="41" t="n"/>
      <c r="M82" s="40" t="n"/>
      <c r="N82" s="40" t="n"/>
    </row>
    <row r="83">
      <c r="A83" s="39">
        <f>IF(L83="","","PV-"&amp;TEXT(ROW()-4,"0000"))</f>
        <v/>
      </c>
      <c r="B83" s="47" t="n"/>
      <c r="C83" s="40" t="n"/>
      <c r="D83" s="50" t="n"/>
      <c r="E83" s="49">
        <f>IF(D83="","",IFERROR(INDEX('المشروعات'!$B$5:$B$304,MATCH(D83,'المشروعات'!$A$5:$A$304,0)),""))</f>
        <v/>
      </c>
      <c r="F83" s="40" t="n"/>
      <c r="G83" s="40" t="n"/>
      <c r="H83" s="40" t="n"/>
      <c r="I83" s="40" t="n"/>
      <c r="J83" s="40" t="n"/>
      <c r="K83" s="40" t="n"/>
      <c r="L83" s="41" t="n"/>
      <c r="M83" s="40" t="n"/>
      <c r="N83" s="40" t="n"/>
    </row>
    <row r="84">
      <c r="A84" s="39">
        <f>IF(L84="","","PV-"&amp;TEXT(ROW()-4,"0000"))</f>
        <v/>
      </c>
      <c r="B84" s="47" t="n"/>
      <c r="C84" s="40" t="n"/>
      <c r="D84" s="50" t="n"/>
      <c r="E84" s="49">
        <f>IF(D84="","",IFERROR(INDEX('المشروعات'!$B$5:$B$304,MATCH(D84,'المشروعات'!$A$5:$A$304,0)),""))</f>
        <v/>
      </c>
      <c r="F84" s="40" t="n"/>
      <c r="G84" s="40" t="n"/>
      <c r="H84" s="40" t="n"/>
      <c r="I84" s="40" t="n"/>
      <c r="J84" s="40" t="n"/>
      <c r="K84" s="40" t="n"/>
      <c r="L84" s="41" t="n"/>
      <c r="M84" s="40" t="n"/>
      <c r="N84" s="40" t="n"/>
    </row>
    <row r="85">
      <c r="A85" s="39">
        <f>IF(L85="","","PV-"&amp;TEXT(ROW()-4,"0000"))</f>
        <v/>
      </c>
      <c r="B85" s="47" t="n"/>
      <c r="C85" s="40" t="n"/>
      <c r="D85" s="50" t="n"/>
      <c r="E85" s="49">
        <f>IF(D85="","",IFERROR(INDEX('المشروعات'!$B$5:$B$304,MATCH(D85,'المشروعات'!$A$5:$A$304,0)),""))</f>
        <v/>
      </c>
      <c r="F85" s="40" t="n"/>
      <c r="G85" s="40" t="n"/>
      <c r="H85" s="40" t="n"/>
      <c r="I85" s="40" t="n"/>
      <c r="J85" s="40" t="n"/>
      <c r="K85" s="40" t="n"/>
      <c r="L85" s="41" t="n"/>
      <c r="M85" s="40" t="n"/>
      <c r="N85" s="40" t="n"/>
    </row>
    <row r="86">
      <c r="A86" s="39">
        <f>IF(L86="","","PV-"&amp;TEXT(ROW()-4,"0000"))</f>
        <v/>
      </c>
      <c r="B86" s="47" t="n"/>
      <c r="C86" s="40" t="n"/>
      <c r="D86" s="50" t="n"/>
      <c r="E86" s="49">
        <f>IF(D86="","",IFERROR(INDEX('المشروعات'!$B$5:$B$304,MATCH(D86,'المشروعات'!$A$5:$A$304,0)),""))</f>
        <v/>
      </c>
      <c r="F86" s="40" t="n"/>
      <c r="G86" s="40" t="n"/>
      <c r="H86" s="40" t="n"/>
      <c r="I86" s="40" t="n"/>
      <c r="J86" s="40" t="n"/>
      <c r="K86" s="40" t="n"/>
      <c r="L86" s="41" t="n"/>
      <c r="M86" s="40" t="n"/>
      <c r="N86" s="40" t="n"/>
    </row>
    <row r="87">
      <c r="A87" s="39">
        <f>IF(L87="","","PV-"&amp;TEXT(ROW()-4,"0000"))</f>
        <v/>
      </c>
      <c r="B87" s="47" t="n"/>
      <c r="C87" s="40" t="n"/>
      <c r="D87" s="50" t="n"/>
      <c r="E87" s="49">
        <f>IF(D87="","",IFERROR(INDEX('المشروعات'!$B$5:$B$304,MATCH(D87,'المشروعات'!$A$5:$A$304,0)),""))</f>
        <v/>
      </c>
      <c r="F87" s="40" t="n"/>
      <c r="G87" s="40" t="n"/>
      <c r="H87" s="40" t="n"/>
      <c r="I87" s="40" t="n"/>
      <c r="J87" s="40" t="n"/>
      <c r="K87" s="40" t="n"/>
      <c r="L87" s="41" t="n"/>
      <c r="M87" s="40" t="n"/>
      <c r="N87" s="40" t="n"/>
    </row>
    <row r="88">
      <c r="A88" s="39">
        <f>IF(L88="","","PV-"&amp;TEXT(ROW()-4,"0000"))</f>
        <v/>
      </c>
      <c r="B88" s="47" t="n"/>
      <c r="C88" s="40" t="n"/>
      <c r="D88" s="50" t="n"/>
      <c r="E88" s="49">
        <f>IF(D88="","",IFERROR(INDEX('المشروعات'!$B$5:$B$304,MATCH(D88,'المشروعات'!$A$5:$A$304,0)),""))</f>
        <v/>
      </c>
      <c r="F88" s="40" t="n"/>
      <c r="G88" s="40" t="n"/>
      <c r="H88" s="40" t="n"/>
      <c r="I88" s="40" t="n"/>
      <c r="J88" s="40" t="n"/>
      <c r="K88" s="40" t="n"/>
      <c r="L88" s="41" t="n"/>
      <c r="M88" s="40" t="n"/>
      <c r="N88" s="40" t="n"/>
    </row>
    <row r="89">
      <c r="A89" s="39">
        <f>IF(L89="","","PV-"&amp;TEXT(ROW()-4,"0000"))</f>
        <v/>
      </c>
      <c r="B89" s="47" t="n"/>
      <c r="C89" s="40" t="n"/>
      <c r="D89" s="50" t="n"/>
      <c r="E89" s="49">
        <f>IF(D89="","",IFERROR(INDEX('المشروعات'!$B$5:$B$304,MATCH(D89,'المشروعات'!$A$5:$A$304,0)),""))</f>
        <v/>
      </c>
      <c r="F89" s="40" t="n"/>
      <c r="G89" s="40" t="n"/>
      <c r="H89" s="40" t="n"/>
      <c r="I89" s="40" t="n"/>
      <c r="J89" s="40" t="n"/>
      <c r="K89" s="40" t="n"/>
      <c r="L89" s="41" t="n"/>
      <c r="M89" s="40" t="n"/>
      <c r="N89" s="40" t="n"/>
    </row>
    <row r="90">
      <c r="A90" s="39">
        <f>IF(L90="","","PV-"&amp;TEXT(ROW()-4,"0000"))</f>
        <v/>
      </c>
      <c r="B90" s="47" t="n"/>
      <c r="C90" s="40" t="n"/>
      <c r="D90" s="50" t="n"/>
      <c r="E90" s="49">
        <f>IF(D90="","",IFERROR(INDEX('المشروعات'!$B$5:$B$304,MATCH(D90,'المشروعات'!$A$5:$A$304,0)),""))</f>
        <v/>
      </c>
      <c r="F90" s="40" t="n"/>
      <c r="G90" s="40" t="n"/>
      <c r="H90" s="40" t="n"/>
      <c r="I90" s="40" t="n"/>
      <c r="J90" s="40" t="n"/>
      <c r="K90" s="40" t="n"/>
      <c r="L90" s="41" t="n"/>
      <c r="M90" s="40" t="n"/>
      <c r="N90" s="40" t="n"/>
    </row>
    <row r="91">
      <c r="A91" s="39">
        <f>IF(L91="","","PV-"&amp;TEXT(ROW()-4,"0000"))</f>
        <v/>
      </c>
      <c r="B91" s="47" t="n"/>
      <c r="C91" s="40" t="n"/>
      <c r="D91" s="50" t="n"/>
      <c r="E91" s="49">
        <f>IF(D91="","",IFERROR(INDEX('المشروعات'!$B$5:$B$304,MATCH(D91,'المشروعات'!$A$5:$A$304,0)),""))</f>
        <v/>
      </c>
      <c r="F91" s="40" t="n"/>
      <c r="G91" s="40" t="n"/>
      <c r="H91" s="40" t="n"/>
      <c r="I91" s="40" t="n"/>
      <c r="J91" s="40" t="n"/>
      <c r="K91" s="40" t="n"/>
      <c r="L91" s="41" t="n"/>
      <c r="M91" s="40" t="n"/>
      <c r="N91" s="40" t="n"/>
    </row>
    <row r="92">
      <c r="A92" s="39">
        <f>IF(L92="","","PV-"&amp;TEXT(ROW()-4,"0000"))</f>
        <v/>
      </c>
      <c r="B92" s="47" t="n"/>
      <c r="C92" s="40" t="n"/>
      <c r="D92" s="50" t="n"/>
      <c r="E92" s="49">
        <f>IF(D92="","",IFERROR(INDEX('المشروعات'!$B$5:$B$304,MATCH(D92,'المشروعات'!$A$5:$A$304,0)),""))</f>
        <v/>
      </c>
      <c r="F92" s="40" t="n"/>
      <c r="G92" s="40" t="n"/>
      <c r="H92" s="40" t="n"/>
      <c r="I92" s="40" t="n"/>
      <c r="J92" s="40" t="n"/>
      <c r="K92" s="40" t="n"/>
      <c r="L92" s="41" t="n"/>
      <c r="M92" s="40" t="n"/>
      <c r="N92" s="40" t="n"/>
    </row>
    <row r="93">
      <c r="A93" s="39">
        <f>IF(L93="","","PV-"&amp;TEXT(ROW()-4,"0000"))</f>
        <v/>
      </c>
      <c r="B93" s="47" t="n"/>
      <c r="C93" s="40" t="n"/>
      <c r="D93" s="50" t="n"/>
      <c r="E93" s="49">
        <f>IF(D93="","",IFERROR(INDEX('المشروعات'!$B$5:$B$304,MATCH(D93,'المشروعات'!$A$5:$A$304,0)),""))</f>
        <v/>
      </c>
      <c r="F93" s="40" t="n"/>
      <c r="G93" s="40" t="n"/>
      <c r="H93" s="40" t="n"/>
      <c r="I93" s="40" t="n"/>
      <c r="J93" s="40" t="n"/>
      <c r="K93" s="40" t="n"/>
      <c r="L93" s="41" t="n"/>
      <c r="M93" s="40" t="n"/>
      <c r="N93" s="40" t="n"/>
    </row>
    <row r="94">
      <c r="A94" s="39">
        <f>IF(L94="","","PV-"&amp;TEXT(ROW()-4,"0000"))</f>
        <v/>
      </c>
      <c r="B94" s="47" t="n"/>
      <c r="C94" s="40" t="n"/>
      <c r="D94" s="50" t="n"/>
      <c r="E94" s="49">
        <f>IF(D94="","",IFERROR(INDEX('المشروعات'!$B$5:$B$304,MATCH(D94,'المشروعات'!$A$5:$A$304,0)),""))</f>
        <v/>
      </c>
      <c r="F94" s="40" t="n"/>
      <c r="G94" s="40" t="n"/>
      <c r="H94" s="40" t="n"/>
      <c r="I94" s="40" t="n"/>
      <c r="J94" s="40" t="n"/>
      <c r="K94" s="40" t="n"/>
      <c r="L94" s="41" t="n"/>
      <c r="M94" s="40" t="n"/>
      <c r="N94" s="40" t="n"/>
    </row>
    <row r="95">
      <c r="A95" s="39">
        <f>IF(L95="","","PV-"&amp;TEXT(ROW()-4,"0000"))</f>
        <v/>
      </c>
      <c r="B95" s="47" t="n"/>
      <c r="C95" s="40" t="n"/>
      <c r="D95" s="50" t="n"/>
      <c r="E95" s="49">
        <f>IF(D95="","",IFERROR(INDEX('المشروعات'!$B$5:$B$304,MATCH(D95,'المشروعات'!$A$5:$A$304,0)),""))</f>
        <v/>
      </c>
      <c r="F95" s="40" t="n"/>
      <c r="G95" s="40" t="n"/>
      <c r="H95" s="40" t="n"/>
      <c r="I95" s="40" t="n"/>
      <c r="J95" s="40" t="n"/>
      <c r="K95" s="40" t="n"/>
      <c r="L95" s="41" t="n"/>
      <c r="M95" s="40" t="n"/>
      <c r="N95" s="40" t="n"/>
    </row>
    <row r="96">
      <c r="A96" s="39">
        <f>IF(L96="","","PV-"&amp;TEXT(ROW()-4,"0000"))</f>
        <v/>
      </c>
      <c r="B96" s="47" t="n"/>
      <c r="C96" s="40" t="n"/>
      <c r="D96" s="50" t="n"/>
      <c r="E96" s="49">
        <f>IF(D96="","",IFERROR(INDEX('المشروعات'!$B$5:$B$304,MATCH(D96,'المشروعات'!$A$5:$A$304,0)),""))</f>
        <v/>
      </c>
      <c r="F96" s="40" t="n"/>
      <c r="G96" s="40" t="n"/>
      <c r="H96" s="40" t="n"/>
      <c r="I96" s="40" t="n"/>
      <c r="J96" s="40" t="n"/>
      <c r="K96" s="40" t="n"/>
      <c r="L96" s="41" t="n"/>
      <c r="M96" s="40" t="n"/>
      <c r="N96" s="40" t="n"/>
    </row>
    <row r="97">
      <c r="A97" s="39">
        <f>IF(L97="","","PV-"&amp;TEXT(ROW()-4,"0000"))</f>
        <v/>
      </c>
      <c r="B97" s="47" t="n"/>
      <c r="C97" s="40" t="n"/>
      <c r="D97" s="50" t="n"/>
      <c r="E97" s="49">
        <f>IF(D97="","",IFERROR(INDEX('المشروعات'!$B$5:$B$304,MATCH(D97,'المشروعات'!$A$5:$A$304,0)),""))</f>
        <v/>
      </c>
      <c r="F97" s="40" t="n"/>
      <c r="G97" s="40" t="n"/>
      <c r="H97" s="40" t="n"/>
      <c r="I97" s="40" t="n"/>
      <c r="J97" s="40" t="n"/>
      <c r="K97" s="40" t="n"/>
      <c r="L97" s="41" t="n"/>
      <c r="M97" s="40" t="n"/>
      <c r="N97" s="40" t="n"/>
    </row>
    <row r="98">
      <c r="A98" s="39">
        <f>IF(L98="","","PV-"&amp;TEXT(ROW()-4,"0000"))</f>
        <v/>
      </c>
      <c r="B98" s="47" t="n"/>
      <c r="C98" s="40" t="n"/>
      <c r="D98" s="50" t="n"/>
      <c r="E98" s="49">
        <f>IF(D98="","",IFERROR(INDEX('المشروعات'!$B$5:$B$304,MATCH(D98,'المشروعات'!$A$5:$A$304,0)),""))</f>
        <v/>
      </c>
      <c r="F98" s="40" t="n"/>
      <c r="G98" s="40" t="n"/>
      <c r="H98" s="40" t="n"/>
      <c r="I98" s="40" t="n"/>
      <c r="J98" s="40" t="n"/>
      <c r="K98" s="40" t="n"/>
      <c r="L98" s="41" t="n"/>
      <c r="M98" s="40" t="n"/>
      <c r="N98" s="40" t="n"/>
    </row>
    <row r="99">
      <c r="A99" s="39">
        <f>IF(L99="","","PV-"&amp;TEXT(ROW()-4,"0000"))</f>
        <v/>
      </c>
      <c r="B99" s="47" t="n"/>
      <c r="C99" s="40" t="n"/>
      <c r="D99" s="50" t="n"/>
      <c r="E99" s="49">
        <f>IF(D99="","",IFERROR(INDEX('المشروعات'!$B$5:$B$304,MATCH(D99,'المشروعات'!$A$5:$A$304,0)),""))</f>
        <v/>
      </c>
      <c r="F99" s="40" t="n"/>
      <c r="G99" s="40" t="n"/>
      <c r="H99" s="40" t="n"/>
      <c r="I99" s="40" t="n"/>
      <c r="J99" s="40" t="n"/>
      <c r="K99" s="40" t="n"/>
      <c r="L99" s="41" t="n"/>
      <c r="M99" s="40" t="n"/>
      <c r="N99" s="40" t="n"/>
    </row>
    <row r="100">
      <c r="A100" s="39">
        <f>IF(L100="","","PV-"&amp;TEXT(ROW()-4,"0000"))</f>
        <v/>
      </c>
      <c r="B100" s="47" t="n"/>
      <c r="C100" s="40" t="n"/>
      <c r="D100" s="50" t="n"/>
      <c r="E100" s="49">
        <f>IF(D100="","",IFERROR(INDEX('المشروعات'!$B$5:$B$304,MATCH(D100,'المشروعات'!$A$5:$A$304,0)),""))</f>
        <v/>
      </c>
      <c r="F100" s="40" t="n"/>
      <c r="G100" s="40" t="n"/>
      <c r="H100" s="40" t="n"/>
      <c r="I100" s="40" t="n"/>
      <c r="J100" s="40" t="n"/>
      <c r="K100" s="40" t="n"/>
      <c r="L100" s="41" t="n"/>
      <c r="M100" s="40" t="n"/>
      <c r="N100" s="40" t="n"/>
    </row>
    <row r="101">
      <c r="A101" s="39">
        <f>IF(L101="","","PV-"&amp;TEXT(ROW()-4,"0000"))</f>
        <v/>
      </c>
      <c r="B101" s="47" t="n"/>
      <c r="C101" s="40" t="n"/>
      <c r="D101" s="50" t="n"/>
      <c r="E101" s="49">
        <f>IF(D101="","",IFERROR(INDEX('المشروعات'!$B$5:$B$304,MATCH(D101,'المشروعات'!$A$5:$A$304,0)),""))</f>
        <v/>
      </c>
      <c r="F101" s="40" t="n"/>
      <c r="G101" s="40" t="n"/>
      <c r="H101" s="40" t="n"/>
      <c r="I101" s="40" t="n"/>
      <c r="J101" s="40" t="n"/>
      <c r="K101" s="40" t="n"/>
      <c r="L101" s="41" t="n"/>
      <c r="M101" s="40" t="n"/>
      <c r="N101" s="40" t="n"/>
    </row>
    <row r="102">
      <c r="A102" s="39">
        <f>IF(L102="","","PV-"&amp;TEXT(ROW()-4,"0000"))</f>
        <v/>
      </c>
      <c r="B102" s="47" t="n"/>
      <c r="C102" s="40" t="n"/>
      <c r="D102" s="50" t="n"/>
      <c r="E102" s="49">
        <f>IF(D102="","",IFERROR(INDEX('المشروعات'!$B$5:$B$304,MATCH(D102,'المشروعات'!$A$5:$A$304,0)),""))</f>
        <v/>
      </c>
      <c r="F102" s="40" t="n"/>
      <c r="G102" s="40" t="n"/>
      <c r="H102" s="40" t="n"/>
      <c r="I102" s="40" t="n"/>
      <c r="J102" s="40" t="n"/>
      <c r="K102" s="40" t="n"/>
      <c r="L102" s="41" t="n"/>
      <c r="M102" s="40" t="n"/>
      <c r="N102" s="40" t="n"/>
    </row>
    <row r="103">
      <c r="A103" s="39">
        <f>IF(L103="","","PV-"&amp;TEXT(ROW()-4,"0000"))</f>
        <v/>
      </c>
      <c r="B103" s="47" t="n"/>
      <c r="C103" s="40" t="n"/>
      <c r="D103" s="50" t="n"/>
      <c r="E103" s="49">
        <f>IF(D103="","",IFERROR(INDEX('المشروعات'!$B$5:$B$304,MATCH(D103,'المشروعات'!$A$5:$A$304,0)),""))</f>
        <v/>
      </c>
      <c r="F103" s="40" t="n"/>
      <c r="G103" s="40" t="n"/>
      <c r="H103" s="40" t="n"/>
      <c r="I103" s="40" t="n"/>
      <c r="J103" s="40" t="n"/>
      <c r="K103" s="40" t="n"/>
      <c r="L103" s="41" t="n"/>
      <c r="M103" s="40" t="n"/>
      <c r="N103" s="40" t="n"/>
    </row>
    <row r="104">
      <c r="A104" s="39">
        <f>IF(L104="","","PV-"&amp;TEXT(ROW()-4,"0000"))</f>
        <v/>
      </c>
      <c r="B104" s="47" t="n"/>
      <c r="C104" s="40" t="n"/>
      <c r="D104" s="50" t="n"/>
      <c r="E104" s="49">
        <f>IF(D104="","",IFERROR(INDEX('المشروعات'!$B$5:$B$304,MATCH(D104,'المشروعات'!$A$5:$A$304,0)),""))</f>
        <v/>
      </c>
      <c r="F104" s="40" t="n"/>
      <c r="G104" s="40" t="n"/>
      <c r="H104" s="40" t="n"/>
      <c r="I104" s="40" t="n"/>
      <c r="J104" s="40" t="n"/>
      <c r="K104" s="40" t="n"/>
      <c r="L104" s="41" t="n"/>
      <c r="M104" s="40" t="n"/>
      <c r="N104" s="40" t="n"/>
    </row>
    <row r="105">
      <c r="A105" s="39">
        <f>IF(L105="","","PV-"&amp;TEXT(ROW()-4,"0000"))</f>
        <v/>
      </c>
      <c r="B105" s="47" t="n"/>
      <c r="C105" s="40" t="n"/>
      <c r="D105" s="50" t="n"/>
      <c r="E105" s="49">
        <f>IF(D105="","",IFERROR(INDEX('المشروعات'!$B$5:$B$304,MATCH(D105,'المشروعات'!$A$5:$A$304,0)),""))</f>
        <v/>
      </c>
      <c r="F105" s="40" t="n"/>
      <c r="G105" s="40" t="n"/>
      <c r="H105" s="40" t="n"/>
      <c r="I105" s="40" t="n"/>
      <c r="J105" s="40" t="n"/>
      <c r="K105" s="40" t="n"/>
      <c r="L105" s="41" t="n"/>
      <c r="M105" s="40" t="n"/>
      <c r="N105" s="40" t="n"/>
    </row>
    <row r="106">
      <c r="A106" s="39">
        <f>IF(L106="","","PV-"&amp;TEXT(ROW()-4,"0000"))</f>
        <v/>
      </c>
      <c r="B106" s="47" t="n"/>
      <c r="C106" s="40" t="n"/>
      <c r="D106" s="50" t="n"/>
      <c r="E106" s="49">
        <f>IF(D106="","",IFERROR(INDEX('المشروعات'!$B$5:$B$304,MATCH(D106,'المشروعات'!$A$5:$A$304,0)),""))</f>
        <v/>
      </c>
      <c r="F106" s="40" t="n"/>
      <c r="G106" s="40" t="n"/>
      <c r="H106" s="40" t="n"/>
      <c r="I106" s="40" t="n"/>
      <c r="J106" s="40" t="n"/>
      <c r="K106" s="40" t="n"/>
      <c r="L106" s="41" t="n"/>
      <c r="M106" s="40" t="n"/>
      <c r="N106" s="40" t="n"/>
    </row>
    <row r="107">
      <c r="A107" s="39">
        <f>IF(L107="","","PV-"&amp;TEXT(ROW()-4,"0000"))</f>
        <v/>
      </c>
      <c r="B107" s="47" t="n"/>
      <c r="C107" s="40" t="n"/>
      <c r="D107" s="50" t="n"/>
      <c r="E107" s="49">
        <f>IF(D107="","",IFERROR(INDEX('المشروعات'!$B$5:$B$304,MATCH(D107,'المشروعات'!$A$5:$A$304,0)),""))</f>
        <v/>
      </c>
      <c r="F107" s="40" t="n"/>
      <c r="G107" s="40" t="n"/>
      <c r="H107" s="40" t="n"/>
      <c r="I107" s="40" t="n"/>
      <c r="J107" s="40" t="n"/>
      <c r="K107" s="40" t="n"/>
      <c r="L107" s="41" t="n"/>
      <c r="M107" s="40" t="n"/>
      <c r="N107" s="40" t="n"/>
    </row>
    <row r="108">
      <c r="A108" s="39">
        <f>IF(L108="","","PV-"&amp;TEXT(ROW()-4,"0000"))</f>
        <v/>
      </c>
      <c r="B108" s="47" t="n"/>
      <c r="C108" s="40" t="n"/>
      <c r="D108" s="50" t="n"/>
      <c r="E108" s="49">
        <f>IF(D108="","",IFERROR(INDEX('المشروعات'!$B$5:$B$304,MATCH(D108,'المشروعات'!$A$5:$A$304,0)),""))</f>
        <v/>
      </c>
      <c r="F108" s="40" t="n"/>
      <c r="G108" s="40" t="n"/>
      <c r="H108" s="40" t="n"/>
      <c r="I108" s="40" t="n"/>
      <c r="J108" s="40" t="n"/>
      <c r="K108" s="40" t="n"/>
      <c r="L108" s="41" t="n"/>
      <c r="M108" s="40" t="n"/>
      <c r="N108" s="40" t="n"/>
    </row>
    <row r="109">
      <c r="A109" s="39">
        <f>IF(L109="","","PV-"&amp;TEXT(ROW()-4,"0000"))</f>
        <v/>
      </c>
      <c r="B109" s="47" t="n"/>
      <c r="C109" s="40" t="n"/>
      <c r="D109" s="50" t="n"/>
      <c r="E109" s="49">
        <f>IF(D109="","",IFERROR(INDEX('المشروعات'!$B$5:$B$304,MATCH(D109,'المشروعات'!$A$5:$A$304,0)),""))</f>
        <v/>
      </c>
      <c r="F109" s="40" t="n"/>
      <c r="G109" s="40" t="n"/>
      <c r="H109" s="40" t="n"/>
      <c r="I109" s="40" t="n"/>
      <c r="J109" s="40" t="n"/>
      <c r="K109" s="40" t="n"/>
      <c r="L109" s="41" t="n"/>
      <c r="M109" s="40" t="n"/>
      <c r="N109" s="40" t="n"/>
    </row>
    <row r="110">
      <c r="A110" s="39">
        <f>IF(L110="","","PV-"&amp;TEXT(ROW()-4,"0000"))</f>
        <v/>
      </c>
      <c r="B110" s="47" t="n"/>
      <c r="C110" s="40" t="n"/>
      <c r="D110" s="50" t="n"/>
      <c r="E110" s="49">
        <f>IF(D110="","",IFERROR(INDEX('المشروعات'!$B$5:$B$304,MATCH(D110,'المشروعات'!$A$5:$A$304,0)),""))</f>
        <v/>
      </c>
      <c r="F110" s="40" t="n"/>
      <c r="G110" s="40" t="n"/>
      <c r="H110" s="40" t="n"/>
      <c r="I110" s="40" t="n"/>
      <c r="J110" s="40" t="n"/>
      <c r="K110" s="40" t="n"/>
      <c r="L110" s="41" t="n"/>
      <c r="M110" s="40" t="n"/>
      <c r="N110" s="40" t="n"/>
    </row>
    <row r="111">
      <c r="A111" s="39">
        <f>IF(L111="","","PV-"&amp;TEXT(ROW()-4,"0000"))</f>
        <v/>
      </c>
      <c r="B111" s="47" t="n"/>
      <c r="C111" s="40" t="n"/>
      <c r="D111" s="50" t="n"/>
      <c r="E111" s="49">
        <f>IF(D111="","",IFERROR(INDEX('المشروعات'!$B$5:$B$304,MATCH(D111,'المشروعات'!$A$5:$A$304,0)),""))</f>
        <v/>
      </c>
      <c r="F111" s="40" t="n"/>
      <c r="G111" s="40" t="n"/>
      <c r="H111" s="40" t="n"/>
      <c r="I111" s="40" t="n"/>
      <c r="J111" s="40" t="n"/>
      <c r="K111" s="40" t="n"/>
      <c r="L111" s="41" t="n"/>
      <c r="M111" s="40" t="n"/>
      <c r="N111" s="40" t="n"/>
    </row>
    <row r="112">
      <c r="A112" s="39">
        <f>IF(L112="","","PV-"&amp;TEXT(ROW()-4,"0000"))</f>
        <v/>
      </c>
      <c r="B112" s="47" t="n"/>
      <c r="C112" s="40" t="n"/>
      <c r="D112" s="50" t="n"/>
      <c r="E112" s="49">
        <f>IF(D112="","",IFERROR(INDEX('المشروعات'!$B$5:$B$304,MATCH(D112,'المشروعات'!$A$5:$A$304,0)),""))</f>
        <v/>
      </c>
      <c r="F112" s="40" t="n"/>
      <c r="G112" s="40" t="n"/>
      <c r="H112" s="40" t="n"/>
      <c r="I112" s="40" t="n"/>
      <c r="J112" s="40" t="n"/>
      <c r="K112" s="40" t="n"/>
      <c r="L112" s="41" t="n"/>
      <c r="M112" s="40" t="n"/>
      <c r="N112" s="40" t="n"/>
    </row>
    <row r="113">
      <c r="A113" s="39">
        <f>IF(L113="","","PV-"&amp;TEXT(ROW()-4,"0000"))</f>
        <v/>
      </c>
      <c r="B113" s="47" t="n"/>
      <c r="C113" s="40" t="n"/>
      <c r="D113" s="50" t="n"/>
      <c r="E113" s="49">
        <f>IF(D113="","",IFERROR(INDEX('المشروعات'!$B$5:$B$304,MATCH(D113,'المشروعات'!$A$5:$A$304,0)),""))</f>
        <v/>
      </c>
      <c r="F113" s="40" t="n"/>
      <c r="G113" s="40" t="n"/>
      <c r="H113" s="40" t="n"/>
      <c r="I113" s="40" t="n"/>
      <c r="J113" s="40" t="n"/>
      <c r="K113" s="40" t="n"/>
      <c r="L113" s="41" t="n"/>
      <c r="M113" s="40" t="n"/>
      <c r="N113" s="40" t="n"/>
    </row>
    <row r="114">
      <c r="A114" s="39">
        <f>IF(L114="","","PV-"&amp;TEXT(ROW()-4,"0000"))</f>
        <v/>
      </c>
      <c r="B114" s="47" t="n"/>
      <c r="C114" s="40" t="n"/>
      <c r="D114" s="50" t="n"/>
      <c r="E114" s="49">
        <f>IF(D114="","",IFERROR(INDEX('المشروعات'!$B$5:$B$304,MATCH(D114,'المشروعات'!$A$5:$A$304,0)),""))</f>
        <v/>
      </c>
      <c r="F114" s="40" t="n"/>
      <c r="G114" s="40" t="n"/>
      <c r="H114" s="40" t="n"/>
      <c r="I114" s="40" t="n"/>
      <c r="J114" s="40" t="n"/>
      <c r="K114" s="40" t="n"/>
      <c r="L114" s="41" t="n"/>
      <c r="M114" s="40" t="n"/>
      <c r="N114" s="40" t="n"/>
    </row>
    <row r="115">
      <c r="A115" s="39">
        <f>IF(L115="","","PV-"&amp;TEXT(ROW()-4,"0000"))</f>
        <v/>
      </c>
      <c r="B115" s="47" t="n"/>
      <c r="C115" s="40" t="n"/>
      <c r="D115" s="50" t="n"/>
      <c r="E115" s="49">
        <f>IF(D115="","",IFERROR(INDEX('المشروعات'!$B$5:$B$304,MATCH(D115,'المشروعات'!$A$5:$A$304,0)),""))</f>
        <v/>
      </c>
      <c r="F115" s="40" t="n"/>
      <c r="G115" s="40" t="n"/>
      <c r="H115" s="40" t="n"/>
      <c r="I115" s="40" t="n"/>
      <c r="J115" s="40" t="n"/>
      <c r="K115" s="40" t="n"/>
      <c r="L115" s="41" t="n"/>
      <c r="M115" s="40" t="n"/>
      <c r="N115" s="40" t="n"/>
    </row>
    <row r="116">
      <c r="A116" s="39">
        <f>IF(L116="","","PV-"&amp;TEXT(ROW()-4,"0000"))</f>
        <v/>
      </c>
      <c r="B116" s="47" t="n"/>
      <c r="C116" s="40" t="n"/>
      <c r="D116" s="50" t="n"/>
      <c r="E116" s="49">
        <f>IF(D116="","",IFERROR(INDEX('المشروعات'!$B$5:$B$304,MATCH(D116,'المشروعات'!$A$5:$A$304,0)),""))</f>
        <v/>
      </c>
      <c r="F116" s="40" t="n"/>
      <c r="G116" s="40" t="n"/>
      <c r="H116" s="40" t="n"/>
      <c r="I116" s="40" t="n"/>
      <c r="J116" s="40" t="n"/>
      <c r="K116" s="40" t="n"/>
      <c r="L116" s="41" t="n"/>
      <c r="M116" s="40" t="n"/>
      <c r="N116" s="40" t="n"/>
    </row>
    <row r="117">
      <c r="A117" s="39">
        <f>IF(L117="","","PV-"&amp;TEXT(ROW()-4,"0000"))</f>
        <v/>
      </c>
      <c r="B117" s="47" t="n"/>
      <c r="C117" s="40" t="n"/>
      <c r="D117" s="50" t="n"/>
      <c r="E117" s="49">
        <f>IF(D117="","",IFERROR(INDEX('المشروعات'!$B$5:$B$304,MATCH(D117,'المشروعات'!$A$5:$A$304,0)),""))</f>
        <v/>
      </c>
      <c r="F117" s="40" t="n"/>
      <c r="G117" s="40" t="n"/>
      <c r="H117" s="40" t="n"/>
      <c r="I117" s="40" t="n"/>
      <c r="J117" s="40" t="n"/>
      <c r="K117" s="40" t="n"/>
      <c r="L117" s="41" t="n"/>
      <c r="M117" s="40" t="n"/>
      <c r="N117" s="40" t="n"/>
    </row>
    <row r="118">
      <c r="A118" s="39">
        <f>IF(L118="","","PV-"&amp;TEXT(ROW()-4,"0000"))</f>
        <v/>
      </c>
      <c r="B118" s="47" t="n"/>
      <c r="C118" s="40" t="n"/>
      <c r="D118" s="50" t="n"/>
      <c r="E118" s="49">
        <f>IF(D118="","",IFERROR(INDEX('المشروعات'!$B$5:$B$304,MATCH(D118,'المشروعات'!$A$5:$A$304,0)),""))</f>
        <v/>
      </c>
      <c r="F118" s="40" t="n"/>
      <c r="G118" s="40" t="n"/>
      <c r="H118" s="40" t="n"/>
      <c r="I118" s="40" t="n"/>
      <c r="J118" s="40" t="n"/>
      <c r="K118" s="40" t="n"/>
      <c r="L118" s="41" t="n"/>
      <c r="M118" s="40" t="n"/>
      <c r="N118" s="40" t="n"/>
    </row>
    <row r="119">
      <c r="A119" s="39">
        <f>IF(L119="","","PV-"&amp;TEXT(ROW()-4,"0000"))</f>
        <v/>
      </c>
      <c r="B119" s="47" t="n"/>
      <c r="C119" s="40" t="n"/>
      <c r="D119" s="50" t="n"/>
      <c r="E119" s="49">
        <f>IF(D119="","",IFERROR(INDEX('المشروعات'!$B$5:$B$304,MATCH(D119,'المشروعات'!$A$5:$A$304,0)),""))</f>
        <v/>
      </c>
      <c r="F119" s="40" t="n"/>
      <c r="G119" s="40" t="n"/>
      <c r="H119" s="40" t="n"/>
      <c r="I119" s="40" t="n"/>
      <c r="J119" s="40" t="n"/>
      <c r="K119" s="40" t="n"/>
      <c r="L119" s="41" t="n"/>
      <c r="M119" s="40" t="n"/>
      <c r="N119" s="40" t="n"/>
    </row>
    <row r="120">
      <c r="A120" s="39">
        <f>IF(L120="","","PV-"&amp;TEXT(ROW()-4,"0000"))</f>
        <v/>
      </c>
      <c r="B120" s="47" t="n"/>
      <c r="C120" s="40" t="n"/>
      <c r="D120" s="50" t="n"/>
      <c r="E120" s="49">
        <f>IF(D120="","",IFERROR(INDEX('المشروعات'!$B$5:$B$304,MATCH(D120,'المشروعات'!$A$5:$A$304,0)),""))</f>
        <v/>
      </c>
      <c r="F120" s="40" t="n"/>
      <c r="G120" s="40" t="n"/>
      <c r="H120" s="40" t="n"/>
      <c r="I120" s="40" t="n"/>
      <c r="J120" s="40" t="n"/>
      <c r="K120" s="40" t="n"/>
      <c r="L120" s="41" t="n"/>
      <c r="M120" s="40" t="n"/>
      <c r="N120" s="40" t="n"/>
    </row>
    <row r="121">
      <c r="A121" s="39">
        <f>IF(L121="","","PV-"&amp;TEXT(ROW()-4,"0000"))</f>
        <v/>
      </c>
      <c r="B121" s="47" t="n"/>
      <c r="C121" s="40" t="n"/>
      <c r="D121" s="50" t="n"/>
      <c r="E121" s="49">
        <f>IF(D121="","",IFERROR(INDEX('المشروعات'!$B$5:$B$304,MATCH(D121,'المشروعات'!$A$5:$A$304,0)),""))</f>
        <v/>
      </c>
      <c r="F121" s="40" t="n"/>
      <c r="G121" s="40" t="n"/>
      <c r="H121" s="40" t="n"/>
      <c r="I121" s="40" t="n"/>
      <c r="J121" s="40" t="n"/>
      <c r="K121" s="40" t="n"/>
      <c r="L121" s="41" t="n"/>
      <c r="M121" s="40" t="n"/>
      <c r="N121" s="40" t="n"/>
    </row>
    <row r="122">
      <c r="A122" s="39">
        <f>IF(L122="","","PV-"&amp;TEXT(ROW()-4,"0000"))</f>
        <v/>
      </c>
      <c r="B122" s="47" t="n"/>
      <c r="C122" s="40" t="n"/>
      <c r="D122" s="50" t="n"/>
      <c r="E122" s="49">
        <f>IF(D122="","",IFERROR(INDEX('المشروعات'!$B$5:$B$304,MATCH(D122,'المشروعات'!$A$5:$A$304,0)),""))</f>
        <v/>
      </c>
      <c r="F122" s="40" t="n"/>
      <c r="G122" s="40" t="n"/>
      <c r="H122" s="40" t="n"/>
      <c r="I122" s="40" t="n"/>
      <c r="J122" s="40" t="n"/>
      <c r="K122" s="40" t="n"/>
      <c r="L122" s="41" t="n"/>
      <c r="M122" s="40" t="n"/>
      <c r="N122" s="40" t="n"/>
    </row>
    <row r="123">
      <c r="A123" s="39">
        <f>IF(L123="","","PV-"&amp;TEXT(ROW()-4,"0000"))</f>
        <v/>
      </c>
      <c r="B123" s="47" t="n"/>
      <c r="C123" s="40" t="n"/>
      <c r="D123" s="50" t="n"/>
      <c r="E123" s="49">
        <f>IF(D123="","",IFERROR(INDEX('المشروعات'!$B$5:$B$304,MATCH(D123,'المشروعات'!$A$5:$A$304,0)),""))</f>
        <v/>
      </c>
      <c r="F123" s="40" t="n"/>
      <c r="G123" s="40" t="n"/>
      <c r="H123" s="40" t="n"/>
      <c r="I123" s="40" t="n"/>
      <c r="J123" s="40" t="n"/>
      <c r="K123" s="40" t="n"/>
      <c r="L123" s="41" t="n"/>
      <c r="M123" s="40" t="n"/>
      <c r="N123" s="40" t="n"/>
    </row>
    <row r="124">
      <c r="A124" s="39">
        <f>IF(L124="","","PV-"&amp;TEXT(ROW()-4,"0000"))</f>
        <v/>
      </c>
      <c r="B124" s="47" t="n"/>
      <c r="C124" s="40" t="n"/>
      <c r="D124" s="50" t="n"/>
      <c r="E124" s="49">
        <f>IF(D124="","",IFERROR(INDEX('المشروعات'!$B$5:$B$304,MATCH(D124,'المشروعات'!$A$5:$A$304,0)),""))</f>
        <v/>
      </c>
      <c r="F124" s="40" t="n"/>
      <c r="G124" s="40" t="n"/>
      <c r="H124" s="40" t="n"/>
      <c r="I124" s="40" t="n"/>
      <c r="J124" s="40" t="n"/>
      <c r="K124" s="40" t="n"/>
      <c r="L124" s="41" t="n"/>
      <c r="M124" s="40" t="n"/>
      <c r="N124" s="40" t="n"/>
    </row>
    <row r="125">
      <c r="A125" s="39">
        <f>IF(L125="","","PV-"&amp;TEXT(ROW()-4,"0000"))</f>
        <v/>
      </c>
      <c r="B125" s="47" t="n"/>
      <c r="C125" s="40" t="n"/>
      <c r="D125" s="50" t="n"/>
      <c r="E125" s="49">
        <f>IF(D125="","",IFERROR(INDEX('المشروعات'!$B$5:$B$304,MATCH(D125,'المشروعات'!$A$5:$A$304,0)),""))</f>
        <v/>
      </c>
      <c r="F125" s="40" t="n"/>
      <c r="G125" s="40" t="n"/>
      <c r="H125" s="40" t="n"/>
      <c r="I125" s="40" t="n"/>
      <c r="J125" s="40" t="n"/>
      <c r="K125" s="40" t="n"/>
      <c r="L125" s="41" t="n"/>
      <c r="M125" s="40" t="n"/>
      <c r="N125" s="40" t="n"/>
    </row>
    <row r="126">
      <c r="A126" s="39">
        <f>IF(L126="","","PV-"&amp;TEXT(ROW()-4,"0000"))</f>
        <v/>
      </c>
      <c r="B126" s="47" t="n"/>
      <c r="C126" s="40" t="n"/>
      <c r="D126" s="50" t="n"/>
      <c r="E126" s="49">
        <f>IF(D126="","",IFERROR(INDEX('المشروعات'!$B$5:$B$304,MATCH(D126,'المشروعات'!$A$5:$A$304,0)),""))</f>
        <v/>
      </c>
      <c r="F126" s="40" t="n"/>
      <c r="G126" s="40" t="n"/>
      <c r="H126" s="40" t="n"/>
      <c r="I126" s="40" t="n"/>
      <c r="J126" s="40" t="n"/>
      <c r="K126" s="40" t="n"/>
      <c r="L126" s="41" t="n"/>
      <c r="M126" s="40" t="n"/>
      <c r="N126" s="40" t="n"/>
    </row>
    <row r="127">
      <c r="A127" s="39">
        <f>IF(L127="","","PV-"&amp;TEXT(ROW()-4,"0000"))</f>
        <v/>
      </c>
      <c r="B127" s="47" t="n"/>
      <c r="C127" s="40" t="n"/>
      <c r="D127" s="50" t="n"/>
      <c r="E127" s="49">
        <f>IF(D127="","",IFERROR(INDEX('المشروعات'!$B$5:$B$304,MATCH(D127,'المشروعات'!$A$5:$A$304,0)),""))</f>
        <v/>
      </c>
      <c r="F127" s="40" t="n"/>
      <c r="G127" s="40" t="n"/>
      <c r="H127" s="40" t="n"/>
      <c r="I127" s="40" t="n"/>
      <c r="J127" s="40" t="n"/>
      <c r="K127" s="40" t="n"/>
      <c r="L127" s="41" t="n"/>
      <c r="M127" s="40" t="n"/>
      <c r="N127" s="40" t="n"/>
    </row>
    <row r="128">
      <c r="A128" s="39">
        <f>IF(L128="","","PV-"&amp;TEXT(ROW()-4,"0000"))</f>
        <v/>
      </c>
      <c r="B128" s="47" t="n"/>
      <c r="C128" s="40" t="n"/>
      <c r="D128" s="50" t="n"/>
      <c r="E128" s="49">
        <f>IF(D128="","",IFERROR(INDEX('المشروعات'!$B$5:$B$304,MATCH(D128,'المشروعات'!$A$5:$A$304,0)),""))</f>
        <v/>
      </c>
      <c r="F128" s="40" t="n"/>
      <c r="G128" s="40" t="n"/>
      <c r="H128" s="40" t="n"/>
      <c r="I128" s="40" t="n"/>
      <c r="J128" s="40" t="n"/>
      <c r="K128" s="40" t="n"/>
      <c r="L128" s="41" t="n"/>
      <c r="M128" s="40" t="n"/>
      <c r="N128" s="40" t="n"/>
    </row>
    <row r="129">
      <c r="A129" s="39">
        <f>IF(L129="","","PV-"&amp;TEXT(ROW()-4,"0000"))</f>
        <v/>
      </c>
      <c r="B129" s="47" t="n"/>
      <c r="C129" s="40" t="n"/>
      <c r="D129" s="50" t="n"/>
      <c r="E129" s="49">
        <f>IF(D129="","",IFERROR(INDEX('المشروعات'!$B$5:$B$304,MATCH(D129,'المشروعات'!$A$5:$A$304,0)),""))</f>
        <v/>
      </c>
      <c r="F129" s="40" t="n"/>
      <c r="G129" s="40" t="n"/>
      <c r="H129" s="40" t="n"/>
      <c r="I129" s="40" t="n"/>
      <c r="J129" s="40" t="n"/>
      <c r="K129" s="40" t="n"/>
      <c r="L129" s="41" t="n"/>
      <c r="M129" s="40" t="n"/>
      <c r="N129" s="40" t="n"/>
    </row>
    <row r="130">
      <c r="A130" s="39">
        <f>IF(L130="","","PV-"&amp;TEXT(ROW()-4,"0000"))</f>
        <v/>
      </c>
      <c r="B130" s="47" t="n"/>
      <c r="C130" s="40" t="n"/>
      <c r="D130" s="50" t="n"/>
      <c r="E130" s="49">
        <f>IF(D130="","",IFERROR(INDEX('المشروعات'!$B$5:$B$304,MATCH(D130,'المشروعات'!$A$5:$A$304,0)),""))</f>
        <v/>
      </c>
      <c r="F130" s="40" t="n"/>
      <c r="G130" s="40" t="n"/>
      <c r="H130" s="40" t="n"/>
      <c r="I130" s="40" t="n"/>
      <c r="J130" s="40" t="n"/>
      <c r="K130" s="40" t="n"/>
      <c r="L130" s="41" t="n"/>
      <c r="M130" s="40" t="n"/>
      <c r="N130" s="40" t="n"/>
    </row>
    <row r="131">
      <c r="A131" s="39">
        <f>IF(L131="","","PV-"&amp;TEXT(ROW()-4,"0000"))</f>
        <v/>
      </c>
      <c r="B131" s="47" t="n"/>
      <c r="C131" s="40" t="n"/>
      <c r="D131" s="50" t="n"/>
      <c r="E131" s="49">
        <f>IF(D131="","",IFERROR(INDEX('المشروعات'!$B$5:$B$304,MATCH(D131,'المشروعات'!$A$5:$A$304,0)),""))</f>
        <v/>
      </c>
      <c r="F131" s="40" t="n"/>
      <c r="G131" s="40" t="n"/>
      <c r="H131" s="40" t="n"/>
      <c r="I131" s="40" t="n"/>
      <c r="J131" s="40" t="n"/>
      <c r="K131" s="40" t="n"/>
      <c r="L131" s="41" t="n"/>
      <c r="M131" s="40" t="n"/>
      <c r="N131" s="40" t="n"/>
    </row>
    <row r="132">
      <c r="A132" s="39">
        <f>IF(L132="","","PV-"&amp;TEXT(ROW()-4,"0000"))</f>
        <v/>
      </c>
      <c r="B132" s="47" t="n"/>
      <c r="C132" s="40" t="n"/>
      <c r="D132" s="50" t="n"/>
      <c r="E132" s="49">
        <f>IF(D132="","",IFERROR(INDEX('المشروعات'!$B$5:$B$304,MATCH(D132,'المشروعات'!$A$5:$A$304,0)),""))</f>
        <v/>
      </c>
      <c r="F132" s="40" t="n"/>
      <c r="G132" s="40" t="n"/>
      <c r="H132" s="40" t="n"/>
      <c r="I132" s="40" t="n"/>
      <c r="J132" s="40" t="n"/>
      <c r="K132" s="40" t="n"/>
      <c r="L132" s="41" t="n"/>
      <c r="M132" s="40" t="n"/>
      <c r="N132" s="40" t="n"/>
    </row>
    <row r="133">
      <c r="A133" s="39">
        <f>IF(L133="","","PV-"&amp;TEXT(ROW()-4,"0000"))</f>
        <v/>
      </c>
      <c r="B133" s="47" t="n"/>
      <c r="C133" s="40" t="n"/>
      <c r="D133" s="50" t="n"/>
      <c r="E133" s="49">
        <f>IF(D133="","",IFERROR(INDEX('المشروعات'!$B$5:$B$304,MATCH(D133,'المشروعات'!$A$5:$A$304,0)),""))</f>
        <v/>
      </c>
      <c r="F133" s="40" t="n"/>
      <c r="G133" s="40" t="n"/>
      <c r="H133" s="40" t="n"/>
      <c r="I133" s="40" t="n"/>
      <c r="J133" s="40" t="n"/>
      <c r="K133" s="40" t="n"/>
      <c r="L133" s="41" t="n"/>
      <c r="M133" s="40" t="n"/>
      <c r="N133" s="40" t="n"/>
    </row>
    <row r="134">
      <c r="A134" s="39">
        <f>IF(L134="","","PV-"&amp;TEXT(ROW()-4,"0000"))</f>
        <v/>
      </c>
      <c r="B134" s="47" t="n"/>
      <c r="C134" s="40" t="n"/>
      <c r="D134" s="50" t="n"/>
      <c r="E134" s="49">
        <f>IF(D134="","",IFERROR(INDEX('المشروعات'!$B$5:$B$304,MATCH(D134,'المشروعات'!$A$5:$A$304,0)),""))</f>
        <v/>
      </c>
      <c r="F134" s="40" t="n"/>
      <c r="G134" s="40" t="n"/>
      <c r="H134" s="40" t="n"/>
      <c r="I134" s="40" t="n"/>
      <c r="J134" s="40" t="n"/>
      <c r="K134" s="40" t="n"/>
      <c r="L134" s="41" t="n"/>
      <c r="M134" s="40" t="n"/>
      <c r="N134" s="40" t="n"/>
    </row>
    <row r="135">
      <c r="A135" s="39">
        <f>IF(L135="","","PV-"&amp;TEXT(ROW()-4,"0000"))</f>
        <v/>
      </c>
      <c r="B135" s="47" t="n"/>
      <c r="C135" s="40" t="n"/>
      <c r="D135" s="50" t="n"/>
      <c r="E135" s="49">
        <f>IF(D135="","",IFERROR(INDEX('المشروعات'!$B$5:$B$304,MATCH(D135,'المشروعات'!$A$5:$A$304,0)),""))</f>
        <v/>
      </c>
      <c r="F135" s="40" t="n"/>
      <c r="G135" s="40" t="n"/>
      <c r="H135" s="40" t="n"/>
      <c r="I135" s="40" t="n"/>
      <c r="J135" s="40" t="n"/>
      <c r="K135" s="40" t="n"/>
      <c r="L135" s="41" t="n"/>
      <c r="M135" s="40" t="n"/>
      <c r="N135" s="40" t="n"/>
    </row>
    <row r="136">
      <c r="A136" s="39">
        <f>IF(L136="","","PV-"&amp;TEXT(ROW()-4,"0000"))</f>
        <v/>
      </c>
      <c r="B136" s="47" t="n"/>
      <c r="C136" s="40" t="n"/>
      <c r="D136" s="50" t="n"/>
      <c r="E136" s="49">
        <f>IF(D136="","",IFERROR(INDEX('المشروعات'!$B$5:$B$304,MATCH(D136,'المشروعات'!$A$5:$A$304,0)),""))</f>
        <v/>
      </c>
      <c r="F136" s="40" t="n"/>
      <c r="G136" s="40" t="n"/>
      <c r="H136" s="40" t="n"/>
      <c r="I136" s="40" t="n"/>
      <c r="J136" s="40" t="n"/>
      <c r="K136" s="40" t="n"/>
      <c r="L136" s="41" t="n"/>
      <c r="M136" s="40" t="n"/>
      <c r="N136" s="40" t="n"/>
    </row>
    <row r="137">
      <c r="A137" s="39">
        <f>IF(L137="","","PV-"&amp;TEXT(ROW()-4,"0000"))</f>
        <v/>
      </c>
      <c r="B137" s="47" t="n"/>
      <c r="C137" s="40" t="n"/>
      <c r="D137" s="50" t="n"/>
      <c r="E137" s="49">
        <f>IF(D137="","",IFERROR(INDEX('المشروعات'!$B$5:$B$304,MATCH(D137,'المشروعات'!$A$5:$A$304,0)),""))</f>
        <v/>
      </c>
      <c r="F137" s="40" t="n"/>
      <c r="G137" s="40" t="n"/>
      <c r="H137" s="40" t="n"/>
      <c r="I137" s="40" t="n"/>
      <c r="J137" s="40" t="n"/>
      <c r="K137" s="40" t="n"/>
      <c r="L137" s="41" t="n"/>
      <c r="M137" s="40" t="n"/>
      <c r="N137" s="40" t="n"/>
    </row>
    <row r="138">
      <c r="A138" s="39">
        <f>IF(L138="","","PV-"&amp;TEXT(ROW()-4,"0000"))</f>
        <v/>
      </c>
      <c r="B138" s="47" t="n"/>
      <c r="C138" s="40" t="n"/>
      <c r="D138" s="50" t="n"/>
      <c r="E138" s="49">
        <f>IF(D138="","",IFERROR(INDEX('المشروعات'!$B$5:$B$304,MATCH(D138,'المشروعات'!$A$5:$A$304,0)),""))</f>
        <v/>
      </c>
      <c r="F138" s="40" t="n"/>
      <c r="G138" s="40" t="n"/>
      <c r="H138" s="40" t="n"/>
      <c r="I138" s="40" t="n"/>
      <c r="J138" s="40" t="n"/>
      <c r="K138" s="40" t="n"/>
      <c r="L138" s="41" t="n"/>
      <c r="M138" s="40" t="n"/>
      <c r="N138" s="40" t="n"/>
    </row>
    <row r="139">
      <c r="A139" s="39">
        <f>IF(L139="","","PV-"&amp;TEXT(ROW()-4,"0000"))</f>
        <v/>
      </c>
      <c r="B139" s="47" t="n"/>
      <c r="C139" s="40" t="n"/>
      <c r="D139" s="50" t="n"/>
      <c r="E139" s="49">
        <f>IF(D139="","",IFERROR(INDEX('المشروعات'!$B$5:$B$304,MATCH(D139,'المشروعات'!$A$5:$A$304,0)),""))</f>
        <v/>
      </c>
      <c r="F139" s="40" t="n"/>
      <c r="G139" s="40" t="n"/>
      <c r="H139" s="40" t="n"/>
      <c r="I139" s="40" t="n"/>
      <c r="J139" s="40" t="n"/>
      <c r="K139" s="40" t="n"/>
      <c r="L139" s="41" t="n"/>
      <c r="M139" s="40" t="n"/>
      <c r="N139" s="40" t="n"/>
    </row>
    <row r="140">
      <c r="A140" s="39">
        <f>IF(L140="","","PV-"&amp;TEXT(ROW()-4,"0000"))</f>
        <v/>
      </c>
      <c r="B140" s="47" t="n"/>
      <c r="C140" s="40" t="n"/>
      <c r="D140" s="50" t="n"/>
      <c r="E140" s="49">
        <f>IF(D140="","",IFERROR(INDEX('المشروعات'!$B$5:$B$304,MATCH(D140,'المشروعات'!$A$5:$A$304,0)),""))</f>
        <v/>
      </c>
      <c r="F140" s="40" t="n"/>
      <c r="G140" s="40" t="n"/>
      <c r="H140" s="40" t="n"/>
      <c r="I140" s="40" t="n"/>
      <c r="J140" s="40" t="n"/>
      <c r="K140" s="40" t="n"/>
      <c r="L140" s="41" t="n"/>
      <c r="M140" s="40" t="n"/>
      <c r="N140" s="40" t="n"/>
    </row>
    <row r="141">
      <c r="A141" s="39">
        <f>IF(L141="","","PV-"&amp;TEXT(ROW()-4,"0000"))</f>
        <v/>
      </c>
      <c r="B141" s="47" t="n"/>
      <c r="C141" s="40" t="n"/>
      <c r="D141" s="50" t="n"/>
      <c r="E141" s="49">
        <f>IF(D141="","",IFERROR(INDEX('المشروعات'!$B$5:$B$304,MATCH(D141,'المشروعات'!$A$5:$A$304,0)),""))</f>
        <v/>
      </c>
      <c r="F141" s="40" t="n"/>
      <c r="G141" s="40" t="n"/>
      <c r="H141" s="40" t="n"/>
      <c r="I141" s="40" t="n"/>
      <c r="J141" s="40" t="n"/>
      <c r="K141" s="40" t="n"/>
      <c r="L141" s="41" t="n"/>
      <c r="M141" s="40" t="n"/>
      <c r="N141" s="40" t="n"/>
    </row>
    <row r="142">
      <c r="A142" s="39">
        <f>IF(L142="","","PV-"&amp;TEXT(ROW()-4,"0000"))</f>
        <v/>
      </c>
      <c r="B142" s="47" t="n"/>
      <c r="C142" s="40" t="n"/>
      <c r="D142" s="50" t="n"/>
      <c r="E142" s="49">
        <f>IF(D142="","",IFERROR(INDEX('المشروعات'!$B$5:$B$304,MATCH(D142,'المشروعات'!$A$5:$A$304,0)),""))</f>
        <v/>
      </c>
      <c r="F142" s="40" t="n"/>
      <c r="G142" s="40" t="n"/>
      <c r="H142" s="40" t="n"/>
      <c r="I142" s="40" t="n"/>
      <c r="J142" s="40" t="n"/>
      <c r="K142" s="40" t="n"/>
      <c r="L142" s="41" t="n"/>
      <c r="M142" s="40" t="n"/>
      <c r="N142" s="40" t="n"/>
    </row>
    <row r="143">
      <c r="A143" s="39">
        <f>IF(L143="","","PV-"&amp;TEXT(ROW()-4,"0000"))</f>
        <v/>
      </c>
      <c r="B143" s="47" t="n"/>
      <c r="C143" s="40" t="n"/>
      <c r="D143" s="50" t="n"/>
      <c r="E143" s="49">
        <f>IF(D143="","",IFERROR(INDEX('المشروعات'!$B$5:$B$304,MATCH(D143,'المشروعات'!$A$5:$A$304,0)),""))</f>
        <v/>
      </c>
      <c r="F143" s="40" t="n"/>
      <c r="G143" s="40" t="n"/>
      <c r="H143" s="40" t="n"/>
      <c r="I143" s="40" t="n"/>
      <c r="J143" s="40" t="n"/>
      <c r="K143" s="40" t="n"/>
      <c r="L143" s="41" t="n"/>
      <c r="M143" s="40" t="n"/>
      <c r="N143" s="40" t="n"/>
    </row>
    <row r="144">
      <c r="A144" s="39">
        <f>IF(L144="","","PV-"&amp;TEXT(ROW()-4,"0000"))</f>
        <v/>
      </c>
      <c r="B144" s="47" t="n"/>
      <c r="C144" s="40" t="n"/>
      <c r="D144" s="50" t="n"/>
      <c r="E144" s="49">
        <f>IF(D144="","",IFERROR(INDEX('المشروعات'!$B$5:$B$304,MATCH(D144,'المشروعات'!$A$5:$A$304,0)),""))</f>
        <v/>
      </c>
      <c r="F144" s="40" t="n"/>
      <c r="G144" s="40" t="n"/>
      <c r="H144" s="40" t="n"/>
      <c r="I144" s="40" t="n"/>
      <c r="J144" s="40" t="n"/>
      <c r="K144" s="40" t="n"/>
      <c r="L144" s="41" t="n"/>
      <c r="M144" s="40" t="n"/>
      <c r="N144" s="40" t="n"/>
    </row>
    <row r="145">
      <c r="A145" s="39">
        <f>IF(L145="","","PV-"&amp;TEXT(ROW()-4,"0000"))</f>
        <v/>
      </c>
      <c r="B145" s="47" t="n"/>
      <c r="C145" s="40" t="n"/>
      <c r="D145" s="50" t="n"/>
      <c r="E145" s="49">
        <f>IF(D145="","",IFERROR(INDEX('المشروعات'!$B$5:$B$304,MATCH(D145,'المشروعات'!$A$5:$A$304,0)),""))</f>
        <v/>
      </c>
      <c r="F145" s="40" t="n"/>
      <c r="G145" s="40" t="n"/>
      <c r="H145" s="40" t="n"/>
      <c r="I145" s="40" t="n"/>
      <c r="J145" s="40" t="n"/>
      <c r="K145" s="40" t="n"/>
      <c r="L145" s="41" t="n"/>
      <c r="M145" s="40" t="n"/>
      <c r="N145" s="40" t="n"/>
    </row>
    <row r="146">
      <c r="A146" s="39">
        <f>IF(L146="","","PV-"&amp;TEXT(ROW()-4,"0000"))</f>
        <v/>
      </c>
      <c r="B146" s="47" t="n"/>
      <c r="C146" s="40" t="n"/>
      <c r="D146" s="50" t="n"/>
      <c r="E146" s="49">
        <f>IF(D146="","",IFERROR(INDEX('المشروعات'!$B$5:$B$304,MATCH(D146,'المشروعات'!$A$5:$A$304,0)),""))</f>
        <v/>
      </c>
      <c r="F146" s="40" t="n"/>
      <c r="G146" s="40" t="n"/>
      <c r="H146" s="40" t="n"/>
      <c r="I146" s="40" t="n"/>
      <c r="J146" s="40" t="n"/>
      <c r="K146" s="40" t="n"/>
      <c r="L146" s="41" t="n"/>
      <c r="M146" s="40" t="n"/>
      <c r="N146" s="40" t="n"/>
    </row>
    <row r="147">
      <c r="A147" s="39">
        <f>IF(L147="","","PV-"&amp;TEXT(ROW()-4,"0000"))</f>
        <v/>
      </c>
      <c r="B147" s="47" t="n"/>
      <c r="C147" s="40" t="n"/>
      <c r="D147" s="50" t="n"/>
      <c r="E147" s="49">
        <f>IF(D147="","",IFERROR(INDEX('المشروعات'!$B$5:$B$304,MATCH(D147,'المشروعات'!$A$5:$A$304,0)),""))</f>
        <v/>
      </c>
      <c r="F147" s="40" t="n"/>
      <c r="G147" s="40" t="n"/>
      <c r="H147" s="40" t="n"/>
      <c r="I147" s="40" t="n"/>
      <c r="J147" s="40" t="n"/>
      <c r="K147" s="40" t="n"/>
      <c r="L147" s="41" t="n"/>
      <c r="M147" s="40" t="n"/>
      <c r="N147" s="40" t="n"/>
    </row>
    <row r="148">
      <c r="A148" s="39">
        <f>IF(L148="","","PV-"&amp;TEXT(ROW()-4,"0000"))</f>
        <v/>
      </c>
      <c r="B148" s="47" t="n"/>
      <c r="C148" s="40" t="n"/>
      <c r="D148" s="50" t="n"/>
      <c r="E148" s="49">
        <f>IF(D148="","",IFERROR(INDEX('المشروعات'!$B$5:$B$304,MATCH(D148,'المشروعات'!$A$5:$A$304,0)),""))</f>
        <v/>
      </c>
      <c r="F148" s="40" t="n"/>
      <c r="G148" s="40" t="n"/>
      <c r="H148" s="40" t="n"/>
      <c r="I148" s="40" t="n"/>
      <c r="J148" s="40" t="n"/>
      <c r="K148" s="40" t="n"/>
      <c r="L148" s="41" t="n"/>
      <c r="M148" s="40" t="n"/>
      <c r="N148" s="40" t="n"/>
    </row>
    <row r="149">
      <c r="A149" s="39">
        <f>IF(L149="","","PV-"&amp;TEXT(ROW()-4,"0000"))</f>
        <v/>
      </c>
      <c r="B149" s="47" t="n"/>
      <c r="C149" s="40" t="n"/>
      <c r="D149" s="50" t="n"/>
      <c r="E149" s="49">
        <f>IF(D149="","",IFERROR(INDEX('المشروعات'!$B$5:$B$304,MATCH(D149,'المشروعات'!$A$5:$A$304,0)),""))</f>
        <v/>
      </c>
      <c r="F149" s="40" t="n"/>
      <c r="G149" s="40" t="n"/>
      <c r="H149" s="40" t="n"/>
      <c r="I149" s="40" t="n"/>
      <c r="J149" s="40" t="n"/>
      <c r="K149" s="40" t="n"/>
      <c r="L149" s="41" t="n"/>
      <c r="M149" s="40" t="n"/>
      <c r="N149" s="40" t="n"/>
    </row>
    <row r="150">
      <c r="A150" s="39">
        <f>IF(L150="","","PV-"&amp;TEXT(ROW()-4,"0000"))</f>
        <v/>
      </c>
      <c r="B150" s="47" t="n"/>
      <c r="C150" s="40" t="n"/>
      <c r="D150" s="50" t="n"/>
      <c r="E150" s="49">
        <f>IF(D150="","",IFERROR(INDEX('المشروعات'!$B$5:$B$304,MATCH(D150,'المشروعات'!$A$5:$A$304,0)),""))</f>
        <v/>
      </c>
      <c r="F150" s="40" t="n"/>
      <c r="G150" s="40" t="n"/>
      <c r="H150" s="40" t="n"/>
      <c r="I150" s="40" t="n"/>
      <c r="J150" s="40" t="n"/>
      <c r="K150" s="40" t="n"/>
      <c r="L150" s="41" t="n"/>
      <c r="M150" s="40" t="n"/>
      <c r="N150" s="40" t="n"/>
    </row>
    <row r="151">
      <c r="A151" s="39">
        <f>IF(L151="","","PV-"&amp;TEXT(ROW()-4,"0000"))</f>
        <v/>
      </c>
      <c r="B151" s="47" t="n"/>
      <c r="C151" s="40" t="n"/>
      <c r="D151" s="50" t="n"/>
      <c r="E151" s="49">
        <f>IF(D151="","",IFERROR(INDEX('المشروعات'!$B$5:$B$304,MATCH(D151,'المشروعات'!$A$5:$A$304,0)),""))</f>
        <v/>
      </c>
      <c r="F151" s="40" t="n"/>
      <c r="G151" s="40" t="n"/>
      <c r="H151" s="40" t="n"/>
      <c r="I151" s="40" t="n"/>
      <c r="J151" s="40" t="n"/>
      <c r="K151" s="40" t="n"/>
      <c r="L151" s="41" t="n"/>
      <c r="M151" s="40" t="n"/>
      <c r="N151" s="40" t="n"/>
    </row>
    <row r="152">
      <c r="A152" s="39">
        <f>IF(L152="","","PV-"&amp;TEXT(ROW()-4,"0000"))</f>
        <v/>
      </c>
      <c r="B152" s="47" t="n"/>
      <c r="C152" s="40" t="n"/>
      <c r="D152" s="50" t="n"/>
      <c r="E152" s="49">
        <f>IF(D152="","",IFERROR(INDEX('المشروعات'!$B$5:$B$304,MATCH(D152,'المشروعات'!$A$5:$A$304,0)),""))</f>
        <v/>
      </c>
      <c r="F152" s="40" t="n"/>
      <c r="G152" s="40" t="n"/>
      <c r="H152" s="40" t="n"/>
      <c r="I152" s="40" t="n"/>
      <c r="J152" s="40" t="n"/>
      <c r="K152" s="40" t="n"/>
      <c r="L152" s="41" t="n"/>
      <c r="M152" s="40" t="n"/>
      <c r="N152" s="40" t="n"/>
    </row>
    <row r="153">
      <c r="A153" s="39">
        <f>IF(L153="","","PV-"&amp;TEXT(ROW()-4,"0000"))</f>
        <v/>
      </c>
      <c r="B153" s="47" t="n"/>
      <c r="C153" s="40" t="n"/>
      <c r="D153" s="50" t="n"/>
      <c r="E153" s="49">
        <f>IF(D153="","",IFERROR(INDEX('المشروعات'!$B$5:$B$304,MATCH(D153,'المشروعات'!$A$5:$A$304,0)),""))</f>
        <v/>
      </c>
      <c r="F153" s="40" t="n"/>
      <c r="G153" s="40" t="n"/>
      <c r="H153" s="40" t="n"/>
      <c r="I153" s="40" t="n"/>
      <c r="J153" s="40" t="n"/>
      <c r="K153" s="40" t="n"/>
      <c r="L153" s="41" t="n"/>
      <c r="M153" s="40" t="n"/>
      <c r="N153" s="40" t="n"/>
    </row>
    <row r="154">
      <c r="A154" s="39">
        <f>IF(L154="","","PV-"&amp;TEXT(ROW()-4,"0000"))</f>
        <v/>
      </c>
      <c r="B154" s="47" t="n"/>
      <c r="C154" s="40" t="n"/>
      <c r="D154" s="50" t="n"/>
      <c r="E154" s="49">
        <f>IF(D154="","",IFERROR(INDEX('المشروعات'!$B$5:$B$304,MATCH(D154,'المشروعات'!$A$5:$A$304,0)),""))</f>
        <v/>
      </c>
      <c r="F154" s="40" t="n"/>
      <c r="G154" s="40" t="n"/>
      <c r="H154" s="40" t="n"/>
      <c r="I154" s="40" t="n"/>
      <c r="J154" s="40" t="n"/>
      <c r="K154" s="40" t="n"/>
      <c r="L154" s="41" t="n"/>
      <c r="M154" s="40" t="n"/>
      <c r="N154" s="40" t="n"/>
    </row>
    <row r="155">
      <c r="A155" s="39">
        <f>IF(L155="","","PV-"&amp;TEXT(ROW()-4,"0000"))</f>
        <v/>
      </c>
      <c r="B155" s="47" t="n"/>
      <c r="C155" s="40" t="n"/>
      <c r="D155" s="50" t="n"/>
      <c r="E155" s="49">
        <f>IF(D155="","",IFERROR(INDEX('المشروعات'!$B$5:$B$304,MATCH(D155,'المشروعات'!$A$5:$A$304,0)),""))</f>
        <v/>
      </c>
      <c r="F155" s="40" t="n"/>
      <c r="G155" s="40" t="n"/>
      <c r="H155" s="40" t="n"/>
      <c r="I155" s="40" t="n"/>
      <c r="J155" s="40" t="n"/>
      <c r="K155" s="40" t="n"/>
      <c r="L155" s="41" t="n"/>
      <c r="M155" s="40" t="n"/>
      <c r="N155" s="40" t="n"/>
    </row>
    <row r="156">
      <c r="A156" s="39">
        <f>IF(L156="","","PV-"&amp;TEXT(ROW()-4,"0000"))</f>
        <v/>
      </c>
      <c r="B156" s="47" t="n"/>
      <c r="C156" s="40" t="n"/>
      <c r="D156" s="50" t="n"/>
      <c r="E156" s="49">
        <f>IF(D156="","",IFERROR(INDEX('المشروعات'!$B$5:$B$304,MATCH(D156,'المشروعات'!$A$5:$A$304,0)),""))</f>
        <v/>
      </c>
      <c r="F156" s="40" t="n"/>
      <c r="G156" s="40" t="n"/>
      <c r="H156" s="40" t="n"/>
      <c r="I156" s="40" t="n"/>
      <c r="J156" s="40" t="n"/>
      <c r="K156" s="40" t="n"/>
      <c r="L156" s="41" t="n"/>
      <c r="M156" s="40" t="n"/>
      <c r="N156" s="40" t="n"/>
    </row>
    <row r="157">
      <c r="A157" s="39">
        <f>IF(L157="","","PV-"&amp;TEXT(ROW()-4,"0000"))</f>
        <v/>
      </c>
      <c r="B157" s="47" t="n"/>
      <c r="C157" s="40" t="n"/>
      <c r="D157" s="50" t="n"/>
      <c r="E157" s="49">
        <f>IF(D157="","",IFERROR(INDEX('المشروعات'!$B$5:$B$304,MATCH(D157,'المشروعات'!$A$5:$A$304,0)),""))</f>
        <v/>
      </c>
      <c r="F157" s="40" t="n"/>
      <c r="G157" s="40" t="n"/>
      <c r="H157" s="40" t="n"/>
      <c r="I157" s="40" t="n"/>
      <c r="J157" s="40" t="n"/>
      <c r="K157" s="40" t="n"/>
      <c r="L157" s="41" t="n"/>
      <c r="M157" s="40" t="n"/>
      <c r="N157" s="40" t="n"/>
    </row>
    <row r="158">
      <c r="A158" s="39">
        <f>IF(L158="","","PV-"&amp;TEXT(ROW()-4,"0000"))</f>
        <v/>
      </c>
      <c r="B158" s="47" t="n"/>
      <c r="C158" s="40" t="n"/>
      <c r="D158" s="50" t="n"/>
      <c r="E158" s="49">
        <f>IF(D158="","",IFERROR(INDEX('المشروعات'!$B$5:$B$304,MATCH(D158,'المشروعات'!$A$5:$A$304,0)),""))</f>
        <v/>
      </c>
      <c r="F158" s="40" t="n"/>
      <c r="G158" s="40" t="n"/>
      <c r="H158" s="40" t="n"/>
      <c r="I158" s="40" t="n"/>
      <c r="J158" s="40" t="n"/>
      <c r="K158" s="40" t="n"/>
      <c r="L158" s="41" t="n"/>
      <c r="M158" s="40" t="n"/>
      <c r="N158" s="40" t="n"/>
    </row>
    <row r="159">
      <c r="A159" s="39">
        <f>IF(L159="","","PV-"&amp;TEXT(ROW()-4,"0000"))</f>
        <v/>
      </c>
      <c r="B159" s="47" t="n"/>
      <c r="C159" s="40" t="n"/>
      <c r="D159" s="50" t="n"/>
      <c r="E159" s="49">
        <f>IF(D159="","",IFERROR(INDEX('المشروعات'!$B$5:$B$304,MATCH(D159,'المشروعات'!$A$5:$A$304,0)),""))</f>
        <v/>
      </c>
      <c r="F159" s="40" t="n"/>
      <c r="G159" s="40" t="n"/>
      <c r="H159" s="40" t="n"/>
      <c r="I159" s="40" t="n"/>
      <c r="J159" s="40" t="n"/>
      <c r="K159" s="40" t="n"/>
      <c r="L159" s="41" t="n"/>
      <c r="M159" s="40" t="n"/>
      <c r="N159" s="40" t="n"/>
    </row>
    <row r="160">
      <c r="A160" s="39">
        <f>IF(L160="","","PV-"&amp;TEXT(ROW()-4,"0000"))</f>
        <v/>
      </c>
      <c r="B160" s="47" t="n"/>
      <c r="C160" s="40" t="n"/>
      <c r="D160" s="50" t="n"/>
      <c r="E160" s="49">
        <f>IF(D160="","",IFERROR(INDEX('المشروعات'!$B$5:$B$304,MATCH(D160,'المشروعات'!$A$5:$A$304,0)),""))</f>
        <v/>
      </c>
      <c r="F160" s="40" t="n"/>
      <c r="G160" s="40" t="n"/>
      <c r="H160" s="40" t="n"/>
      <c r="I160" s="40" t="n"/>
      <c r="J160" s="40" t="n"/>
      <c r="K160" s="40" t="n"/>
      <c r="L160" s="41" t="n"/>
      <c r="M160" s="40" t="n"/>
      <c r="N160" s="40" t="n"/>
    </row>
    <row r="161">
      <c r="A161" s="39">
        <f>IF(L161="","","PV-"&amp;TEXT(ROW()-4,"0000"))</f>
        <v/>
      </c>
      <c r="B161" s="47" t="n"/>
      <c r="C161" s="40" t="n"/>
      <c r="D161" s="50" t="n"/>
      <c r="E161" s="49">
        <f>IF(D161="","",IFERROR(INDEX('المشروعات'!$B$5:$B$304,MATCH(D161,'المشروعات'!$A$5:$A$304,0)),""))</f>
        <v/>
      </c>
      <c r="F161" s="40" t="n"/>
      <c r="G161" s="40" t="n"/>
      <c r="H161" s="40" t="n"/>
      <c r="I161" s="40" t="n"/>
      <c r="J161" s="40" t="n"/>
      <c r="K161" s="40" t="n"/>
      <c r="L161" s="41" t="n"/>
      <c r="M161" s="40" t="n"/>
      <c r="N161" s="40" t="n"/>
    </row>
    <row r="162">
      <c r="A162" s="39">
        <f>IF(L162="","","PV-"&amp;TEXT(ROW()-4,"0000"))</f>
        <v/>
      </c>
      <c r="B162" s="47" t="n"/>
      <c r="C162" s="40" t="n"/>
      <c r="D162" s="50" t="n"/>
      <c r="E162" s="49">
        <f>IF(D162="","",IFERROR(INDEX('المشروعات'!$B$5:$B$304,MATCH(D162,'المشروعات'!$A$5:$A$304,0)),""))</f>
        <v/>
      </c>
      <c r="F162" s="40" t="n"/>
      <c r="G162" s="40" t="n"/>
      <c r="H162" s="40" t="n"/>
      <c r="I162" s="40" t="n"/>
      <c r="J162" s="40" t="n"/>
      <c r="K162" s="40" t="n"/>
      <c r="L162" s="41" t="n"/>
      <c r="M162" s="40" t="n"/>
      <c r="N162" s="40" t="n"/>
    </row>
    <row r="163">
      <c r="A163" s="39">
        <f>IF(L163="","","PV-"&amp;TEXT(ROW()-4,"0000"))</f>
        <v/>
      </c>
      <c r="B163" s="47" t="n"/>
      <c r="C163" s="40" t="n"/>
      <c r="D163" s="50" t="n"/>
      <c r="E163" s="49">
        <f>IF(D163="","",IFERROR(INDEX('المشروعات'!$B$5:$B$304,MATCH(D163,'المشروعات'!$A$5:$A$304,0)),""))</f>
        <v/>
      </c>
      <c r="F163" s="40" t="n"/>
      <c r="G163" s="40" t="n"/>
      <c r="H163" s="40" t="n"/>
      <c r="I163" s="40" t="n"/>
      <c r="J163" s="40" t="n"/>
      <c r="K163" s="40" t="n"/>
      <c r="L163" s="41" t="n"/>
      <c r="M163" s="40" t="n"/>
      <c r="N163" s="40" t="n"/>
    </row>
    <row r="164">
      <c r="A164" s="39">
        <f>IF(L164="","","PV-"&amp;TEXT(ROW()-4,"0000"))</f>
        <v/>
      </c>
      <c r="B164" s="47" t="n"/>
      <c r="C164" s="40" t="n"/>
      <c r="D164" s="50" t="n"/>
      <c r="E164" s="49">
        <f>IF(D164="","",IFERROR(INDEX('المشروعات'!$B$5:$B$304,MATCH(D164,'المشروعات'!$A$5:$A$304,0)),""))</f>
        <v/>
      </c>
      <c r="F164" s="40" t="n"/>
      <c r="G164" s="40" t="n"/>
      <c r="H164" s="40" t="n"/>
      <c r="I164" s="40" t="n"/>
      <c r="J164" s="40" t="n"/>
      <c r="K164" s="40" t="n"/>
      <c r="L164" s="41" t="n"/>
      <c r="M164" s="40" t="n"/>
      <c r="N164" s="40" t="n"/>
    </row>
    <row r="165">
      <c r="A165" s="39">
        <f>IF(L165="","","PV-"&amp;TEXT(ROW()-4,"0000"))</f>
        <v/>
      </c>
      <c r="B165" s="47" t="n"/>
      <c r="C165" s="40" t="n"/>
      <c r="D165" s="50" t="n"/>
      <c r="E165" s="49">
        <f>IF(D165="","",IFERROR(INDEX('المشروعات'!$B$5:$B$304,MATCH(D165,'المشروعات'!$A$5:$A$304,0)),""))</f>
        <v/>
      </c>
      <c r="F165" s="40" t="n"/>
      <c r="G165" s="40" t="n"/>
      <c r="H165" s="40" t="n"/>
      <c r="I165" s="40" t="n"/>
      <c r="J165" s="40" t="n"/>
      <c r="K165" s="40" t="n"/>
      <c r="L165" s="41" t="n"/>
      <c r="M165" s="40" t="n"/>
      <c r="N165" s="40" t="n"/>
    </row>
    <row r="166">
      <c r="A166" s="39">
        <f>IF(L166="","","PV-"&amp;TEXT(ROW()-4,"0000"))</f>
        <v/>
      </c>
      <c r="B166" s="47" t="n"/>
      <c r="C166" s="40" t="n"/>
      <c r="D166" s="50" t="n"/>
      <c r="E166" s="49">
        <f>IF(D166="","",IFERROR(INDEX('المشروعات'!$B$5:$B$304,MATCH(D166,'المشروعات'!$A$5:$A$304,0)),""))</f>
        <v/>
      </c>
      <c r="F166" s="40" t="n"/>
      <c r="G166" s="40" t="n"/>
      <c r="H166" s="40" t="n"/>
      <c r="I166" s="40" t="n"/>
      <c r="J166" s="40" t="n"/>
      <c r="K166" s="40" t="n"/>
      <c r="L166" s="41" t="n"/>
      <c r="M166" s="40" t="n"/>
      <c r="N166" s="40" t="n"/>
    </row>
    <row r="167">
      <c r="A167" s="39">
        <f>IF(L167="","","PV-"&amp;TEXT(ROW()-4,"0000"))</f>
        <v/>
      </c>
      <c r="B167" s="47" t="n"/>
      <c r="C167" s="40" t="n"/>
      <c r="D167" s="50" t="n"/>
      <c r="E167" s="49">
        <f>IF(D167="","",IFERROR(INDEX('المشروعات'!$B$5:$B$304,MATCH(D167,'المشروعات'!$A$5:$A$304,0)),""))</f>
        <v/>
      </c>
      <c r="F167" s="40" t="n"/>
      <c r="G167" s="40" t="n"/>
      <c r="H167" s="40" t="n"/>
      <c r="I167" s="40" t="n"/>
      <c r="J167" s="40" t="n"/>
      <c r="K167" s="40" t="n"/>
      <c r="L167" s="41" t="n"/>
      <c r="M167" s="40" t="n"/>
      <c r="N167" s="40" t="n"/>
    </row>
    <row r="168">
      <c r="A168" s="39">
        <f>IF(L168="","","PV-"&amp;TEXT(ROW()-4,"0000"))</f>
        <v/>
      </c>
      <c r="B168" s="47" t="n"/>
      <c r="C168" s="40" t="n"/>
      <c r="D168" s="50" t="n"/>
      <c r="E168" s="49">
        <f>IF(D168="","",IFERROR(INDEX('المشروعات'!$B$5:$B$304,MATCH(D168,'المشروعات'!$A$5:$A$304,0)),""))</f>
        <v/>
      </c>
      <c r="F168" s="40" t="n"/>
      <c r="G168" s="40" t="n"/>
      <c r="H168" s="40" t="n"/>
      <c r="I168" s="40" t="n"/>
      <c r="J168" s="40" t="n"/>
      <c r="K168" s="40" t="n"/>
      <c r="L168" s="41" t="n"/>
      <c r="M168" s="40" t="n"/>
      <c r="N168" s="40" t="n"/>
    </row>
    <row r="169">
      <c r="A169" s="39">
        <f>IF(L169="","","PV-"&amp;TEXT(ROW()-4,"0000"))</f>
        <v/>
      </c>
      <c r="B169" s="47" t="n"/>
      <c r="C169" s="40" t="n"/>
      <c r="D169" s="50" t="n"/>
      <c r="E169" s="49">
        <f>IF(D169="","",IFERROR(INDEX('المشروعات'!$B$5:$B$304,MATCH(D169,'المشروعات'!$A$5:$A$304,0)),""))</f>
        <v/>
      </c>
      <c r="F169" s="40" t="n"/>
      <c r="G169" s="40" t="n"/>
      <c r="H169" s="40" t="n"/>
      <c r="I169" s="40" t="n"/>
      <c r="J169" s="40" t="n"/>
      <c r="K169" s="40" t="n"/>
      <c r="L169" s="41" t="n"/>
      <c r="M169" s="40" t="n"/>
      <c r="N169" s="40" t="n"/>
    </row>
    <row r="170">
      <c r="A170" s="39">
        <f>IF(L170="","","PV-"&amp;TEXT(ROW()-4,"0000"))</f>
        <v/>
      </c>
      <c r="B170" s="47" t="n"/>
      <c r="C170" s="40" t="n"/>
      <c r="D170" s="50" t="n"/>
      <c r="E170" s="49">
        <f>IF(D170="","",IFERROR(INDEX('المشروعات'!$B$5:$B$304,MATCH(D170,'المشروعات'!$A$5:$A$304,0)),""))</f>
        <v/>
      </c>
      <c r="F170" s="40" t="n"/>
      <c r="G170" s="40" t="n"/>
      <c r="H170" s="40" t="n"/>
      <c r="I170" s="40" t="n"/>
      <c r="J170" s="40" t="n"/>
      <c r="K170" s="40" t="n"/>
      <c r="L170" s="41" t="n"/>
      <c r="M170" s="40" t="n"/>
      <c r="N170" s="40" t="n"/>
    </row>
    <row r="171">
      <c r="A171" s="39">
        <f>IF(L171="","","PV-"&amp;TEXT(ROW()-4,"0000"))</f>
        <v/>
      </c>
      <c r="B171" s="47" t="n"/>
      <c r="C171" s="40" t="n"/>
      <c r="D171" s="50" t="n"/>
      <c r="E171" s="49">
        <f>IF(D171="","",IFERROR(INDEX('المشروعات'!$B$5:$B$304,MATCH(D171,'المشروعات'!$A$5:$A$304,0)),""))</f>
        <v/>
      </c>
      <c r="F171" s="40" t="n"/>
      <c r="G171" s="40" t="n"/>
      <c r="H171" s="40" t="n"/>
      <c r="I171" s="40" t="n"/>
      <c r="J171" s="40" t="n"/>
      <c r="K171" s="40" t="n"/>
      <c r="L171" s="41" t="n"/>
      <c r="M171" s="40" t="n"/>
      <c r="N171" s="40" t="n"/>
    </row>
    <row r="172">
      <c r="A172" s="39">
        <f>IF(L172="","","PV-"&amp;TEXT(ROW()-4,"0000"))</f>
        <v/>
      </c>
      <c r="B172" s="47" t="n"/>
      <c r="C172" s="40" t="n"/>
      <c r="D172" s="50" t="n"/>
      <c r="E172" s="49">
        <f>IF(D172="","",IFERROR(INDEX('المشروعات'!$B$5:$B$304,MATCH(D172,'المشروعات'!$A$5:$A$304,0)),""))</f>
        <v/>
      </c>
      <c r="F172" s="40" t="n"/>
      <c r="G172" s="40" t="n"/>
      <c r="H172" s="40" t="n"/>
      <c r="I172" s="40" t="n"/>
      <c r="J172" s="40" t="n"/>
      <c r="K172" s="40" t="n"/>
      <c r="L172" s="41" t="n"/>
      <c r="M172" s="40" t="n"/>
      <c r="N172" s="40" t="n"/>
    </row>
    <row r="173">
      <c r="A173" s="39">
        <f>IF(L173="","","PV-"&amp;TEXT(ROW()-4,"0000"))</f>
        <v/>
      </c>
      <c r="B173" s="47" t="n"/>
      <c r="C173" s="40" t="n"/>
      <c r="D173" s="50" t="n"/>
      <c r="E173" s="49">
        <f>IF(D173="","",IFERROR(INDEX('المشروعات'!$B$5:$B$304,MATCH(D173,'المشروعات'!$A$5:$A$304,0)),""))</f>
        <v/>
      </c>
      <c r="F173" s="40" t="n"/>
      <c r="G173" s="40" t="n"/>
      <c r="H173" s="40" t="n"/>
      <c r="I173" s="40" t="n"/>
      <c r="J173" s="40" t="n"/>
      <c r="K173" s="40" t="n"/>
      <c r="L173" s="41" t="n"/>
      <c r="M173" s="40" t="n"/>
      <c r="N173" s="40" t="n"/>
    </row>
    <row r="174">
      <c r="A174" s="39">
        <f>IF(L174="","","PV-"&amp;TEXT(ROW()-4,"0000"))</f>
        <v/>
      </c>
      <c r="B174" s="47" t="n"/>
      <c r="C174" s="40" t="n"/>
      <c r="D174" s="50" t="n"/>
      <c r="E174" s="49">
        <f>IF(D174="","",IFERROR(INDEX('المشروعات'!$B$5:$B$304,MATCH(D174,'المشروعات'!$A$5:$A$304,0)),""))</f>
        <v/>
      </c>
      <c r="F174" s="40" t="n"/>
      <c r="G174" s="40" t="n"/>
      <c r="H174" s="40" t="n"/>
      <c r="I174" s="40" t="n"/>
      <c r="J174" s="40" t="n"/>
      <c r="K174" s="40" t="n"/>
      <c r="L174" s="41" t="n"/>
      <c r="M174" s="40" t="n"/>
      <c r="N174" s="40" t="n"/>
    </row>
    <row r="175">
      <c r="A175" s="39">
        <f>IF(L175="","","PV-"&amp;TEXT(ROW()-4,"0000"))</f>
        <v/>
      </c>
      <c r="B175" s="47" t="n"/>
      <c r="C175" s="40" t="n"/>
      <c r="D175" s="50" t="n"/>
      <c r="E175" s="49">
        <f>IF(D175="","",IFERROR(INDEX('المشروعات'!$B$5:$B$304,MATCH(D175,'المشروعات'!$A$5:$A$304,0)),""))</f>
        <v/>
      </c>
      <c r="F175" s="40" t="n"/>
      <c r="G175" s="40" t="n"/>
      <c r="H175" s="40" t="n"/>
      <c r="I175" s="40" t="n"/>
      <c r="J175" s="40" t="n"/>
      <c r="K175" s="40" t="n"/>
      <c r="L175" s="41" t="n"/>
      <c r="M175" s="40" t="n"/>
      <c r="N175" s="40" t="n"/>
    </row>
    <row r="176">
      <c r="A176" s="39">
        <f>IF(L176="","","PV-"&amp;TEXT(ROW()-4,"0000"))</f>
        <v/>
      </c>
      <c r="B176" s="47" t="n"/>
      <c r="C176" s="40" t="n"/>
      <c r="D176" s="50" t="n"/>
      <c r="E176" s="49">
        <f>IF(D176="","",IFERROR(INDEX('المشروعات'!$B$5:$B$304,MATCH(D176,'المشروعات'!$A$5:$A$304,0)),""))</f>
        <v/>
      </c>
      <c r="F176" s="40" t="n"/>
      <c r="G176" s="40" t="n"/>
      <c r="H176" s="40" t="n"/>
      <c r="I176" s="40" t="n"/>
      <c r="J176" s="40" t="n"/>
      <c r="K176" s="40" t="n"/>
      <c r="L176" s="41" t="n"/>
      <c r="M176" s="40" t="n"/>
      <c r="N176" s="40" t="n"/>
    </row>
    <row r="177">
      <c r="A177" s="39">
        <f>IF(L177="","","PV-"&amp;TEXT(ROW()-4,"0000"))</f>
        <v/>
      </c>
      <c r="B177" s="47" t="n"/>
      <c r="C177" s="40" t="n"/>
      <c r="D177" s="50" t="n"/>
      <c r="E177" s="49">
        <f>IF(D177="","",IFERROR(INDEX('المشروعات'!$B$5:$B$304,MATCH(D177,'المشروعات'!$A$5:$A$304,0)),""))</f>
        <v/>
      </c>
      <c r="F177" s="40" t="n"/>
      <c r="G177" s="40" t="n"/>
      <c r="H177" s="40" t="n"/>
      <c r="I177" s="40" t="n"/>
      <c r="J177" s="40" t="n"/>
      <c r="K177" s="40" t="n"/>
      <c r="L177" s="41" t="n"/>
      <c r="M177" s="40" t="n"/>
      <c r="N177" s="40" t="n"/>
    </row>
    <row r="178">
      <c r="A178" s="39">
        <f>IF(L178="","","PV-"&amp;TEXT(ROW()-4,"0000"))</f>
        <v/>
      </c>
      <c r="B178" s="47" t="n"/>
      <c r="C178" s="40" t="n"/>
      <c r="D178" s="50" t="n"/>
      <c r="E178" s="49">
        <f>IF(D178="","",IFERROR(INDEX('المشروعات'!$B$5:$B$304,MATCH(D178,'المشروعات'!$A$5:$A$304,0)),""))</f>
        <v/>
      </c>
      <c r="F178" s="40" t="n"/>
      <c r="G178" s="40" t="n"/>
      <c r="H178" s="40" t="n"/>
      <c r="I178" s="40" t="n"/>
      <c r="J178" s="40" t="n"/>
      <c r="K178" s="40" t="n"/>
      <c r="L178" s="41" t="n"/>
      <c r="M178" s="40" t="n"/>
      <c r="N178" s="40" t="n"/>
    </row>
    <row r="179">
      <c r="A179" s="39">
        <f>IF(L179="","","PV-"&amp;TEXT(ROW()-4,"0000"))</f>
        <v/>
      </c>
      <c r="B179" s="47" t="n"/>
      <c r="C179" s="40" t="n"/>
      <c r="D179" s="50" t="n"/>
      <c r="E179" s="49">
        <f>IF(D179="","",IFERROR(INDEX('المشروعات'!$B$5:$B$304,MATCH(D179,'المشروعات'!$A$5:$A$304,0)),""))</f>
        <v/>
      </c>
      <c r="F179" s="40" t="n"/>
      <c r="G179" s="40" t="n"/>
      <c r="H179" s="40" t="n"/>
      <c r="I179" s="40" t="n"/>
      <c r="J179" s="40" t="n"/>
      <c r="K179" s="40" t="n"/>
      <c r="L179" s="41" t="n"/>
      <c r="M179" s="40" t="n"/>
      <c r="N179" s="40" t="n"/>
    </row>
    <row r="180">
      <c r="A180" s="39">
        <f>IF(L180="","","PV-"&amp;TEXT(ROW()-4,"0000"))</f>
        <v/>
      </c>
      <c r="B180" s="47" t="n"/>
      <c r="C180" s="40" t="n"/>
      <c r="D180" s="50" t="n"/>
      <c r="E180" s="49">
        <f>IF(D180="","",IFERROR(INDEX('المشروعات'!$B$5:$B$304,MATCH(D180,'المشروعات'!$A$5:$A$304,0)),""))</f>
        <v/>
      </c>
      <c r="F180" s="40" t="n"/>
      <c r="G180" s="40" t="n"/>
      <c r="H180" s="40" t="n"/>
      <c r="I180" s="40" t="n"/>
      <c r="J180" s="40" t="n"/>
      <c r="K180" s="40" t="n"/>
      <c r="L180" s="41" t="n"/>
      <c r="M180" s="40" t="n"/>
      <c r="N180" s="40" t="n"/>
    </row>
    <row r="181">
      <c r="A181" s="39">
        <f>IF(L181="","","PV-"&amp;TEXT(ROW()-4,"0000"))</f>
        <v/>
      </c>
      <c r="B181" s="47" t="n"/>
      <c r="C181" s="40" t="n"/>
      <c r="D181" s="50" t="n"/>
      <c r="E181" s="49">
        <f>IF(D181="","",IFERROR(INDEX('المشروعات'!$B$5:$B$304,MATCH(D181,'المشروعات'!$A$5:$A$304,0)),""))</f>
        <v/>
      </c>
      <c r="F181" s="40" t="n"/>
      <c r="G181" s="40" t="n"/>
      <c r="H181" s="40" t="n"/>
      <c r="I181" s="40" t="n"/>
      <c r="J181" s="40" t="n"/>
      <c r="K181" s="40" t="n"/>
      <c r="L181" s="41" t="n"/>
      <c r="M181" s="40" t="n"/>
      <c r="N181" s="40" t="n"/>
    </row>
    <row r="182">
      <c r="A182" s="39">
        <f>IF(L182="","","PV-"&amp;TEXT(ROW()-4,"0000"))</f>
        <v/>
      </c>
      <c r="B182" s="47" t="n"/>
      <c r="C182" s="40" t="n"/>
      <c r="D182" s="50" t="n"/>
      <c r="E182" s="49">
        <f>IF(D182="","",IFERROR(INDEX('المشروعات'!$B$5:$B$304,MATCH(D182,'المشروعات'!$A$5:$A$304,0)),""))</f>
        <v/>
      </c>
      <c r="F182" s="40" t="n"/>
      <c r="G182" s="40" t="n"/>
      <c r="H182" s="40" t="n"/>
      <c r="I182" s="40" t="n"/>
      <c r="J182" s="40" t="n"/>
      <c r="K182" s="40" t="n"/>
      <c r="L182" s="41" t="n"/>
      <c r="M182" s="40" t="n"/>
      <c r="N182" s="40" t="n"/>
    </row>
    <row r="183">
      <c r="A183" s="39">
        <f>IF(L183="","","PV-"&amp;TEXT(ROW()-4,"0000"))</f>
        <v/>
      </c>
      <c r="B183" s="47" t="n"/>
      <c r="C183" s="40" t="n"/>
      <c r="D183" s="50" t="n"/>
      <c r="E183" s="49">
        <f>IF(D183="","",IFERROR(INDEX('المشروعات'!$B$5:$B$304,MATCH(D183,'المشروعات'!$A$5:$A$304,0)),""))</f>
        <v/>
      </c>
      <c r="F183" s="40" t="n"/>
      <c r="G183" s="40" t="n"/>
      <c r="H183" s="40" t="n"/>
      <c r="I183" s="40" t="n"/>
      <c r="J183" s="40" t="n"/>
      <c r="K183" s="40" t="n"/>
      <c r="L183" s="41" t="n"/>
      <c r="M183" s="40" t="n"/>
      <c r="N183" s="40" t="n"/>
    </row>
    <row r="184">
      <c r="A184" s="39">
        <f>IF(L184="","","PV-"&amp;TEXT(ROW()-4,"0000"))</f>
        <v/>
      </c>
      <c r="B184" s="47" t="n"/>
      <c r="C184" s="40" t="n"/>
      <c r="D184" s="50" t="n"/>
      <c r="E184" s="49">
        <f>IF(D184="","",IFERROR(INDEX('المشروعات'!$B$5:$B$304,MATCH(D184,'المشروعات'!$A$5:$A$304,0)),""))</f>
        <v/>
      </c>
      <c r="F184" s="40" t="n"/>
      <c r="G184" s="40" t="n"/>
      <c r="H184" s="40" t="n"/>
      <c r="I184" s="40" t="n"/>
      <c r="J184" s="40" t="n"/>
      <c r="K184" s="40" t="n"/>
      <c r="L184" s="41" t="n"/>
      <c r="M184" s="40" t="n"/>
      <c r="N184" s="40" t="n"/>
    </row>
    <row r="185">
      <c r="A185" s="39">
        <f>IF(L185="","","PV-"&amp;TEXT(ROW()-4,"0000"))</f>
        <v/>
      </c>
      <c r="B185" s="47" t="n"/>
      <c r="C185" s="40" t="n"/>
      <c r="D185" s="50" t="n"/>
      <c r="E185" s="49">
        <f>IF(D185="","",IFERROR(INDEX('المشروعات'!$B$5:$B$304,MATCH(D185,'المشروعات'!$A$5:$A$304,0)),""))</f>
        <v/>
      </c>
      <c r="F185" s="40" t="n"/>
      <c r="G185" s="40" t="n"/>
      <c r="H185" s="40" t="n"/>
      <c r="I185" s="40" t="n"/>
      <c r="J185" s="40" t="n"/>
      <c r="K185" s="40" t="n"/>
      <c r="L185" s="41" t="n"/>
      <c r="M185" s="40" t="n"/>
      <c r="N185" s="40" t="n"/>
    </row>
    <row r="186">
      <c r="A186" s="39">
        <f>IF(L186="","","PV-"&amp;TEXT(ROW()-4,"0000"))</f>
        <v/>
      </c>
      <c r="B186" s="47" t="n"/>
      <c r="C186" s="40" t="n"/>
      <c r="D186" s="50" t="n"/>
      <c r="E186" s="49">
        <f>IF(D186="","",IFERROR(INDEX('المشروعات'!$B$5:$B$304,MATCH(D186,'المشروعات'!$A$5:$A$304,0)),""))</f>
        <v/>
      </c>
      <c r="F186" s="40" t="n"/>
      <c r="G186" s="40" t="n"/>
      <c r="H186" s="40" t="n"/>
      <c r="I186" s="40" t="n"/>
      <c r="J186" s="40" t="n"/>
      <c r="K186" s="40" t="n"/>
      <c r="L186" s="41" t="n"/>
      <c r="M186" s="40" t="n"/>
      <c r="N186" s="40" t="n"/>
    </row>
    <row r="187">
      <c r="A187" s="39">
        <f>IF(L187="","","PV-"&amp;TEXT(ROW()-4,"0000"))</f>
        <v/>
      </c>
      <c r="B187" s="47" t="n"/>
      <c r="C187" s="40" t="n"/>
      <c r="D187" s="50" t="n"/>
      <c r="E187" s="49">
        <f>IF(D187="","",IFERROR(INDEX('المشروعات'!$B$5:$B$304,MATCH(D187,'المشروعات'!$A$5:$A$304,0)),""))</f>
        <v/>
      </c>
      <c r="F187" s="40" t="n"/>
      <c r="G187" s="40" t="n"/>
      <c r="H187" s="40" t="n"/>
      <c r="I187" s="40" t="n"/>
      <c r="J187" s="40" t="n"/>
      <c r="K187" s="40" t="n"/>
      <c r="L187" s="41" t="n"/>
      <c r="M187" s="40" t="n"/>
      <c r="N187" s="40" t="n"/>
    </row>
    <row r="188">
      <c r="A188" s="39">
        <f>IF(L188="","","PV-"&amp;TEXT(ROW()-4,"0000"))</f>
        <v/>
      </c>
      <c r="B188" s="47" t="n"/>
      <c r="C188" s="40" t="n"/>
      <c r="D188" s="50" t="n"/>
      <c r="E188" s="49">
        <f>IF(D188="","",IFERROR(INDEX('المشروعات'!$B$5:$B$304,MATCH(D188,'المشروعات'!$A$5:$A$304,0)),""))</f>
        <v/>
      </c>
      <c r="F188" s="40" t="n"/>
      <c r="G188" s="40" t="n"/>
      <c r="H188" s="40" t="n"/>
      <c r="I188" s="40" t="n"/>
      <c r="J188" s="40" t="n"/>
      <c r="K188" s="40" t="n"/>
      <c r="L188" s="41" t="n"/>
      <c r="M188" s="40" t="n"/>
      <c r="N188" s="40" t="n"/>
    </row>
    <row r="189">
      <c r="A189" s="39">
        <f>IF(L189="","","PV-"&amp;TEXT(ROW()-4,"0000"))</f>
        <v/>
      </c>
      <c r="B189" s="47" t="n"/>
      <c r="C189" s="40" t="n"/>
      <c r="D189" s="50" t="n"/>
      <c r="E189" s="49">
        <f>IF(D189="","",IFERROR(INDEX('المشروعات'!$B$5:$B$304,MATCH(D189,'المشروعات'!$A$5:$A$304,0)),""))</f>
        <v/>
      </c>
      <c r="F189" s="40" t="n"/>
      <c r="G189" s="40" t="n"/>
      <c r="H189" s="40" t="n"/>
      <c r="I189" s="40" t="n"/>
      <c r="J189" s="40" t="n"/>
      <c r="K189" s="40" t="n"/>
      <c r="L189" s="41" t="n"/>
      <c r="M189" s="40" t="n"/>
      <c r="N189" s="40" t="n"/>
    </row>
    <row r="190">
      <c r="A190" s="39">
        <f>IF(L190="","","PV-"&amp;TEXT(ROW()-4,"0000"))</f>
        <v/>
      </c>
      <c r="B190" s="47" t="n"/>
      <c r="C190" s="40" t="n"/>
      <c r="D190" s="50" t="n"/>
      <c r="E190" s="49">
        <f>IF(D190="","",IFERROR(INDEX('المشروعات'!$B$5:$B$304,MATCH(D190,'المشروعات'!$A$5:$A$304,0)),""))</f>
        <v/>
      </c>
      <c r="F190" s="40" t="n"/>
      <c r="G190" s="40" t="n"/>
      <c r="H190" s="40" t="n"/>
      <c r="I190" s="40" t="n"/>
      <c r="J190" s="40" t="n"/>
      <c r="K190" s="40" t="n"/>
      <c r="L190" s="41" t="n"/>
      <c r="M190" s="40" t="n"/>
      <c r="N190" s="40" t="n"/>
    </row>
    <row r="191">
      <c r="A191" s="39">
        <f>IF(L191="","","PV-"&amp;TEXT(ROW()-4,"0000"))</f>
        <v/>
      </c>
      <c r="B191" s="47" t="n"/>
      <c r="C191" s="40" t="n"/>
      <c r="D191" s="50" t="n"/>
      <c r="E191" s="49">
        <f>IF(D191="","",IFERROR(INDEX('المشروعات'!$B$5:$B$304,MATCH(D191,'المشروعات'!$A$5:$A$304,0)),""))</f>
        <v/>
      </c>
      <c r="F191" s="40" t="n"/>
      <c r="G191" s="40" t="n"/>
      <c r="H191" s="40" t="n"/>
      <c r="I191" s="40" t="n"/>
      <c r="J191" s="40" t="n"/>
      <c r="K191" s="40" t="n"/>
      <c r="L191" s="41" t="n"/>
      <c r="M191" s="40" t="n"/>
      <c r="N191" s="40" t="n"/>
    </row>
    <row r="192">
      <c r="A192" s="39">
        <f>IF(L192="","","PV-"&amp;TEXT(ROW()-4,"0000"))</f>
        <v/>
      </c>
      <c r="B192" s="47" t="n"/>
      <c r="C192" s="40" t="n"/>
      <c r="D192" s="50" t="n"/>
      <c r="E192" s="49">
        <f>IF(D192="","",IFERROR(INDEX('المشروعات'!$B$5:$B$304,MATCH(D192,'المشروعات'!$A$5:$A$304,0)),""))</f>
        <v/>
      </c>
      <c r="F192" s="40" t="n"/>
      <c r="G192" s="40" t="n"/>
      <c r="H192" s="40" t="n"/>
      <c r="I192" s="40" t="n"/>
      <c r="J192" s="40" t="n"/>
      <c r="K192" s="40" t="n"/>
      <c r="L192" s="41" t="n"/>
      <c r="M192" s="40" t="n"/>
      <c r="N192" s="40" t="n"/>
    </row>
    <row r="193">
      <c r="A193" s="39">
        <f>IF(L193="","","PV-"&amp;TEXT(ROW()-4,"0000"))</f>
        <v/>
      </c>
      <c r="B193" s="47" t="n"/>
      <c r="C193" s="40" t="n"/>
      <c r="D193" s="50" t="n"/>
      <c r="E193" s="49">
        <f>IF(D193="","",IFERROR(INDEX('المشروعات'!$B$5:$B$304,MATCH(D193,'المشروعات'!$A$5:$A$304,0)),""))</f>
        <v/>
      </c>
      <c r="F193" s="40" t="n"/>
      <c r="G193" s="40" t="n"/>
      <c r="H193" s="40" t="n"/>
      <c r="I193" s="40" t="n"/>
      <c r="J193" s="40" t="n"/>
      <c r="K193" s="40" t="n"/>
      <c r="L193" s="41" t="n"/>
      <c r="M193" s="40" t="n"/>
      <c r="N193" s="40" t="n"/>
    </row>
    <row r="194">
      <c r="A194" s="39">
        <f>IF(L194="","","PV-"&amp;TEXT(ROW()-4,"0000"))</f>
        <v/>
      </c>
      <c r="B194" s="47" t="n"/>
      <c r="C194" s="40" t="n"/>
      <c r="D194" s="50" t="n"/>
      <c r="E194" s="49">
        <f>IF(D194="","",IFERROR(INDEX('المشروعات'!$B$5:$B$304,MATCH(D194,'المشروعات'!$A$5:$A$304,0)),""))</f>
        <v/>
      </c>
      <c r="F194" s="40" t="n"/>
      <c r="G194" s="40" t="n"/>
      <c r="H194" s="40" t="n"/>
      <c r="I194" s="40" t="n"/>
      <c r="J194" s="40" t="n"/>
      <c r="K194" s="40" t="n"/>
      <c r="L194" s="41" t="n"/>
      <c r="M194" s="40" t="n"/>
      <c r="N194" s="40" t="n"/>
    </row>
    <row r="195">
      <c r="A195" s="39">
        <f>IF(L195="","","PV-"&amp;TEXT(ROW()-4,"0000"))</f>
        <v/>
      </c>
      <c r="B195" s="47" t="n"/>
      <c r="C195" s="40" t="n"/>
      <c r="D195" s="50" t="n"/>
      <c r="E195" s="49">
        <f>IF(D195="","",IFERROR(INDEX('المشروعات'!$B$5:$B$304,MATCH(D195,'المشروعات'!$A$5:$A$304,0)),""))</f>
        <v/>
      </c>
      <c r="F195" s="40" t="n"/>
      <c r="G195" s="40" t="n"/>
      <c r="H195" s="40" t="n"/>
      <c r="I195" s="40" t="n"/>
      <c r="J195" s="40" t="n"/>
      <c r="K195" s="40" t="n"/>
      <c r="L195" s="41" t="n"/>
      <c r="M195" s="40" t="n"/>
      <c r="N195" s="40" t="n"/>
    </row>
    <row r="196">
      <c r="A196" s="39">
        <f>IF(L196="","","PV-"&amp;TEXT(ROW()-4,"0000"))</f>
        <v/>
      </c>
      <c r="B196" s="47" t="n"/>
      <c r="C196" s="40" t="n"/>
      <c r="D196" s="50" t="n"/>
      <c r="E196" s="49">
        <f>IF(D196="","",IFERROR(INDEX('المشروعات'!$B$5:$B$304,MATCH(D196,'المشروعات'!$A$5:$A$304,0)),""))</f>
        <v/>
      </c>
      <c r="F196" s="40" t="n"/>
      <c r="G196" s="40" t="n"/>
      <c r="H196" s="40" t="n"/>
      <c r="I196" s="40" t="n"/>
      <c r="J196" s="40" t="n"/>
      <c r="K196" s="40" t="n"/>
      <c r="L196" s="41" t="n"/>
      <c r="M196" s="40" t="n"/>
      <c r="N196" s="40" t="n"/>
    </row>
    <row r="197">
      <c r="A197" s="39">
        <f>IF(L197="","","PV-"&amp;TEXT(ROW()-4,"0000"))</f>
        <v/>
      </c>
      <c r="B197" s="47" t="n"/>
      <c r="C197" s="40" t="n"/>
      <c r="D197" s="50" t="n"/>
      <c r="E197" s="49">
        <f>IF(D197="","",IFERROR(INDEX('المشروعات'!$B$5:$B$304,MATCH(D197,'المشروعات'!$A$5:$A$304,0)),""))</f>
        <v/>
      </c>
      <c r="F197" s="40" t="n"/>
      <c r="G197" s="40" t="n"/>
      <c r="H197" s="40" t="n"/>
      <c r="I197" s="40" t="n"/>
      <c r="J197" s="40" t="n"/>
      <c r="K197" s="40" t="n"/>
      <c r="L197" s="41" t="n"/>
      <c r="M197" s="40" t="n"/>
      <c r="N197" s="40" t="n"/>
    </row>
    <row r="198">
      <c r="A198" s="39">
        <f>IF(L198="","","PV-"&amp;TEXT(ROW()-4,"0000"))</f>
        <v/>
      </c>
      <c r="B198" s="47" t="n"/>
      <c r="C198" s="40" t="n"/>
      <c r="D198" s="50" t="n"/>
      <c r="E198" s="49">
        <f>IF(D198="","",IFERROR(INDEX('المشروعات'!$B$5:$B$304,MATCH(D198,'المشروعات'!$A$5:$A$304,0)),""))</f>
        <v/>
      </c>
      <c r="F198" s="40" t="n"/>
      <c r="G198" s="40" t="n"/>
      <c r="H198" s="40" t="n"/>
      <c r="I198" s="40" t="n"/>
      <c r="J198" s="40" t="n"/>
      <c r="K198" s="40" t="n"/>
      <c r="L198" s="41" t="n"/>
      <c r="M198" s="40" t="n"/>
      <c r="N198" s="40" t="n"/>
    </row>
    <row r="199">
      <c r="A199" s="39">
        <f>IF(L199="","","PV-"&amp;TEXT(ROW()-4,"0000"))</f>
        <v/>
      </c>
      <c r="B199" s="47" t="n"/>
      <c r="C199" s="40" t="n"/>
      <c r="D199" s="50" t="n"/>
      <c r="E199" s="49">
        <f>IF(D199="","",IFERROR(INDEX('المشروعات'!$B$5:$B$304,MATCH(D199,'المشروعات'!$A$5:$A$304,0)),""))</f>
        <v/>
      </c>
      <c r="F199" s="40" t="n"/>
      <c r="G199" s="40" t="n"/>
      <c r="H199" s="40" t="n"/>
      <c r="I199" s="40" t="n"/>
      <c r="J199" s="40" t="n"/>
      <c r="K199" s="40" t="n"/>
      <c r="L199" s="41" t="n"/>
      <c r="M199" s="40" t="n"/>
      <c r="N199" s="40" t="n"/>
    </row>
    <row r="200">
      <c r="A200" s="39">
        <f>IF(L200="","","PV-"&amp;TEXT(ROW()-4,"0000"))</f>
        <v/>
      </c>
      <c r="B200" s="47" t="n"/>
      <c r="C200" s="40" t="n"/>
      <c r="D200" s="50" t="n"/>
      <c r="E200" s="49">
        <f>IF(D200="","",IFERROR(INDEX('المشروعات'!$B$5:$B$304,MATCH(D200,'المشروعات'!$A$5:$A$304,0)),""))</f>
        <v/>
      </c>
      <c r="F200" s="40" t="n"/>
      <c r="G200" s="40" t="n"/>
      <c r="H200" s="40" t="n"/>
      <c r="I200" s="40" t="n"/>
      <c r="J200" s="40" t="n"/>
      <c r="K200" s="40" t="n"/>
      <c r="L200" s="41" t="n"/>
      <c r="M200" s="40" t="n"/>
      <c r="N200" s="40" t="n"/>
    </row>
    <row r="201">
      <c r="A201" s="39">
        <f>IF(L201="","","PV-"&amp;TEXT(ROW()-4,"0000"))</f>
        <v/>
      </c>
      <c r="B201" s="47" t="n"/>
      <c r="C201" s="40" t="n"/>
      <c r="D201" s="50" t="n"/>
      <c r="E201" s="49">
        <f>IF(D201="","",IFERROR(INDEX('المشروعات'!$B$5:$B$304,MATCH(D201,'المشروعات'!$A$5:$A$304,0)),""))</f>
        <v/>
      </c>
      <c r="F201" s="40" t="n"/>
      <c r="G201" s="40" t="n"/>
      <c r="H201" s="40" t="n"/>
      <c r="I201" s="40" t="n"/>
      <c r="J201" s="40" t="n"/>
      <c r="K201" s="40" t="n"/>
      <c r="L201" s="41" t="n"/>
      <c r="M201" s="40" t="n"/>
      <c r="N201" s="40" t="n"/>
    </row>
    <row r="202">
      <c r="A202" s="39">
        <f>IF(L202="","","PV-"&amp;TEXT(ROW()-4,"0000"))</f>
        <v/>
      </c>
      <c r="B202" s="47" t="n"/>
      <c r="C202" s="40" t="n"/>
      <c r="D202" s="50" t="n"/>
      <c r="E202" s="49">
        <f>IF(D202="","",IFERROR(INDEX('المشروعات'!$B$5:$B$304,MATCH(D202,'المشروعات'!$A$5:$A$304,0)),""))</f>
        <v/>
      </c>
      <c r="F202" s="40" t="n"/>
      <c r="G202" s="40" t="n"/>
      <c r="H202" s="40" t="n"/>
      <c r="I202" s="40" t="n"/>
      <c r="J202" s="40" t="n"/>
      <c r="K202" s="40" t="n"/>
      <c r="L202" s="41" t="n"/>
      <c r="M202" s="40" t="n"/>
      <c r="N202" s="40" t="n"/>
    </row>
    <row r="203">
      <c r="A203" s="39">
        <f>IF(L203="","","PV-"&amp;TEXT(ROW()-4,"0000"))</f>
        <v/>
      </c>
      <c r="B203" s="47" t="n"/>
      <c r="C203" s="40" t="n"/>
      <c r="D203" s="50" t="n"/>
      <c r="E203" s="49">
        <f>IF(D203="","",IFERROR(INDEX('المشروعات'!$B$5:$B$304,MATCH(D203,'المشروعات'!$A$5:$A$304,0)),""))</f>
        <v/>
      </c>
      <c r="F203" s="40" t="n"/>
      <c r="G203" s="40" t="n"/>
      <c r="H203" s="40" t="n"/>
      <c r="I203" s="40" t="n"/>
      <c r="J203" s="40" t="n"/>
      <c r="K203" s="40" t="n"/>
      <c r="L203" s="41" t="n"/>
      <c r="M203" s="40" t="n"/>
      <c r="N203" s="40" t="n"/>
    </row>
    <row r="204">
      <c r="A204" s="39">
        <f>IF(L204="","","PV-"&amp;TEXT(ROW()-4,"0000"))</f>
        <v/>
      </c>
      <c r="B204" s="47" t="n"/>
      <c r="C204" s="40" t="n"/>
      <c r="D204" s="50" t="n"/>
      <c r="E204" s="49">
        <f>IF(D204="","",IFERROR(INDEX('المشروعات'!$B$5:$B$304,MATCH(D204,'المشروعات'!$A$5:$A$304,0)),""))</f>
        <v/>
      </c>
      <c r="F204" s="40" t="n"/>
      <c r="G204" s="40" t="n"/>
      <c r="H204" s="40" t="n"/>
      <c r="I204" s="40" t="n"/>
      <c r="J204" s="40" t="n"/>
      <c r="K204" s="40" t="n"/>
      <c r="L204" s="41" t="n"/>
      <c r="M204" s="40" t="n"/>
      <c r="N204" s="40" t="n"/>
    </row>
    <row r="205">
      <c r="A205" s="39">
        <f>IF(L205="","","PV-"&amp;TEXT(ROW()-4,"0000"))</f>
        <v/>
      </c>
      <c r="B205" s="47" t="n"/>
      <c r="C205" s="40" t="n"/>
      <c r="D205" s="50" t="n"/>
      <c r="E205" s="49">
        <f>IF(D205="","",IFERROR(INDEX('المشروعات'!$B$5:$B$304,MATCH(D205,'المشروعات'!$A$5:$A$304,0)),""))</f>
        <v/>
      </c>
      <c r="F205" s="40" t="n"/>
      <c r="G205" s="40" t="n"/>
      <c r="H205" s="40" t="n"/>
      <c r="I205" s="40" t="n"/>
      <c r="J205" s="40" t="n"/>
      <c r="K205" s="40" t="n"/>
      <c r="L205" s="41" t="n"/>
      <c r="M205" s="40" t="n"/>
      <c r="N205" s="40" t="n"/>
    </row>
    <row r="206">
      <c r="A206" s="39">
        <f>IF(L206="","","PV-"&amp;TEXT(ROW()-4,"0000"))</f>
        <v/>
      </c>
      <c r="B206" s="47" t="n"/>
      <c r="C206" s="40" t="n"/>
      <c r="D206" s="50" t="n"/>
      <c r="E206" s="49">
        <f>IF(D206="","",IFERROR(INDEX('المشروعات'!$B$5:$B$304,MATCH(D206,'المشروعات'!$A$5:$A$304,0)),""))</f>
        <v/>
      </c>
      <c r="F206" s="40" t="n"/>
      <c r="G206" s="40" t="n"/>
      <c r="H206" s="40" t="n"/>
      <c r="I206" s="40" t="n"/>
      <c r="J206" s="40" t="n"/>
      <c r="K206" s="40" t="n"/>
      <c r="L206" s="41" t="n"/>
      <c r="M206" s="40" t="n"/>
      <c r="N206" s="40" t="n"/>
    </row>
    <row r="207">
      <c r="A207" s="39">
        <f>IF(L207="","","PV-"&amp;TEXT(ROW()-4,"0000"))</f>
        <v/>
      </c>
      <c r="B207" s="47" t="n"/>
      <c r="C207" s="40" t="n"/>
      <c r="D207" s="50" t="n"/>
      <c r="E207" s="49">
        <f>IF(D207="","",IFERROR(INDEX('المشروعات'!$B$5:$B$304,MATCH(D207,'المشروعات'!$A$5:$A$304,0)),""))</f>
        <v/>
      </c>
      <c r="F207" s="40" t="n"/>
      <c r="G207" s="40" t="n"/>
      <c r="H207" s="40" t="n"/>
      <c r="I207" s="40" t="n"/>
      <c r="J207" s="40" t="n"/>
      <c r="K207" s="40" t="n"/>
      <c r="L207" s="41" t="n"/>
      <c r="M207" s="40" t="n"/>
      <c r="N207" s="40" t="n"/>
    </row>
    <row r="208">
      <c r="A208" s="39">
        <f>IF(L208="","","PV-"&amp;TEXT(ROW()-4,"0000"))</f>
        <v/>
      </c>
      <c r="B208" s="47" t="n"/>
      <c r="C208" s="40" t="n"/>
      <c r="D208" s="50" t="n"/>
      <c r="E208" s="49">
        <f>IF(D208="","",IFERROR(INDEX('المشروعات'!$B$5:$B$304,MATCH(D208,'المشروعات'!$A$5:$A$304,0)),""))</f>
        <v/>
      </c>
      <c r="F208" s="40" t="n"/>
      <c r="G208" s="40" t="n"/>
      <c r="H208" s="40" t="n"/>
      <c r="I208" s="40" t="n"/>
      <c r="J208" s="40" t="n"/>
      <c r="K208" s="40" t="n"/>
      <c r="L208" s="41" t="n"/>
      <c r="M208" s="40" t="n"/>
      <c r="N208" s="40" t="n"/>
    </row>
    <row r="209">
      <c r="A209" s="39">
        <f>IF(L209="","","PV-"&amp;TEXT(ROW()-4,"0000"))</f>
        <v/>
      </c>
      <c r="B209" s="47" t="n"/>
      <c r="C209" s="40" t="n"/>
      <c r="D209" s="50" t="n"/>
      <c r="E209" s="49">
        <f>IF(D209="","",IFERROR(INDEX('المشروعات'!$B$5:$B$304,MATCH(D209,'المشروعات'!$A$5:$A$304,0)),""))</f>
        <v/>
      </c>
      <c r="F209" s="40" t="n"/>
      <c r="G209" s="40" t="n"/>
      <c r="H209" s="40" t="n"/>
      <c r="I209" s="40" t="n"/>
      <c r="J209" s="40" t="n"/>
      <c r="K209" s="40" t="n"/>
      <c r="L209" s="41" t="n"/>
      <c r="M209" s="40" t="n"/>
      <c r="N209" s="40" t="n"/>
    </row>
    <row r="210">
      <c r="A210" s="39">
        <f>IF(L210="","","PV-"&amp;TEXT(ROW()-4,"0000"))</f>
        <v/>
      </c>
      <c r="B210" s="47" t="n"/>
      <c r="C210" s="40" t="n"/>
      <c r="D210" s="50" t="n"/>
      <c r="E210" s="49">
        <f>IF(D210="","",IFERROR(INDEX('المشروعات'!$B$5:$B$304,MATCH(D210,'المشروعات'!$A$5:$A$304,0)),""))</f>
        <v/>
      </c>
      <c r="F210" s="40" t="n"/>
      <c r="G210" s="40" t="n"/>
      <c r="H210" s="40" t="n"/>
      <c r="I210" s="40" t="n"/>
      <c r="J210" s="40" t="n"/>
      <c r="K210" s="40" t="n"/>
      <c r="L210" s="41" t="n"/>
      <c r="M210" s="40" t="n"/>
      <c r="N210" s="40" t="n"/>
    </row>
    <row r="211">
      <c r="A211" s="39">
        <f>IF(L211="","","PV-"&amp;TEXT(ROW()-4,"0000"))</f>
        <v/>
      </c>
      <c r="B211" s="47" t="n"/>
      <c r="C211" s="40" t="n"/>
      <c r="D211" s="50" t="n"/>
      <c r="E211" s="49">
        <f>IF(D211="","",IFERROR(INDEX('المشروعات'!$B$5:$B$304,MATCH(D211,'المشروعات'!$A$5:$A$304,0)),""))</f>
        <v/>
      </c>
      <c r="F211" s="40" t="n"/>
      <c r="G211" s="40" t="n"/>
      <c r="H211" s="40" t="n"/>
      <c r="I211" s="40" t="n"/>
      <c r="J211" s="40" t="n"/>
      <c r="K211" s="40" t="n"/>
      <c r="L211" s="41" t="n"/>
      <c r="M211" s="40" t="n"/>
      <c r="N211" s="40" t="n"/>
    </row>
    <row r="212">
      <c r="A212" s="39">
        <f>IF(L212="","","PV-"&amp;TEXT(ROW()-4,"0000"))</f>
        <v/>
      </c>
      <c r="B212" s="47" t="n"/>
      <c r="C212" s="40" t="n"/>
      <c r="D212" s="50" t="n"/>
      <c r="E212" s="49">
        <f>IF(D212="","",IFERROR(INDEX('المشروعات'!$B$5:$B$304,MATCH(D212,'المشروعات'!$A$5:$A$304,0)),""))</f>
        <v/>
      </c>
      <c r="F212" s="40" t="n"/>
      <c r="G212" s="40" t="n"/>
      <c r="H212" s="40" t="n"/>
      <c r="I212" s="40" t="n"/>
      <c r="J212" s="40" t="n"/>
      <c r="K212" s="40" t="n"/>
      <c r="L212" s="41" t="n"/>
      <c r="M212" s="40" t="n"/>
      <c r="N212" s="40" t="n"/>
    </row>
    <row r="213">
      <c r="A213" s="39">
        <f>IF(L213="","","PV-"&amp;TEXT(ROW()-4,"0000"))</f>
        <v/>
      </c>
      <c r="B213" s="47" t="n"/>
      <c r="C213" s="40" t="n"/>
      <c r="D213" s="50" t="n"/>
      <c r="E213" s="49">
        <f>IF(D213="","",IFERROR(INDEX('المشروعات'!$B$5:$B$304,MATCH(D213,'المشروعات'!$A$5:$A$304,0)),""))</f>
        <v/>
      </c>
      <c r="F213" s="40" t="n"/>
      <c r="G213" s="40" t="n"/>
      <c r="H213" s="40" t="n"/>
      <c r="I213" s="40" t="n"/>
      <c r="J213" s="40" t="n"/>
      <c r="K213" s="40" t="n"/>
      <c r="L213" s="41" t="n"/>
      <c r="M213" s="40" t="n"/>
      <c r="N213" s="40" t="n"/>
    </row>
    <row r="214">
      <c r="A214" s="39">
        <f>IF(L214="","","PV-"&amp;TEXT(ROW()-4,"0000"))</f>
        <v/>
      </c>
      <c r="B214" s="47" t="n"/>
      <c r="C214" s="40" t="n"/>
      <c r="D214" s="50" t="n"/>
      <c r="E214" s="49">
        <f>IF(D214="","",IFERROR(INDEX('المشروعات'!$B$5:$B$304,MATCH(D214,'المشروعات'!$A$5:$A$304,0)),""))</f>
        <v/>
      </c>
      <c r="F214" s="40" t="n"/>
      <c r="G214" s="40" t="n"/>
      <c r="H214" s="40" t="n"/>
      <c r="I214" s="40" t="n"/>
      <c r="J214" s="40" t="n"/>
      <c r="K214" s="40" t="n"/>
      <c r="L214" s="41" t="n"/>
      <c r="M214" s="40" t="n"/>
      <c r="N214" s="40" t="n"/>
    </row>
    <row r="215">
      <c r="A215" s="39">
        <f>IF(L215="","","PV-"&amp;TEXT(ROW()-4,"0000"))</f>
        <v/>
      </c>
      <c r="B215" s="47" t="n"/>
      <c r="C215" s="40" t="n"/>
      <c r="D215" s="50" t="n"/>
      <c r="E215" s="49">
        <f>IF(D215="","",IFERROR(INDEX('المشروعات'!$B$5:$B$304,MATCH(D215,'المشروعات'!$A$5:$A$304,0)),""))</f>
        <v/>
      </c>
      <c r="F215" s="40" t="n"/>
      <c r="G215" s="40" t="n"/>
      <c r="H215" s="40" t="n"/>
      <c r="I215" s="40" t="n"/>
      <c r="J215" s="40" t="n"/>
      <c r="K215" s="40" t="n"/>
      <c r="L215" s="41" t="n"/>
      <c r="M215" s="40" t="n"/>
      <c r="N215" s="40" t="n"/>
    </row>
    <row r="216">
      <c r="A216" s="39">
        <f>IF(L216="","","PV-"&amp;TEXT(ROW()-4,"0000"))</f>
        <v/>
      </c>
      <c r="B216" s="47" t="n"/>
      <c r="C216" s="40" t="n"/>
      <c r="D216" s="50" t="n"/>
      <c r="E216" s="49">
        <f>IF(D216="","",IFERROR(INDEX('المشروعات'!$B$5:$B$304,MATCH(D216,'المشروعات'!$A$5:$A$304,0)),""))</f>
        <v/>
      </c>
      <c r="F216" s="40" t="n"/>
      <c r="G216" s="40" t="n"/>
      <c r="H216" s="40" t="n"/>
      <c r="I216" s="40" t="n"/>
      <c r="J216" s="40" t="n"/>
      <c r="K216" s="40" t="n"/>
      <c r="L216" s="41" t="n"/>
      <c r="M216" s="40" t="n"/>
      <c r="N216" s="40" t="n"/>
    </row>
    <row r="217">
      <c r="A217" s="39">
        <f>IF(L217="","","PV-"&amp;TEXT(ROW()-4,"0000"))</f>
        <v/>
      </c>
      <c r="B217" s="47" t="n"/>
      <c r="C217" s="40" t="n"/>
      <c r="D217" s="50" t="n"/>
      <c r="E217" s="49">
        <f>IF(D217="","",IFERROR(INDEX('المشروعات'!$B$5:$B$304,MATCH(D217,'المشروعات'!$A$5:$A$304,0)),""))</f>
        <v/>
      </c>
      <c r="F217" s="40" t="n"/>
      <c r="G217" s="40" t="n"/>
      <c r="H217" s="40" t="n"/>
      <c r="I217" s="40" t="n"/>
      <c r="J217" s="40" t="n"/>
      <c r="K217" s="40" t="n"/>
      <c r="L217" s="41" t="n"/>
      <c r="M217" s="40" t="n"/>
      <c r="N217" s="40" t="n"/>
    </row>
    <row r="218">
      <c r="A218" s="39">
        <f>IF(L218="","","PV-"&amp;TEXT(ROW()-4,"0000"))</f>
        <v/>
      </c>
      <c r="B218" s="47" t="n"/>
      <c r="C218" s="40" t="n"/>
      <c r="D218" s="50" t="n"/>
      <c r="E218" s="49">
        <f>IF(D218="","",IFERROR(INDEX('المشروعات'!$B$5:$B$304,MATCH(D218,'المشروعات'!$A$5:$A$304,0)),""))</f>
        <v/>
      </c>
      <c r="F218" s="40" t="n"/>
      <c r="G218" s="40" t="n"/>
      <c r="H218" s="40" t="n"/>
      <c r="I218" s="40" t="n"/>
      <c r="J218" s="40" t="n"/>
      <c r="K218" s="40" t="n"/>
      <c r="L218" s="41" t="n"/>
      <c r="M218" s="40" t="n"/>
      <c r="N218" s="40" t="n"/>
    </row>
    <row r="219">
      <c r="A219" s="39">
        <f>IF(L219="","","PV-"&amp;TEXT(ROW()-4,"0000"))</f>
        <v/>
      </c>
      <c r="B219" s="47" t="n"/>
      <c r="C219" s="40" t="n"/>
      <c r="D219" s="50" t="n"/>
      <c r="E219" s="49">
        <f>IF(D219="","",IFERROR(INDEX('المشروعات'!$B$5:$B$304,MATCH(D219,'المشروعات'!$A$5:$A$304,0)),""))</f>
        <v/>
      </c>
      <c r="F219" s="40" t="n"/>
      <c r="G219" s="40" t="n"/>
      <c r="H219" s="40" t="n"/>
      <c r="I219" s="40" t="n"/>
      <c r="J219" s="40" t="n"/>
      <c r="K219" s="40" t="n"/>
      <c r="L219" s="41" t="n"/>
      <c r="M219" s="40" t="n"/>
      <c r="N219" s="40" t="n"/>
    </row>
    <row r="220">
      <c r="A220" s="39">
        <f>IF(L220="","","PV-"&amp;TEXT(ROW()-4,"0000"))</f>
        <v/>
      </c>
      <c r="B220" s="47" t="n"/>
      <c r="C220" s="40" t="n"/>
      <c r="D220" s="50" t="n"/>
      <c r="E220" s="49">
        <f>IF(D220="","",IFERROR(INDEX('المشروعات'!$B$5:$B$304,MATCH(D220,'المشروعات'!$A$5:$A$304,0)),""))</f>
        <v/>
      </c>
      <c r="F220" s="40" t="n"/>
      <c r="G220" s="40" t="n"/>
      <c r="H220" s="40" t="n"/>
      <c r="I220" s="40" t="n"/>
      <c r="J220" s="40" t="n"/>
      <c r="K220" s="40" t="n"/>
      <c r="L220" s="41" t="n"/>
      <c r="M220" s="40" t="n"/>
      <c r="N220" s="40" t="n"/>
    </row>
    <row r="221">
      <c r="A221" s="39">
        <f>IF(L221="","","PV-"&amp;TEXT(ROW()-4,"0000"))</f>
        <v/>
      </c>
      <c r="B221" s="47" t="n"/>
      <c r="C221" s="40" t="n"/>
      <c r="D221" s="50" t="n"/>
      <c r="E221" s="49">
        <f>IF(D221="","",IFERROR(INDEX('المشروعات'!$B$5:$B$304,MATCH(D221,'المشروعات'!$A$5:$A$304,0)),""))</f>
        <v/>
      </c>
      <c r="F221" s="40" t="n"/>
      <c r="G221" s="40" t="n"/>
      <c r="H221" s="40" t="n"/>
      <c r="I221" s="40" t="n"/>
      <c r="J221" s="40" t="n"/>
      <c r="K221" s="40" t="n"/>
      <c r="L221" s="41" t="n"/>
      <c r="M221" s="40" t="n"/>
      <c r="N221" s="40" t="n"/>
    </row>
    <row r="222">
      <c r="A222" s="39">
        <f>IF(L222="","","PV-"&amp;TEXT(ROW()-4,"0000"))</f>
        <v/>
      </c>
      <c r="B222" s="47" t="n"/>
      <c r="C222" s="40" t="n"/>
      <c r="D222" s="50" t="n"/>
      <c r="E222" s="49">
        <f>IF(D222="","",IFERROR(INDEX('المشروعات'!$B$5:$B$304,MATCH(D222,'المشروعات'!$A$5:$A$304,0)),""))</f>
        <v/>
      </c>
      <c r="F222" s="40" t="n"/>
      <c r="G222" s="40" t="n"/>
      <c r="H222" s="40" t="n"/>
      <c r="I222" s="40" t="n"/>
      <c r="J222" s="40" t="n"/>
      <c r="K222" s="40" t="n"/>
      <c r="L222" s="41" t="n"/>
      <c r="M222" s="40" t="n"/>
      <c r="N222" s="40" t="n"/>
    </row>
    <row r="223">
      <c r="A223" s="39">
        <f>IF(L223="","","PV-"&amp;TEXT(ROW()-4,"0000"))</f>
        <v/>
      </c>
      <c r="B223" s="47" t="n"/>
      <c r="C223" s="40" t="n"/>
      <c r="D223" s="50" t="n"/>
      <c r="E223" s="49">
        <f>IF(D223="","",IFERROR(INDEX('المشروعات'!$B$5:$B$304,MATCH(D223,'المشروعات'!$A$5:$A$304,0)),""))</f>
        <v/>
      </c>
      <c r="F223" s="40" t="n"/>
      <c r="G223" s="40" t="n"/>
      <c r="H223" s="40" t="n"/>
      <c r="I223" s="40" t="n"/>
      <c r="J223" s="40" t="n"/>
      <c r="K223" s="40" t="n"/>
      <c r="L223" s="41" t="n"/>
      <c r="M223" s="40" t="n"/>
      <c r="N223" s="40" t="n"/>
    </row>
    <row r="224">
      <c r="A224" s="39">
        <f>IF(L224="","","PV-"&amp;TEXT(ROW()-4,"0000"))</f>
        <v/>
      </c>
      <c r="B224" s="47" t="n"/>
      <c r="C224" s="40" t="n"/>
      <c r="D224" s="50" t="n"/>
      <c r="E224" s="49">
        <f>IF(D224="","",IFERROR(INDEX('المشروعات'!$B$5:$B$304,MATCH(D224,'المشروعات'!$A$5:$A$304,0)),""))</f>
        <v/>
      </c>
      <c r="F224" s="40" t="n"/>
      <c r="G224" s="40" t="n"/>
      <c r="H224" s="40" t="n"/>
      <c r="I224" s="40" t="n"/>
      <c r="J224" s="40" t="n"/>
      <c r="K224" s="40" t="n"/>
      <c r="L224" s="41" t="n"/>
      <c r="M224" s="40" t="n"/>
      <c r="N224" s="40" t="n"/>
    </row>
    <row r="225">
      <c r="A225" s="39">
        <f>IF(L225="","","PV-"&amp;TEXT(ROW()-4,"0000"))</f>
        <v/>
      </c>
      <c r="B225" s="47" t="n"/>
      <c r="C225" s="40" t="n"/>
      <c r="D225" s="50" t="n"/>
      <c r="E225" s="49">
        <f>IF(D225="","",IFERROR(INDEX('المشروعات'!$B$5:$B$304,MATCH(D225,'المشروعات'!$A$5:$A$304,0)),""))</f>
        <v/>
      </c>
      <c r="F225" s="40" t="n"/>
      <c r="G225" s="40" t="n"/>
      <c r="H225" s="40" t="n"/>
      <c r="I225" s="40" t="n"/>
      <c r="J225" s="40" t="n"/>
      <c r="K225" s="40" t="n"/>
      <c r="L225" s="41" t="n"/>
      <c r="M225" s="40" t="n"/>
      <c r="N225" s="40" t="n"/>
    </row>
    <row r="226">
      <c r="A226" s="39">
        <f>IF(L226="","","PV-"&amp;TEXT(ROW()-4,"0000"))</f>
        <v/>
      </c>
      <c r="B226" s="47" t="n"/>
      <c r="C226" s="40" t="n"/>
      <c r="D226" s="50" t="n"/>
      <c r="E226" s="49">
        <f>IF(D226="","",IFERROR(INDEX('المشروعات'!$B$5:$B$304,MATCH(D226,'المشروعات'!$A$5:$A$304,0)),""))</f>
        <v/>
      </c>
      <c r="F226" s="40" t="n"/>
      <c r="G226" s="40" t="n"/>
      <c r="H226" s="40" t="n"/>
      <c r="I226" s="40" t="n"/>
      <c r="J226" s="40" t="n"/>
      <c r="K226" s="40" t="n"/>
      <c r="L226" s="41" t="n"/>
      <c r="M226" s="40" t="n"/>
      <c r="N226" s="40" t="n"/>
    </row>
    <row r="227">
      <c r="A227" s="39">
        <f>IF(L227="","","PV-"&amp;TEXT(ROW()-4,"0000"))</f>
        <v/>
      </c>
      <c r="B227" s="47" t="n"/>
      <c r="C227" s="40" t="n"/>
      <c r="D227" s="50" t="n"/>
      <c r="E227" s="49">
        <f>IF(D227="","",IFERROR(INDEX('المشروعات'!$B$5:$B$304,MATCH(D227,'المشروعات'!$A$5:$A$304,0)),""))</f>
        <v/>
      </c>
      <c r="F227" s="40" t="n"/>
      <c r="G227" s="40" t="n"/>
      <c r="H227" s="40" t="n"/>
      <c r="I227" s="40" t="n"/>
      <c r="J227" s="40" t="n"/>
      <c r="K227" s="40" t="n"/>
      <c r="L227" s="41" t="n"/>
      <c r="M227" s="40" t="n"/>
      <c r="N227" s="40" t="n"/>
    </row>
    <row r="228">
      <c r="A228" s="39">
        <f>IF(L228="","","PV-"&amp;TEXT(ROW()-4,"0000"))</f>
        <v/>
      </c>
      <c r="B228" s="47" t="n"/>
      <c r="C228" s="40" t="n"/>
      <c r="D228" s="50" t="n"/>
      <c r="E228" s="49">
        <f>IF(D228="","",IFERROR(INDEX('المشروعات'!$B$5:$B$304,MATCH(D228,'المشروعات'!$A$5:$A$304,0)),""))</f>
        <v/>
      </c>
      <c r="F228" s="40" t="n"/>
      <c r="G228" s="40" t="n"/>
      <c r="H228" s="40" t="n"/>
      <c r="I228" s="40" t="n"/>
      <c r="J228" s="40" t="n"/>
      <c r="K228" s="40" t="n"/>
      <c r="L228" s="41" t="n"/>
      <c r="M228" s="40" t="n"/>
      <c r="N228" s="40" t="n"/>
    </row>
    <row r="229">
      <c r="A229" s="39">
        <f>IF(L229="","","PV-"&amp;TEXT(ROW()-4,"0000"))</f>
        <v/>
      </c>
      <c r="B229" s="47" t="n"/>
      <c r="C229" s="40" t="n"/>
      <c r="D229" s="50" t="n"/>
      <c r="E229" s="49">
        <f>IF(D229="","",IFERROR(INDEX('المشروعات'!$B$5:$B$304,MATCH(D229,'المشروعات'!$A$5:$A$304,0)),""))</f>
        <v/>
      </c>
      <c r="F229" s="40" t="n"/>
      <c r="G229" s="40" t="n"/>
      <c r="H229" s="40" t="n"/>
      <c r="I229" s="40" t="n"/>
      <c r="J229" s="40" t="n"/>
      <c r="K229" s="40" t="n"/>
      <c r="L229" s="41" t="n"/>
      <c r="M229" s="40" t="n"/>
      <c r="N229" s="40" t="n"/>
    </row>
    <row r="230">
      <c r="A230" s="39">
        <f>IF(L230="","","PV-"&amp;TEXT(ROW()-4,"0000"))</f>
        <v/>
      </c>
      <c r="B230" s="47" t="n"/>
      <c r="C230" s="40" t="n"/>
      <c r="D230" s="50" t="n"/>
      <c r="E230" s="49">
        <f>IF(D230="","",IFERROR(INDEX('المشروعات'!$B$5:$B$304,MATCH(D230,'المشروعات'!$A$5:$A$304,0)),""))</f>
        <v/>
      </c>
      <c r="F230" s="40" t="n"/>
      <c r="G230" s="40" t="n"/>
      <c r="H230" s="40" t="n"/>
      <c r="I230" s="40" t="n"/>
      <c r="J230" s="40" t="n"/>
      <c r="K230" s="40" t="n"/>
      <c r="L230" s="41" t="n"/>
      <c r="M230" s="40" t="n"/>
      <c r="N230" s="40" t="n"/>
    </row>
    <row r="231">
      <c r="A231" s="39">
        <f>IF(L231="","","PV-"&amp;TEXT(ROW()-4,"0000"))</f>
        <v/>
      </c>
      <c r="B231" s="47" t="n"/>
      <c r="C231" s="40" t="n"/>
      <c r="D231" s="50" t="n"/>
      <c r="E231" s="49">
        <f>IF(D231="","",IFERROR(INDEX('المشروعات'!$B$5:$B$304,MATCH(D231,'المشروعات'!$A$5:$A$304,0)),""))</f>
        <v/>
      </c>
      <c r="F231" s="40" t="n"/>
      <c r="G231" s="40" t="n"/>
      <c r="H231" s="40" t="n"/>
      <c r="I231" s="40" t="n"/>
      <c r="J231" s="40" t="n"/>
      <c r="K231" s="40" t="n"/>
      <c r="L231" s="41" t="n"/>
      <c r="M231" s="40" t="n"/>
      <c r="N231" s="40" t="n"/>
    </row>
    <row r="232">
      <c r="A232" s="39">
        <f>IF(L232="","","PV-"&amp;TEXT(ROW()-4,"0000"))</f>
        <v/>
      </c>
      <c r="B232" s="47" t="n"/>
      <c r="C232" s="40" t="n"/>
      <c r="D232" s="50" t="n"/>
      <c r="E232" s="49">
        <f>IF(D232="","",IFERROR(INDEX('المشروعات'!$B$5:$B$304,MATCH(D232,'المشروعات'!$A$5:$A$304,0)),""))</f>
        <v/>
      </c>
      <c r="F232" s="40" t="n"/>
      <c r="G232" s="40" t="n"/>
      <c r="H232" s="40" t="n"/>
      <c r="I232" s="40" t="n"/>
      <c r="J232" s="40" t="n"/>
      <c r="K232" s="40" t="n"/>
      <c r="L232" s="41" t="n"/>
      <c r="M232" s="40" t="n"/>
      <c r="N232" s="40" t="n"/>
    </row>
    <row r="233">
      <c r="A233" s="39">
        <f>IF(L233="","","PV-"&amp;TEXT(ROW()-4,"0000"))</f>
        <v/>
      </c>
      <c r="B233" s="47" t="n"/>
      <c r="C233" s="40" t="n"/>
      <c r="D233" s="50" t="n"/>
      <c r="E233" s="49">
        <f>IF(D233="","",IFERROR(INDEX('المشروعات'!$B$5:$B$304,MATCH(D233,'المشروعات'!$A$5:$A$304,0)),""))</f>
        <v/>
      </c>
      <c r="F233" s="40" t="n"/>
      <c r="G233" s="40" t="n"/>
      <c r="H233" s="40" t="n"/>
      <c r="I233" s="40" t="n"/>
      <c r="J233" s="40" t="n"/>
      <c r="K233" s="40" t="n"/>
      <c r="L233" s="41" t="n"/>
      <c r="M233" s="40" t="n"/>
      <c r="N233" s="40" t="n"/>
    </row>
    <row r="234">
      <c r="A234" s="39">
        <f>IF(L234="","","PV-"&amp;TEXT(ROW()-4,"0000"))</f>
        <v/>
      </c>
      <c r="B234" s="47" t="n"/>
      <c r="C234" s="40" t="n"/>
      <c r="D234" s="50" t="n"/>
      <c r="E234" s="49">
        <f>IF(D234="","",IFERROR(INDEX('المشروعات'!$B$5:$B$304,MATCH(D234,'المشروعات'!$A$5:$A$304,0)),""))</f>
        <v/>
      </c>
      <c r="F234" s="40" t="n"/>
      <c r="G234" s="40" t="n"/>
      <c r="H234" s="40" t="n"/>
      <c r="I234" s="40" t="n"/>
      <c r="J234" s="40" t="n"/>
      <c r="K234" s="40" t="n"/>
      <c r="L234" s="41" t="n"/>
      <c r="M234" s="40" t="n"/>
      <c r="N234" s="40" t="n"/>
    </row>
    <row r="235">
      <c r="A235" s="39">
        <f>IF(L235="","","PV-"&amp;TEXT(ROW()-4,"0000"))</f>
        <v/>
      </c>
      <c r="B235" s="47" t="n"/>
      <c r="C235" s="40" t="n"/>
      <c r="D235" s="50" t="n"/>
      <c r="E235" s="49">
        <f>IF(D235="","",IFERROR(INDEX('المشروعات'!$B$5:$B$304,MATCH(D235,'المشروعات'!$A$5:$A$304,0)),""))</f>
        <v/>
      </c>
      <c r="F235" s="40" t="n"/>
      <c r="G235" s="40" t="n"/>
      <c r="H235" s="40" t="n"/>
      <c r="I235" s="40" t="n"/>
      <c r="J235" s="40" t="n"/>
      <c r="K235" s="40" t="n"/>
      <c r="L235" s="41" t="n"/>
      <c r="M235" s="40" t="n"/>
      <c r="N235" s="40" t="n"/>
    </row>
    <row r="236">
      <c r="A236" s="39">
        <f>IF(L236="","","PV-"&amp;TEXT(ROW()-4,"0000"))</f>
        <v/>
      </c>
      <c r="B236" s="47" t="n"/>
      <c r="C236" s="40" t="n"/>
      <c r="D236" s="50" t="n"/>
      <c r="E236" s="49">
        <f>IF(D236="","",IFERROR(INDEX('المشروعات'!$B$5:$B$304,MATCH(D236,'المشروعات'!$A$5:$A$304,0)),""))</f>
        <v/>
      </c>
      <c r="F236" s="40" t="n"/>
      <c r="G236" s="40" t="n"/>
      <c r="H236" s="40" t="n"/>
      <c r="I236" s="40" t="n"/>
      <c r="J236" s="40" t="n"/>
      <c r="K236" s="40" t="n"/>
      <c r="L236" s="41" t="n"/>
      <c r="M236" s="40" t="n"/>
      <c r="N236" s="40" t="n"/>
    </row>
    <row r="237">
      <c r="A237" s="39">
        <f>IF(L237="","","PV-"&amp;TEXT(ROW()-4,"0000"))</f>
        <v/>
      </c>
      <c r="B237" s="47" t="n"/>
      <c r="C237" s="40" t="n"/>
      <c r="D237" s="50" t="n"/>
      <c r="E237" s="49">
        <f>IF(D237="","",IFERROR(INDEX('المشروعات'!$B$5:$B$304,MATCH(D237,'المشروعات'!$A$5:$A$304,0)),""))</f>
        <v/>
      </c>
      <c r="F237" s="40" t="n"/>
      <c r="G237" s="40" t="n"/>
      <c r="H237" s="40" t="n"/>
      <c r="I237" s="40" t="n"/>
      <c r="J237" s="40" t="n"/>
      <c r="K237" s="40" t="n"/>
      <c r="L237" s="41" t="n"/>
      <c r="M237" s="40" t="n"/>
      <c r="N237" s="40" t="n"/>
    </row>
    <row r="238">
      <c r="A238" s="39">
        <f>IF(L238="","","PV-"&amp;TEXT(ROW()-4,"0000"))</f>
        <v/>
      </c>
      <c r="B238" s="47" t="n"/>
      <c r="C238" s="40" t="n"/>
      <c r="D238" s="50" t="n"/>
      <c r="E238" s="49">
        <f>IF(D238="","",IFERROR(INDEX('المشروعات'!$B$5:$B$304,MATCH(D238,'المشروعات'!$A$5:$A$304,0)),""))</f>
        <v/>
      </c>
      <c r="F238" s="40" t="n"/>
      <c r="G238" s="40" t="n"/>
      <c r="H238" s="40" t="n"/>
      <c r="I238" s="40" t="n"/>
      <c r="J238" s="40" t="n"/>
      <c r="K238" s="40" t="n"/>
      <c r="L238" s="41" t="n"/>
      <c r="M238" s="40" t="n"/>
      <c r="N238" s="40" t="n"/>
    </row>
    <row r="239">
      <c r="A239" s="39">
        <f>IF(L239="","","PV-"&amp;TEXT(ROW()-4,"0000"))</f>
        <v/>
      </c>
      <c r="B239" s="47" t="n"/>
      <c r="C239" s="40" t="n"/>
      <c r="D239" s="50" t="n"/>
      <c r="E239" s="49">
        <f>IF(D239="","",IFERROR(INDEX('المشروعات'!$B$5:$B$304,MATCH(D239,'المشروعات'!$A$5:$A$304,0)),""))</f>
        <v/>
      </c>
      <c r="F239" s="40" t="n"/>
      <c r="G239" s="40" t="n"/>
      <c r="H239" s="40" t="n"/>
      <c r="I239" s="40" t="n"/>
      <c r="J239" s="40" t="n"/>
      <c r="K239" s="40" t="n"/>
      <c r="L239" s="41" t="n"/>
      <c r="M239" s="40" t="n"/>
      <c r="N239" s="40" t="n"/>
    </row>
    <row r="240">
      <c r="A240" s="39">
        <f>IF(L240="","","PV-"&amp;TEXT(ROW()-4,"0000"))</f>
        <v/>
      </c>
      <c r="B240" s="47" t="n"/>
      <c r="C240" s="40" t="n"/>
      <c r="D240" s="50" t="n"/>
      <c r="E240" s="49">
        <f>IF(D240="","",IFERROR(INDEX('المشروعات'!$B$5:$B$304,MATCH(D240,'المشروعات'!$A$5:$A$304,0)),""))</f>
        <v/>
      </c>
      <c r="F240" s="40" t="n"/>
      <c r="G240" s="40" t="n"/>
      <c r="H240" s="40" t="n"/>
      <c r="I240" s="40" t="n"/>
      <c r="J240" s="40" t="n"/>
      <c r="K240" s="40" t="n"/>
      <c r="L240" s="41" t="n"/>
      <c r="M240" s="40" t="n"/>
      <c r="N240" s="40" t="n"/>
    </row>
    <row r="241">
      <c r="A241" s="39">
        <f>IF(L241="","","PV-"&amp;TEXT(ROW()-4,"0000"))</f>
        <v/>
      </c>
      <c r="B241" s="47" t="n"/>
      <c r="C241" s="40" t="n"/>
      <c r="D241" s="50" t="n"/>
      <c r="E241" s="49">
        <f>IF(D241="","",IFERROR(INDEX('المشروعات'!$B$5:$B$304,MATCH(D241,'المشروعات'!$A$5:$A$304,0)),""))</f>
        <v/>
      </c>
      <c r="F241" s="40" t="n"/>
      <c r="G241" s="40" t="n"/>
      <c r="H241" s="40" t="n"/>
      <c r="I241" s="40" t="n"/>
      <c r="J241" s="40" t="n"/>
      <c r="K241" s="40" t="n"/>
      <c r="L241" s="41" t="n"/>
      <c r="M241" s="40" t="n"/>
      <c r="N241" s="40" t="n"/>
    </row>
    <row r="242">
      <c r="A242" s="39">
        <f>IF(L242="","","PV-"&amp;TEXT(ROW()-4,"0000"))</f>
        <v/>
      </c>
      <c r="B242" s="47" t="n"/>
      <c r="C242" s="40" t="n"/>
      <c r="D242" s="50" t="n"/>
      <c r="E242" s="49">
        <f>IF(D242="","",IFERROR(INDEX('المشروعات'!$B$5:$B$304,MATCH(D242,'المشروعات'!$A$5:$A$304,0)),""))</f>
        <v/>
      </c>
      <c r="F242" s="40" t="n"/>
      <c r="G242" s="40" t="n"/>
      <c r="H242" s="40" t="n"/>
      <c r="I242" s="40" t="n"/>
      <c r="J242" s="40" t="n"/>
      <c r="K242" s="40" t="n"/>
      <c r="L242" s="41" t="n"/>
      <c r="M242" s="40" t="n"/>
      <c r="N242" s="40" t="n"/>
    </row>
    <row r="243">
      <c r="A243" s="39">
        <f>IF(L243="","","PV-"&amp;TEXT(ROW()-4,"0000"))</f>
        <v/>
      </c>
      <c r="B243" s="47" t="n"/>
      <c r="C243" s="40" t="n"/>
      <c r="D243" s="50" t="n"/>
      <c r="E243" s="49">
        <f>IF(D243="","",IFERROR(INDEX('المشروعات'!$B$5:$B$304,MATCH(D243,'المشروعات'!$A$5:$A$304,0)),""))</f>
        <v/>
      </c>
      <c r="F243" s="40" t="n"/>
      <c r="G243" s="40" t="n"/>
      <c r="H243" s="40" t="n"/>
      <c r="I243" s="40" t="n"/>
      <c r="J243" s="40" t="n"/>
      <c r="K243" s="40" t="n"/>
      <c r="L243" s="41" t="n"/>
      <c r="M243" s="40" t="n"/>
      <c r="N243" s="40" t="n"/>
    </row>
    <row r="244">
      <c r="A244" s="39">
        <f>IF(L244="","","PV-"&amp;TEXT(ROW()-4,"0000"))</f>
        <v/>
      </c>
      <c r="B244" s="47" t="n"/>
      <c r="C244" s="40" t="n"/>
      <c r="D244" s="50" t="n"/>
      <c r="E244" s="49">
        <f>IF(D244="","",IFERROR(INDEX('المشروعات'!$B$5:$B$304,MATCH(D244,'المشروعات'!$A$5:$A$304,0)),""))</f>
        <v/>
      </c>
      <c r="F244" s="40" t="n"/>
      <c r="G244" s="40" t="n"/>
      <c r="H244" s="40" t="n"/>
      <c r="I244" s="40" t="n"/>
      <c r="J244" s="40" t="n"/>
      <c r="K244" s="40" t="n"/>
      <c r="L244" s="41" t="n"/>
      <c r="M244" s="40" t="n"/>
      <c r="N244" s="40" t="n"/>
    </row>
    <row r="245">
      <c r="A245" s="39">
        <f>IF(L245="","","PV-"&amp;TEXT(ROW()-4,"0000"))</f>
        <v/>
      </c>
      <c r="B245" s="47" t="n"/>
      <c r="C245" s="40" t="n"/>
      <c r="D245" s="50" t="n"/>
      <c r="E245" s="49">
        <f>IF(D245="","",IFERROR(INDEX('المشروعات'!$B$5:$B$304,MATCH(D245,'المشروعات'!$A$5:$A$304,0)),""))</f>
        <v/>
      </c>
      <c r="F245" s="40" t="n"/>
      <c r="G245" s="40" t="n"/>
      <c r="H245" s="40" t="n"/>
      <c r="I245" s="40" t="n"/>
      <c r="J245" s="40" t="n"/>
      <c r="K245" s="40" t="n"/>
      <c r="L245" s="41" t="n"/>
      <c r="M245" s="40" t="n"/>
      <c r="N245" s="40" t="n"/>
    </row>
    <row r="246">
      <c r="A246" s="39">
        <f>IF(L246="","","PV-"&amp;TEXT(ROW()-4,"0000"))</f>
        <v/>
      </c>
      <c r="B246" s="47" t="n"/>
      <c r="C246" s="40" t="n"/>
      <c r="D246" s="50" t="n"/>
      <c r="E246" s="49">
        <f>IF(D246="","",IFERROR(INDEX('المشروعات'!$B$5:$B$304,MATCH(D246,'المشروعات'!$A$5:$A$304,0)),""))</f>
        <v/>
      </c>
      <c r="F246" s="40" t="n"/>
      <c r="G246" s="40" t="n"/>
      <c r="H246" s="40" t="n"/>
      <c r="I246" s="40" t="n"/>
      <c r="J246" s="40" t="n"/>
      <c r="K246" s="40" t="n"/>
      <c r="L246" s="41" t="n"/>
      <c r="M246" s="40" t="n"/>
      <c r="N246" s="40" t="n"/>
    </row>
    <row r="247">
      <c r="A247" s="39">
        <f>IF(L247="","","PV-"&amp;TEXT(ROW()-4,"0000"))</f>
        <v/>
      </c>
      <c r="B247" s="47" t="n"/>
      <c r="C247" s="40" t="n"/>
      <c r="D247" s="50" t="n"/>
      <c r="E247" s="49">
        <f>IF(D247="","",IFERROR(INDEX('المشروعات'!$B$5:$B$304,MATCH(D247,'المشروعات'!$A$5:$A$304,0)),""))</f>
        <v/>
      </c>
      <c r="F247" s="40" t="n"/>
      <c r="G247" s="40" t="n"/>
      <c r="H247" s="40" t="n"/>
      <c r="I247" s="40" t="n"/>
      <c r="J247" s="40" t="n"/>
      <c r="K247" s="40" t="n"/>
      <c r="L247" s="41" t="n"/>
      <c r="M247" s="40" t="n"/>
      <c r="N247" s="40" t="n"/>
    </row>
    <row r="248">
      <c r="A248" s="39">
        <f>IF(L248="","","PV-"&amp;TEXT(ROW()-4,"0000"))</f>
        <v/>
      </c>
      <c r="B248" s="47" t="n"/>
      <c r="C248" s="40" t="n"/>
      <c r="D248" s="50" t="n"/>
      <c r="E248" s="49">
        <f>IF(D248="","",IFERROR(INDEX('المشروعات'!$B$5:$B$304,MATCH(D248,'المشروعات'!$A$5:$A$304,0)),""))</f>
        <v/>
      </c>
      <c r="F248" s="40" t="n"/>
      <c r="G248" s="40" t="n"/>
      <c r="H248" s="40" t="n"/>
      <c r="I248" s="40" t="n"/>
      <c r="J248" s="40" t="n"/>
      <c r="K248" s="40" t="n"/>
      <c r="L248" s="41" t="n"/>
      <c r="M248" s="40" t="n"/>
      <c r="N248" s="40" t="n"/>
    </row>
    <row r="249">
      <c r="A249" s="39">
        <f>IF(L249="","","PV-"&amp;TEXT(ROW()-4,"0000"))</f>
        <v/>
      </c>
      <c r="B249" s="47" t="n"/>
      <c r="C249" s="40" t="n"/>
      <c r="D249" s="50" t="n"/>
      <c r="E249" s="49">
        <f>IF(D249="","",IFERROR(INDEX('المشروعات'!$B$5:$B$304,MATCH(D249,'المشروعات'!$A$5:$A$304,0)),""))</f>
        <v/>
      </c>
      <c r="F249" s="40" t="n"/>
      <c r="G249" s="40" t="n"/>
      <c r="H249" s="40" t="n"/>
      <c r="I249" s="40" t="n"/>
      <c r="J249" s="40" t="n"/>
      <c r="K249" s="40" t="n"/>
      <c r="L249" s="41" t="n"/>
      <c r="M249" s="40" t="n"/>
      <c r="N249" s="40" t="n"/>
    </row>
    <row r="250">
      <c r="A250" s="39">
        <f>IF(L250="","","PV-"&amp;TEXT(ROW()-4,"0000"))</f>
        <v/>
      </c>
      <c r="B250" s="47" t="n"/>
      <c r="C250" s="40" t="n"/>
      <c r="D250" s="50" t="n"/>
      <c r="E250" s="49">
        <f>IF(D250="","",IFERROR(INDEX('المشروعات'!$B$5:$B$304,MATCH(D250,'المشروعات'!$A$5:$A$304,0)),""))</f>
        <v/>
      </c>
      <c r="F250" s="40" t="n"/>
      <c r="G250" s="40" t="n"/>
      <c r="H250" s="40" t="n"/>
      <c r="I250" s="40" t="n"/>
      <c r="J250" s="40" t="n"/>
      <c r="K250" s="40" t="n"/>
      <c r="L250" s="41" t="n"/>
      <c r="M250" s="40" t="n"/>
      <c r="N250" s="40" t="n"/>
    </row>
    <row r="251">
      <c r="A251" s="39">
        <f>IF(L251="","","PV-"&amp;TEXT(ROW()-4,"0000"))</f>
        <v/>
      </c>
      <c r="B251" s="47" t="n"/>
      <c r="C251" s="40" t="n"/>
      <c r="D251" s="50" t="n"/>
      <c r="E251" s="49">
        <f>IF(D251="","",IFERROR(INDEX('المشروعات'!$B$5:$B$304,MATCH(D251,'المشروعات'!$A$5:$A$304,0)),""))</f>
        <v/>
      </c>
      <c r="F251" s="40" t="n"/>
      <c r="G251" s="40" t="n"/>
      <c r="H251" s="40" t="n"/>
      <c r="I251" s="40" t="n"/>
      <c r="J251" s="40" t="n"/>
      <c r="K251" s="40" t="n"/>
      <c r="L251" s="41" t="n"/>
      <c r="M251" s="40" t="n"/>
      <c r="N251" s="40" t="n"/>
    </row>
    <row r="252">
      <c r="A252" s="39">
        <f>IF(L252="","","PV-"&amp;TEXT(ROW()-4,"0000"))</f>
        <v/>
      </c>
      <c r="B252" s="47" t="n"/>
      <c r="C252" s="40" t="n"/>
      <c r="D252" s="50" t="n"/>
      <c r="E252" s="49">
        <f>IF(D252="","",IFERROR(INDEX('المشروعات'!$B$5:$B$304,MATCH(D252,'المشروعات'!$A$5:$A$304,0)),""))</f>
        <v/>
      </c>
      <c r="F252" s="40" t="n"/>
      <c r="G252" s="40" t="n"/>
      <c r="H252" s="40" t="n"/>
      <c r="I252" s="40" t="n"/>
      <c r="J252" s="40" t="n"/>
      <c r="K252" s="40" t="n"/>
      <c r="L252" s="41" t="n"/>
      <c r="M252" s="40" t="n"/>
      <c r="N252" s="40" t="n"/>
    </row>
    <row r="253">
      <c r="A253" s="39">
        <f>IF(L253="","","PV-"&amp;TEXT(ROW()-4,"0000"))</f>
        <v/>
      </c>
      <c r="B253" s="47" t="n"/>
      <c r="C253" s="40" t="n"/>
      <c r="D253" s="50" t="n"/>
      <c r="E253" s="49">
        <f>IF(D253="","",IFERROR(INDEX('المشروعات'!$B$5:$B$304,MATCH(D253,'المشروعات'!$A$5:$A$304,0)),""))</f>
        <v/>
      </c>
      <c r="F253" s="40" t="n"/>
      <c r="G253" s="40" t="n"/>
      <c r="H253" s="40" t="n"/>
      <c r="I253" s="40" t="n"/>
      <c r="J253" s="40" t="n"/>
      <c r="K253" s="40" t="n"/>
      <c r="L253" s="41" t="n"/>
      <c r="M253" s="40" t="n"/>
      <c r="N253" s="40" t="n"/>
    </row>
    <row r="254">
      <c r="A254" s="39">
        <f>IF(L254="","","PV-"&amp;TEXT(ROW()-4,"0000"))</f>
        <v/>
      </c>
      <c r="B254" s="47" t="n"/>
      <c r="C254" s="40" t="n"/>
      <c r="D254" s="50" t="n"/>
      <c r="E254" s="49">
        <f>IF(D254="","",IFERROR(INDEX('المشروعات'!$B$5:$B$304,MATCH(D254,'المشروعات'!$A$5:$A$304,0)),""))</f>
        <v/>
      </c>
      <c r="F254" s="40" t="n"/>
      <c r="G254" s="40" t="n"/>
      <c r="H254" s="40" t="n"/>
      <c r="I254" s="40" t="n"/>
      <c r="J254" s="40" t="n"/>
      <c r="K254" s="40" t="n"/>
      <c r="L254" s="41" t="n"/>
      <c r="M254" s="40" t="n"/>
      <c r="N254" s="40" t="n"/>
    </row>
    <row r="255">
      <c r="A255" s="39">
        <f>IF(L255="","","PV-"&amp;TEXT(ROW()-4,"0000"))</f>
        <v/>
      </c>
      <c r="B255" s="47" t="n"/>
      <c r="C255" s="40" t="n"/>
      <c r="D255" s="50" t="n"/>
      <c r="E255" s="49">
        <f>IF(D255="","",IFERROR(INDEX('المشروعات'!$B$5:$B$304,MATCH(D255,'المشروعات'!$A$5:$A$304,0)),""))</f>
        <v/>
      </c>
      <c r="F255" s="40" t="n"/>
      <c r="G255" s="40" t="n"/>
      <c r="H255" s="40" t="n"/>
      <c r="I255" s="40" t="n"/>
      <c r="J255" s="40" t="n"/>
      <c r="K255" s="40" t="n"/>
      <c r="L255" s="41" t="n"/>
      <c r="M255" s="40" t="n"/>
      <c r="N255" s="40" t="n"/>
    </row>
    <row r="256">
      <c r="A256" s="39">
        <f>IF(L256="","","PV-"&amp;TEXT(ROW()-4,"0000"))</f>
        <v/>
      </c>
      <c r="B256" s="47" t="n"/>
      <c r="C256" s="40" t="n"/>
      <c r="D256" s="50" t="n"/>
      <c r="E256" s="49">
        <f>IF(D256="","",IFERROR(INDEX('المشروعات'!$B$5:$B$304,MATCH(D256,'المشروعات'!$A$5:$A$304,0)),""))</f>
        <v/>
      </c>
      <c r="F256" s="40" t="n"/>
      <c r="G256" s="40" t="n"/>
      <c r="H256" s="40" t="n"/>
      <c r="I256" s="40" t="n"/>
      <c r="J256" s="40" t="n"/>
      <c r="K256" s="40" t="n"/>
      <c r="L256" s="41" t="n"/>
      <c r="M256" s="40" t="n"/>
      <c r="N256" s="40" t="n"/>
    </row>
    <row r="257">
      <c r="A257" s="39">
        <f>IF(L257="","","PV-"&amp;TEXT(ROW()-4,"0000"))</f>
        <v/>
      </c>
      <c r="B257" s="47" t="n"/>
      <c r="C257" s="40" t="n"/>
      <c r="D257" s="50" t="n"/>
      <c r="E257" s="49">
        <f>IF(D257="","",IFERROR(INDEX('المشروعات'!$B$5:$B$304,MATCH(D257,'المشروعات'!$A$5:$A$304,0)),""))</f>
        <v/>
      </c>
      <c r="F257" s="40" t="n"/>
      <c r="G257" s="40" t="n"/>
      <c r="H257" s="40" t="n"/>
      <c r="I257" s="40" t="n"/>
      <c r="J257" s="40" t="n"/>
      <c r="K257" s="40" t="n"/>
      <c r="L257" s="41" t="n"/>
      <c r="M257" s="40" t="n"/>
      <c r="N257" s="40" t="n"/>
    </row>
    <row r="258">
      <c r="A258" s="39">
        <f>IF(L258="","","PV-"&amp;TEXT(ROW()-4,"0000"))</f>
        <v/>
      </c>
      <c r="B258" s="47" t="n"/>
      <c r="C258" s="40" t="n"/>
      <c r="D258" s="50" t="n"/>
      <c r="E258" s="49">
        <f>IF(D258="","",IFERROR(INDEX('المشروعات'!$B$5:$B$304,MATCH(D258,'المشروعات'!$A$5:$A$304,0)),""))</f>
        <v/>
      </c>
      <c r="F258" s="40" t="n"/>
      <c r="G258" s="40" t="n"/>
      <c r="H258" s="40" t="n"/>
      <c r="I258" s="40" t="n"/>
      <c r="J258" s="40" t="n"/>
      <c r="K258" s="40" t="n"/>
      <c r="L258" s="41" t="n"/>
      <c r="M258" s="40" t="n"/>
      <c r="N258" s="40" t="n"/>
    </row>
    <row r="259">
      <c r="A259" s="39">
        <f>IF(L259="","","PV-"&amp;TEXT(ROW()-4,"0000"))</f>
        <v/>
      </c>
      <c r="B259" s="47" t="n"/>
      <c r="C259" s="40" t="n"/>
      <c r="D259" s="50" t="n"/>
      <c r="E259" s="49">
        <f>IF(D259="","",IFERROR(INDEX('المشروعات'!$B$5:$B$304,MATCH(D259,'المشروعات'!$A$5:$A$304,0)),""))</f>
        <v/>
      </c>
      <c r="F259" s="40" t="n"/>
      <c r="G259" s="40" t="n"/>
      <c r="H259" s="40" t="n"/>
      <c r="I259" s="40" t="n"/>
      <c r="J259" s="40" t="n"/>
      <c r="K259" s="40" t="n"/>
      <c r="L259" s="41" t="n"/>
      <c r="M259" s="40" t="n"/>
      <c r="N259" s="40" t="n"/>
    </row>
    <row r="260">
      <c r="A260" s="39">
        <f>IF(L260="","","PV-"&amp;TEXT(ROW()-4,"0000"))</f>
        <v/>
      </c>
      <c r="B260" s="47" t="n"/>
      <c r="C260" s="40" t="n"/>
      <c r="D260" s="50" t="n"/>
      <c r="E260" s="49">
        <f>IF(D260="","",IFERROR(INDEX('المشروعات'!$B$5:$B$304,MATCH(D260,'المشروعات'!$A$5:$A$304,0)),""))</f>
        <v/>
      </c>
      <c r="F260" s="40" t="n"/>
      <c r="G260" s="40" t="n"/>
      <c r="H260" s="40" t="n"/>
      <c r="I260" s="40" t="n"/>
      <c r="J260" s="40" t="n"/>
      <c r="K260" s="40" t="n"/>
      <c r="L260" s="41" t="n"/>
      <c r="M260" s="40" t="n"/>
      <c r="N260" s="40" t="n"/>
    </row>
    <row r="261">
      <c r="A261" s="39">
        <f>IF(L261="","","PV-"&amp;TEXT(ROW()-4,"0000"))</f>
        <v/>
      </c>
      <c r="B261" s="47" t="n"/>
      <c r="C261" s="40" t="n"/>
      <c r="D261" s="50" t="n"/>
      <c r="E261" s="49">
        <f>IF(D261="","",IFERROR(INDEX('المشروعات'!$B$5:$B$304,MATCH(D261,'المشروعات'!$A$5:$A$304,0)),""))</f>
        <v/>
      </c>
      <c r="F261" s="40" t="n"/>
      <c r="G261" s="40" t="n"/>
      <c r="H261" s="40" t="n"/>
      <c r="I261" s="40" t="n"/>
      <c r="J261" s="40" t="n"/>
      <c r="K261" s="40" t="n"/>
      <c r="L261" s="41" t="n"/>
      <c r="M261" s="40" t="n"/>
      <c r="N261" s="40" t="n"/>
    </row>
    <row r="262">
      <c r="A262" s="39">
        <f>IF(L262="","","PV-"&amp;TEXT(ROW()-4,"0000"))</f>
        <v/>
      </c>
      <c r="B262" s="47" t="n"/>
      <c r="C262" s="40" t="n"/>
      <c r="D262" s="50" t="n"/>
      <c r="E262" s="49">
        <f>IF(D262="","",IFERROR(INDEX('المشروعات'!$B$5:$B$304,MATCH(D262,'المشروعات'!$A$5:$A$304,0)),""))</f>
        <v/>
      </c>
      <c r="F262" s="40" t="n"/>
      <c r="G262" s="40" t="n"/>
      <c r="H262" s="40" t="n"/>
      <c r="I262" s="40" t="n"/>
      <c r="J262" s="40" t="n"/>
      <c r="K262" s="40" t="n"/>
      <c r="L262" s="41" t="n"/>
      <c r="M262" s="40" t="n"/>
      <c r="N262" s="40" t="n"/>
    </row>
    <row r="263">
      <c r="A263" s="39">
        <f>IF(L263="","","PV-"&amp;TEXT(ROW()-4,"0000"))</f>
        <v/>
      </c>
      <c r="B263" s="47" t="n"/>
      <c r="C263" s="40" t="n"/>
      <c r="D263" s="50" t="n"/>
      <c r="E263" s="49">
        <f>IF(D263="","",IFERROR(INDEX('المشروعات'!$B$5:$B$304,MATCH(D263,'المشروعات'!$A$5:$A$304,0)),""))</f>
        <v/>
      </c>
      <c r="F263" s="40" t="n"/>
      <c r="G263" s="40" t="n"/>
      <c r="H263" s="40" t="n"/>
      <c r="I263" s="40" t="n"/>
      <c r="J263" s="40" t="n"/>
      <c r="K263" s="40" t="n"/>
      <c r="L263" s="41" t="n"/>
      <c r="M263" s="40" t="n"/>
      <c r="N263" s="40" t="n"/>
    </row>
    <row r="264">
      <c r="A264" s="39">
        <f>IF(L264="","","PV-"&amp;TEXT(ROW()-4,"0000"))</f>
        <v/>
      </c>
      <c r="B264" s="47" t="n"/>
      <c r="C264" s="40" t="n"/>
      <c r="D264" s="50" t="n"/>
      <c r="E264" s="49">
        <f>IF(D264="","",IFERROR(INDEX('المشروعات'!$B$5:$B$304,MATCH(D264,'المشروعات'!$A$5:$A$304,0)),""))</f>
        <v/>
      </c>
      <c r="F264" s="40" t="n"/>
      <c r="G264" s="40" t="n"/>
      <c r="H264" s="40" t="n"/>
      <c r="I264" s="40" t="n"/>
      <c r="J264" s="40" t="n"/>
      <c r="K264" s="40" t="n"/>
      <c r="L264" s="41" t="n"/>
      <c r="M264" s="40" t="n"/>
      <c r="N264" s="40" t="n"/>
    </row>
    <row r="265">
      <c r="A265" s="39">
        <f>IF(L265="","","PV-"&amp;TEXT(ROW()-4,"0000"))</f>
        <v/>
      </c>
      <c r="B265" s="47" t="n"/>
      <c r="C265" s="40" t="n"/>
      <c r="D265" s="50" t="n"/>
      <c r="E265" s="49">
        <f>IF(D265="","",IFERROR(INDEX('المشروعات'!$B$5:$B$304,MATCH(D265,'المشروعات'!$A$5:$A$304,0)),""))</f>
        <v/>
      </c>
      <c r="F265" s="40" t="n"/>
      <c r="G265" s="40" t="n"/>
      <c r="H265" s="40" t="n"/>
      <c r="I265" s="40" t="n"/>
      <c r="J265" s="40" t="n"/>
      <c r="K265" s="40" t="n"/>
      <c r="L265" s="41" t="n"/>
      <c r="M265" s="40" t="n"/>
      <c r="N265" s="40" t="n"/>
    </row>
    <row r="266">
      <c r="A266" s="39">
        <f>IF(L266="","","PV-"&amp;TEXT(ROW()-4,"0000"))</f>
        <v/>
      </c>
      <c r="B266" s="47" t="n"/>
      <c r="C266" s="40" t="n"/>
      <c r="D266" s="50" t="n"/>
      <c r="E266" s="49">
        <f>IF(D266="","",IFERROR(INDEX('المشروعات'!$B$5:$B$304,MATCH(D266,'المشروعات'!$A$5:$A$304,0)),""))</f>
        <v/>
      </c>
      <c r="F266" s="40" t="n"/>
      <c r="G266" s="40" t="n"/>
      <c r="H266" s="40" t="n"/>
      <c r="I266" s="40" t="n"/>
      <c r="J266" s="40" t="n"/>
      <c r="K266" s="40" t="n"/>
      <c r="L266" s="41" t="n"/>
      <c r="M266" s="40" t="n"/>
      <c r="N266" s="40" t="n"/>
    </row>
    <row r="267">
      <c r="A267" s="39">
        <f>IF(L267="","","PV-"&amp;TEXT(ROW()-4,"0000"))</f>
        <v/>
      </c>
      <c r="B267" s="47" t="n"/>
      <c r="C267" s="40" t="n"/>
      <c r="D267" s="50" t="n"/>
      <c r="E267" s="49">
        <f>IF(D267="","",IFERROR(INDEX('المشروعات'!$B$5:$B$304,MATCH(D267,'المشروعات'!$A$5:$A$304,0)),""))</f>
        <v/>
      </c>
      <c r="F267" s="40" t="n"/>
      <c r="G267" s="40" t="n"/>
      <c r="H267" s="40" t="n"/>
      <c r="I267" s="40" t="n"/>
      <c r="J267" s="40" t="n"/>
      <c r="K267" s="40" t="n"/>
      <c r="L267" s="41" t="n"/>
      <c r="M267" s="40" t="n"/>
      <c r="N267" s="40" t="n"/>
    </row>
    <row r="268">
      <c r="A268" s="39">
        <f>IF(L268="","","PV-"&amp;TEXT(ROW()-4,"0000"))</f>
        <v/>
      </c>
      <c r="B268" s="47" t="n"/>
      <c r="C268" s="40" t="n"/>
      <c r="D268" s="50" t="n"/>
      <c r="E268" s="49">
        <f>IF(D268="","",IFERROR(INDEX('المشروعات'!$B$5:$B$304,MATCH(D268,'المشروعات'!$A$5:$A$304,0)),""))</f>
        <v/>
      </c>
      <c r="F268" s="40" t="n"/>
      <c r="G268" s="40" t="n"/>
      <c r="H268" s="40" t="n"/>
      <c r="I268" s="40" t="n"/>
      <c r="J268" s="40" t="n"/>
      <c r="K268" s="40" t="n"/>
      <c r="L268" s="41" t="n"/>
      <c r="M268" s="40" t="n"/>
      <c r="N268" s="40" t="n"/>
    </row>
    <row r="269">
      <c r="A269" s="39">
        <f>IF(L269="","","PV-"&amp;TEXT(ROW()-4,"0000"))</f>
        <v/>
      </c>
      <c r="B269" s="47" t="n"/>
      <c r="C269" s="40" t="n"/>
      <c r="D269" s="50" t="n"/>
      <c r="E269" s="49">
        <f>IF(D269="","",IFERROR(INDEX('المشروعات'!$B$5:$B$304,MATCH(D269,'المشروعات'!$A$5:$A$304,0)),""))</f>
        <v/>
      </c>
      <c r="F269" s="40" t="n"/>
      <c r="G269" s="40" t="n"/>
      <c r="H269" s="40" t="n"/>
      <c r="I269" s="40" t="n"/>
      <c r="J269" s="40" t="n"/>
      <c r="K269" s="40" t="n"/>
      <c r="L269" s="41" t="n"/>
      <c r="M269" s="40" t="n"/>
      <c r="N269" s="40" t="n"/>
    </row>
    <row r="270">
      <c r="A270" s="39">
        <f>IF(L270="","","PV-"&amp;TEXT(ROW()-4,"0000"))</f>
        <v/>
      </c>
      <c r="B270" s="47" t="n"/>
      <c r="C270" s="40" t="n"/>
      <c r="D270" s="50" t="n"/>
      <c r="E270" s="49">
        <f>IF(D270="","",IFERROR(INDEX('المشروعات'!$B$5:$B$304,MATCH(D270,'المشروعات'!$A$5:$A$304,0)),""))</f>
        <v/>
      </c>
      <c r="F270" s="40" t="n"/>
      <c r="G270" s="40" t="n"/>
      <c r="H270" s="40" t="n"/>
      <c r="I270" s="40" t="n"/>
      <c r="J270" s="40" t="n"/>
      <c r="K270" s="40" t="n"/>
      <c r="L270" s="41" t="n"/>
      <c r="M270" s="40" t="n"/>
      <c r="N270" s="40" t="n"/>
    </row>
    <row r="271">
      <c r="A271" s="39">
        <f>IF(L271="","","PV-"&amp;TEXT(ROW()-4,"0000"))</f>
        <v/>
      </c>
      <c r="B271" s="47" t="n"/>
      <c r="C271" s="40" t="n"/>
      <c r="D271" s="50" t="n"/>
      <c r="E271" s="49">
        <f>IF(D271="","",IFERROR(INDEX('المشروعات'!$B$5:$B$304,MATCH(D271,'المشروعات'!$A$5:$A$304,0)),""))</f>
        <v/>
      </c>
      <c r="F271" s="40" t="n"/>
      <c r="G271" s="40" t="n"/>
      <c r="H271" s="40" t="n"/>
      <c r="I271" s="40" t="n"/>
      <c r="J271" s="40" t="n"/>
      <c r="K271" s="40" t="n"/>
      <c r="L271" s="41" t="n"/>
      <c r="M271" s="40" t="n"/>
      <c r="N271" s="40" t="n"/>
    </row>
    <row r="272">
      <c r="A272" s="39">
        <f>IF(L272="","","PV-"&amp;TEXT(ROW()-4,"0000"))</f>
        <v/>
      </c>
      <c r="B272" s="47" t="n"/>
      <c r="C272" s="40" t="n"/>
      <c r="D272" s="50" t="n"/>
      <c r="E272" s="49">
        <f>IF(D272="","",IFERROR(INDEX('المشروعات'!$B$5:$B$304,MATCH(D272,'المشروعات'!$A$5:$A$304,0)),""))</f>
        <v/>
      </c>
      <c r="F272" s="40" t="n"/>
      <c r="G272" s="40" t="n"/>
      <c r="H272" s="40" t="n"/>
      <c r="I272" s="40" t="n"/>
      <c r="J272" s="40" t="n"/>
      <c r="K272" s="40" t="n"/>
      <c r="L272" s="41" t="n"/>
      <c r="M272" s="40" t="n"/>
      <c r="N272" s="40" t="n"/>
    </row>
    <row r="273">
      <c r="A273" s="39">
        <f>IF(L273="","","PV-"&amp;TEXT(ROW()-4,"0000"))</f>
        <v/>
      </c>
      <c r="B273" s="47" t="n"/>
      <c r="C273" s="40" t="n"/>
      <c r="D273" s="50" t="n"/>
      <c r="E273" s="49">
        <f>IF(D273="","",IFERROR(INDEX('المشروعات'!$B$5:$B$304,MATCH(D273,'المشروعات'!$A$5:$A$304,0)),""))</f>
        <v/>
      </c>
      <c r="F273" s="40" t="n"/>
      <c r="G273" s="40" t="n"/>
      <c r="H273" s="40" t="n"/>
      <c r="I273" s="40" t="n"/>
      <c r="J273" s="40" t="n"/>
      <c r="K273" s="40" t="n"/>
      <c r="L273" s="41" t="n"/>
      <c r="M273" s="40" t="n"/>
      <c r="N273" s="40" t="n"/>
    </row>
    <row r="274">
      <c r="A274" s="39">
        <f>IF(L274="","","PV-"&amp;TEXT(ROW()-4,"0000"))</f>
        <v/>
      </c>
      <c r="B274" s="47" t="n"/>
      <c r="C274" s="40" t="n"/>
      <c r="D274" s="50" t="n"/>
      <c r="E274" s="49">
        <f>IF(D274="","",IFERROR(INDEX('المشروعات'!$B$5:$B$304,MATCH(D274,'المشروعات'!$A$5:$A$304,0)),""))</f>
        <v/>
      </c>
      <c r="F274" s="40" t="n"/>
      <c r="G274" s="40" t="n"/>
      <c r="H274" s="40" t="n"/>
      <c r="I274" s="40" t="n"/>
      <c r="J274" s="40" t="n"/>
      <c r="K274" s="40" t="n"/>
      <c r="L274" s="41" t="n"/>
      <c r="M274" s="40" t="n"/>
      <c r="N274" s="40" t="n"/>
    </row>
    <row r="275">
      <c r="A275" s="39">
        <f>IF(L275="","","PV-"&amp;TEXT(ROW()-4,"0000"))</f>
        <v/>
      </c>
      <c r="B275" s="47" t="n"/>
      <c r="C275" s="40" t="n"/>
      <c r="D275" s="50" t="n"/>
      <c r="E275" s="49">
        <f>IF(D275="","",IFERROR(INDEX('المشروعات'!$B$5:$B$304,MATCH(D275,'المشروعات'!$A$5:$A$304,0)),""))</f>
        <v/>
      </c>
      <c r="F275" s="40" t="n"/>
      <c r="G275" s="40" t="n"/>
      <c r="H275" s="40" t="n"/>
      <c r="I275" s="40" t="n"/>
      <c r="J275" s="40" t="n"/>
      <c r="K275" s="40" t="n"/>
      <c r="L275" s="41" t="n"/>
      <c r="M275" s="40" t="n"/>
      <c r="N275" s="40" t="n"/>
    </row>
    <row r="276">
      <c r="A276" s="39">
        <f>IF(L276="","","PV-"&amp;TEXT(ROW()-4,"0000"))</f>
        <v/>
      </c>
      <c r="B276" s="47" t="n"/>
      <c r="C276" s="40" t="n"/>
      <c r="D276" s="50" t="n"/>
      <c r="E276" s="49">
        <f>IF(D276="","",IFERROR(INDEX('المشروعات'!$B$5:$B$304,MATCH(D276,'المشروعات'!$A$5:$A$304,0)),""))</f>
        <v/>
      </c>
      <c r="F276" s="40" t="n"/>
      <c r="G276" s="40" t="n"/>
      <c r="H276" s="40" t="n"/>
      <c r="I276" s="40" t="n"/>
      <c r="J276" s="40" t="n"/>
      <c r="K276" s="40" t="n"/>
      <c r="L276" s="41" t="n"/>
      <c r="M276" s="40" t="n"/>
      <c r="N276" s="40" t="n"/>
    </row>
    <row r="277">
      <c r="A277" s="39">
        <f>IF(L277="","","PV-"&amp;TEXT(ROW()-4,"0000"))</f>
        <v/>
      </c>
      <c r="B277" s="47" t="n"/>
      <c r="C277" s="40" t="n"/>
      <c r="D277" s="50" t="n"/>
      <c r="E277" s="49">
        <f>IF(D277="","",IFERROR(INDEX('المشروعات'!$B$5:$B$304,MATCH(D277,'المشروعات'!$A$5:$A$304,0)),""))</f>
        <v/>
      </c>
      <c r="F277" s="40" t="n"/>
      <c r="G277" s="40" t="n"/>
      <c r="H277" s="40" t="n"/>
      <c r="I277" s="40" t="n"/>
      <c r="J277" s="40" t="n"/>
      <c r="K277" s="40" t="n"/>
      <c r="L277" s="41" t="n"/>
      <c r="M277" s="40" t="n"/>
      <c r="N277" s="40" t="n"/>
    </row>
    <row r="278">
      <c r="A278" s="39">
        <f>IF(L278="","","PV-"&amp;TEXT(ROW()-4,"0000"))</f>
        <v/>
      </c>
      <c r="B278" s="47" t="n"/>
      <c r="C278" s="40" t="n"/>
      <c r="D278" s="50" t="n"/>
      <c r="E278" s="49">
        <f>IF(D278="","",IFERROR(INDEX('المشروعات'!$B$5:$B$304,MATCH(D278,'المشروعات'!$A$5:$A$304,0)),""))</f>
        <v/>
      </c>
      <c r="F278" s="40" t="n"/>
      <c r="G278" s="40" t="n"/>
      <c r="H278" s="40" t="n"/>
      <c r="I278" s="40" t="n"/>
      <c r="J278" s="40" t="n"/>
      <c r="K278" s="40" t="n"/>
      <c r="L278" s="41" t="n"/>
      <c r="M278" s="40" t="n"/>
      <c r="N278" s="40" t="n"/>
    </row>
    <row r="279">
      <c r="A279" s="39">
        <f>IF(L279="","","PV-"&amp;TEXT(ROW()-4,"0000"))</f>
        <v/>
      </c>
      <c r="B279" s="47" t="n"/>
      <c r="C279" s="40" t="n"/>
      <c r="D279" s="50" t="n"/>
      <c r="E279" s="49">
        <f>IF(D279="","",IFERROR(INDEX('المشروعات'!$B$5:$B$304,MATCH(D279,'المشروعات'!$A$5:$A$304,0)),""))</f>
        <v/>
      </c>
      <c r="F279" s="40" t="n"/>
      <c r="G279" s="40" t="n"/>
      <c r="H279" s="40" t="n"/>
      <c r="I279" s="40" t="n"/>
      <c r="J279" s="40" t="n"/>
      <c r="K279" s="40" t="n"/>
      <c r="L279" s="41" t="n"/>
      <c r="M279" s="40" t="n"/>
      <c r="N279" s="40" t="n"/>
    </row>
    <row r="280">
      <c r="A280" s="39">
        <f>IF(L280="","","PV-"&amp;TEXT(ROW()-4,"0000"))</f>
        <v/>
      </c>
      <c r="B280" s="47" t="n"/>
      <c r="C280" s="40" t="n"/>
      <c r="D280" s="50" t="n"/>
      <c r="E280" s="49">
        <f>IF(D280="","",IFERROR(INDEX('المشروعات'!$B$5:$B$304,MATCH(D280,'المشروعات'!$A$5:$A$304,0)),""))</f>
        <v/>
      </c>
      <c r="F280" s="40" t="n"/>
      <c r="G280" s="40" t="n"/>
      <c r="H280" s="40" t="n"/>
      <c r="I280" s="40" t="n"/>
      <c r="J280" s="40" t="n"/>
      <c r="K280" s="40" t="n"/>
      <c r="L280" s="41" t="n"/>
      <c r="M280" s="40" t="n"/>
      <c r="N280" s="40" t="n"/>
    </row>
    <row r="281">
      <c r="A281" s="39">
        <f>IF(L281="","","PV-"&amp;TEXT(ROW()-4,"0000"))</f>
        <v/>
      </c>
      <c r="B281" s="47" t="n"/>
      <c r="C281" s="40" t="n"/>
      <c r="D281" s="50" t="n"/>
      <c r="E281" s="49">
        <f>IF(D281="","",IFERROR(INDEX('المشروعات'!$B$5:$B$304,MATCH(D281,'المشروعات'!$A$5:$A$304,0)),""))</f>
        <v/>
      </c>
      <c r="F281" s="40" t="n"/>
      <c r="G281" s="40" t="n"/>
      <c r="H281" s="40" t="n"/>
      <c r="I281" s="40" t="n"/>
      <c r="J281" s="40" t="n"/>
      <c r="K281" s="40" t="n"/>
      <c r="L281" s="41" t="n"/>
      <c r="M281" s="40" t="n"/>
      <c r="N281" s="40" t="n"/>
    </row>
    <row r="282">
      <c r="A282" s="39">
        <f>IF(L282="","","PV-"&amp;TEXT(ROW()-4,"0000"))</f>
        <v/>
      </c>
      <c r="B282" s="47" t="n"/>
      <c r="C282" s="40" t="n"/>
      <c r="D282" s="50" t="n"/>
      <c r="E282" s="49">
        <f>IF(D282="","",IFERROR(INDEX('المشروعات'!$B$5:$B$304,MATCH(D282,'المشروعات'!$A$5:$A$304,0)),""))</f>
        <v/>
      </c>
      <c r="F282" s="40" t="n"/>
      <c r="G282" s="40" t="n"/>
      <c r="H282" s="40" t="n"/>
      <c r="I282" s="40" t="n"/>
      <c r="J282" s="40" t="n"/>
      <c r="K282" s="40" t="n"/>
      <c r="L282" s="41" t="n"/>
      <c r="M282" s="40" t="n"/>
      <c r="N282" s="40" t="n"/>
    </row>
    <row r="283">
      <c r="A283" s="39">
        <f>IF(L283="","","PV-"&amp;TEXT(ROW()-4,"0000"))</f>
        <v/>
      </c>
      <c r="B283" s="47" t="n"/>
      <c r="C283" s="40" t="n"/>
      <c r="D283" s="50" t="n"/>
      <c r="E283" s="49">
        <f>IF(D283="","",IFERROR(INDEX('المشروعات'!$B$5:$B$304,MATCH(D283,'المشروعات'!$A$5:$A$304,0)),""))</f>
        <v/>
      </c>
      <c r="F283" s="40" t="n"/>
      <c r="G283" s="40" t="n"/>
      <c r="H283" s="40" t="n"/>
      <c r="I283" s="40" t="n"/>
      <c r="J283" s="40" t="n"/>
      <c r="K283" s="40" t="n"/>
      <c r="L283" s="41" t="n"/>
      <c r="M283" s="40" t="n"/>
      <c r="N283" s="40" t="n"/>
    </row>
    <row r="284">
      <c r="A284" s="39">
        <f>IF(L284="","","PV-"&amp;TEXT(ROW()-4,"0000"))</f>
        <v/>
      </c>
      <c r="B284" s="47" t="n"/>
      <c r="C284" s="40" t="n"/>
      <c r="D284" s="50" t="n"/>
      <c r="E284" s="49">
        <f>IF(D284="","",IFERROR(INDEX('المشروعات'!$B$5:$B$304,MATCH(D284,'المشروعات'!$A$5:$A$304,0)),""))</f>
        <v/>
      </c>
      <c r="F284" s="40" t="n"/>
      <c r="G284" s="40" t="n"/>
      <c r="H284" s="40" t="n"/>
      <c r="I284" s="40" t="n"/>
      <c r="J284" s="40" t="n"/>
      <c r="K284" s="40" t="n"/>
      <c r="L284" s="41" t="n"/>
      <c r="M284" s="40" t="n"/>
      <c r="N284" s="40" t="n"/>
    </row>
    <row r="285">
      <c r="A285" s="39">
        <f>IF(L285="","","PV-"&amp;TEXT(ROW()-4,"0000"))</f>
        <v/>
      </c>
      <c r="B285" s="47" t="n"/>
      <c r="C285" s="40" t="n"/>
      <c r="D285" s="50" t="n"/>
      <c r="E285" s="49">
        <f>IF(D285="","",IFERROR(INDEX('المشروعات'!$B$5:$B$304,MATCH(D285,'المشروعات'!$A$5:$A$304,0)),""))</f>
        <v/>
      </c>
      <c r="F285" s="40" t="n"/>
      <c r="G285" s="40" t="n"/>
      <c r="H285" s="40" t="n"/>
      <c r="I285" s="40" t="n"/>
      <c r="J285" s="40" t="n"/>
      <c r="K285" s="40" t="n"/>
      <c r="L285" s="41" t="n"/>
      <c r="M285" s="40" t="n"/>
      <c r="N285" s="40" t="n"/>
    </row>
    <row r="286">
      <c r="A286" s="39">
        <f>IF(L286="","","PV-"&amp;TEXT(ROW()-4,"0000"))</f>
        <v/>
      </c>
      <c r="B286" s="47" t="n"/>
      <c r="C286" s="40" t="n"/>
      <c r="D286" s="50" t="n"/>
      <c r="E286" s="49">
        <f>IF(D286="","",IFERROR(INDEX('المشروعات'!$B$5:$B$304,MATCH(D286,'المشروعات'!$A$5:$A$304,0)),""))</f>
        <v/>
      </c>
      <c r="F286" s="40" t="n"/>
      <c r="G286" s="40" t="n"/>
      <c r="H286" s="40" t="n"/>
      <c r="I286" s="40" t="n"/>
      <c r="J286" s="40" t="n"/>
      <c r="K286" s="40" t="n"/>
      <c r="L286" s="41" t="n"/>
      <c r="M286" s="40" t="n"/>
      <c r="N286" s="40" t="n"/>
    </row>
    <row r="287">
      <c r="A287" s="39">
        <f>IF(L287="","","PV-"&amp;TEXT(ROW()-4,"0000"))</f>
        <v/>
      </c>
      <c r="B287" s="47" t="n"/>
      <c r="C287" s="40" t="n"/>
      <c r="D287" s="50" t="n"/>
      <c r="E287" s="49">
        <f>IF(D287="","",IFERROR(INDEX('المشروعات'!$B$5:$B$304,MATCH(D287,'المشروعات'!$A$5:$A$304,0)),""))</f>
        <v/>
      </c>
      <c r="F287" s="40" t="n"/>
      <c r="G287" s="40" t="n"/>
      <c r="H287" s="40" t="n"/>
      <c r="I287" s="40" t="n"/>
      <c r="J287" s="40" t="n"/>
      <c r="K287" s="40" t="n"/>
      <c r="L287" s="41" t="n"/>
      <c r="M287" s="40" t="n"/>
      <c r="N287" s="40" t="n"/>
    </row>
    <row r="288">
      <c r="A288" s="39">
        <f>IF(L288="","","PV-"&amp;TEXT(ROW()-4,"0000"))</f>
        <v/>
      </c>
      <c r="B288" s="47" t="n"/>
      <c r="C288" s="40" t="n"/>
      <c r="D288" s="50" t="n"/>
      <c r="E288" s="49">
        <f>IF(D288="","",IFERROR(INDEX('المشروعات'!$B$5:$B$304,MATCH(D288,'المشروعات'!$A$5:$A$304,0)),""))</f>
        <v/>
      </c>
      <c r="F288" s="40" t="n"/>
      <c r="G288" s="40" t="n"/>
      <c r="H288" s="40" t="n"/>
      <c r="I288" s="40" t="n"/>
      <c r="J288" s="40" t="n"/>
      <c r="K288" s="40" t="n"/>
      <c r="L288" s="41" t="n"/>
      <c r="M288" s="40" t="n"/>
      <c r="N288" s="40" t="n"/>
    </row>
    <row r="289">
      <c r="A289" s="39">
        <f>IF(L289="","","PV-"&amp;TEXT(ROW()-4,"0000"))</f>
        <v/>
      </c>
      <c r="B289" s="47" t="n"/>
      <c r="C289" s="40" t="n"/>
      <c r="D289" s="50" t="n"/>
      <c r="E289" s="49">
        <f>IF(D289="","",IFERROR(INDEX('المشروعات'!$B$5:$B$304,MATCH(D289,'المشروعات'!$A$5:$A$304,0)),""))</f>
        <v/>
      </c>
      <c r="F289" s="40" t="n"/>
      <c r="G289" s="40" t="n"/>
      <c r="H289" s="40" t="n"/>
      <c r="I289" s="40" t="n"/>
      <c r="J289" s="40" t="n"/>
      <c r="K289" s="40" t="n"/>
      <c r="L289" s="41" t="n"/>
      <c r="M289" s="40" t="n"/>
      <c r="N289" s="40" t="n"/>
    </row>
    <row r="290">
      <c r="A290" s="39">
        <f>IF(L290="","","PV-"&amp;TEXT(ROW()-4,"0000"))</f>
        <v/>
      </c>
      <c r="B290" s="47" t="n"/>
      <c r="C290" s="40" t="n"/>
      <c r="D290" s="50" t="n"/>
      <c r="E290" s="49">
        <f>IF(D290="","",IFERROR(INDEX('المشروعات'!$B$5:$B$304,MATCH(D290,'المشروعات'!$A$5:$A$304,0)),""))</f>
        <v/>
      </c>
      <c r="F290" s="40" t="n"/>
      <c r="G290" s="40" t="n"/>
      <c r="H290" s="40" t="n"/>
      <c r="I290" s="40" t="n"/>
      <c r="J290" s="40" t="n"/>
      <c r="K290" s="40" t="n"/>
      <c r="L290" s="41" t="n"/>
      <c r="M290" s="40" t="n"/>
      <c r="N290" s="40" t="n"/>
    </row>
    <row r="291">
      <c r="A291" s="39">
        <f>IF(L291="","","PV-"&amp;TEXT(ROW()-4,"0000"))</f>
        <v/>
      </c>
      <c r="B291" s="47" t="n"/>
      <c r="C291" s="40" t="n"/>
      <c r="D291" s="50" t="n"/>
      <c r="E291" s="49">
        <f>IF(D291="","",IFERROR(INDEX('المشروعات'!$B$5:$B$304,MATCH(D291,'المشروعات'!$A$5:$A$304,0)),""))</f>
        <v/>
      </c>
      <c r="F291" s="40" t="n"/>
      <c r="G291" s="40" t="n"/>
      <c r="H291" s="40" t="n"/>
      <c r="I291" s="40" t="n"/>
      <c r="J291" s="40" t="n"/>
      <c r="K291" s="40" t="n"/>
      <c r="L291" s="41" t="n"/>
      <c r="M291" s="40" t="n"/>
      <c r="N291" s="40" t="n"/>
    </row>
    <row r="292">
      <c r="A292" s="39">
        <f>IF(L292="","","PV-"&amp;TEXT(ROW()-4,"0000"))</f>
        <v/>
      </c>
      <c r="B292" s="47" t="n"/>
      <c r="C292" s="40" t="n"/>
      <c r="D292" s="50" t="n"/>
      <c r="E292" s="49">
        <f>IF(D292="","",IFERROR(INDEX('المشروعات'!$B$5:$B$304,MATCH(D292,'المشروعات'!$A$5:$A$304,0)),""))</f>
        <v/>
      </c>
      <c r="F292" s="40" t="n"/>
      <c r="G292" s="40" t="n"/>
      <c r="H292" s="40" t="n"/>
      <c r="I292" s="40" t="n"/>
      <c r="J292" s="40" t="n"/>
      <c r="K292" s="40" t="n"/>
      <c r="L292" s="41" t="n"/>
      <c r="M292" s="40" t="n"/>
      <c r="N292" s="40" t="n"/>
    </row>
    <row r="293">
      <c r="A293" s="39">
        <f>IF(L293="","","PV-"&amp;TEXT(ROW()-4,"0000"))</f>
        <v/>
      </c>
      <c r="B293" s="47" t="n"/>
      <c r="C293" s="40" t="n"/>
      <c r="D293" s="50" t="n"/>
      <c r="E293" s="49">
        <f>IF(D293="","",IFERROR(INDEX('المشروعات'!$B$5:$B$304,MATCH(D293,'المشروعات'!$A$5:$A$304,0)),""))</f>
        <v/>
      </c>
      <c r="F293" s="40" t="n"/>
      <c r="G293" s="40" t="n"/>
      <c r="H293" s="40" t="n"/>
      <c r="I293" s="40" t="n"/>
      <c r="J293" s="40" t="n"/>
      <c r="K293" s="40" t="n"/>
      <c r="L293" s="41" t="n"/>
      <c r="M293" s="40" t="n"/>
      <c r="N293" s="40" t="n"/>
    </row>
    <row r="294">
      <c r="A294" s="39">
        <f>IF(L294="","","PV-"&amp;TEXT(ROW()-4,"0000"))</f>
        <v/>
      </c>
      <c r="B294" s="47" t="n"/>
      <c r="C294" s="40" t="n"/>
      <c r="D294" s="50" t="n"/>
      <c r="E294" s="49">
        <f>IF(D294="","",IFERROR(INDEX('المشروعات'!$B$5:$B$304,MATCH(D294,'المشروعات'!$A$5:$A$304,0)),""))</f>
        <v/>
      </c>
      <c r="F294" s="40" t="n"/>
      <c r="G294" s="40" t="n"/>
      <c r="H294" s="40" t="n"/>
      <c r="I294" s="40" t="n"/>
      <c r="J294" s="40" t="n"/>
      <c r="K294" s="40" t="n"/>
      <c r="L294" s="41" t="n"/>
      <c r="M294" s="40" t="n"/>
      <c r="N294" s="40" t="n"/>
    </row>
    <row r="295">
      <c r="A295" s="39">
        <f>IF(L295="","","PV-"&amp;TEXT(ROW()-4,"0000"))</f>
        <v/>
      </c>
      <c r="B295" s="47" t="n"/>
      <c r="C295" s="40" t="n"/>
      <c r="D295" s="50" t="n"/>
      <c r="E295" s="49">
        <f>IF(D295="","",IFERROR(INDEX('المشروعات'!$B$5:$B$304,MATCH(D295,'المشروعات'!$A$5:$A$304,0)),""))</f>
        <v/>
      </c>
      <c r="F295" s="40" t="n"/>
      <c r="G295" s="40" t="n"/>
      <c r="H295" s="40" t="n"/>
      <c r="I295" s="40" t="n"/>
      <c r="J295" s="40" t="n"/>
      <c r="K295" s="40" t="n"/>
      <c r="L295" s="41" t="n"/>
      <c r="M295" s="40" t="n"/>
      <c r="N295" s="40" t="n"/>
    </row>
    <row r="296">
      <c r="A296" s="39">
        <f>IF(L296="","","PV-"&amp;TEXT(ROW()-4,"0000"))</f>
        <v/>
      </c>
      <c r="B296" s="47" t="n"/>
      <c r="C296" s="40" t="n"/>
      <c r="D296" s="50" t="n"/>
      <c r="E296" s="49">
        <f>IF(D296="","",IFERROR(INDEX('المشروعات'!$B$5:$B$304,MATCH(D296,'المشروعات'!$A$5:$A$304,0)),""))</f>
        <v/>
      </c>
      <c r="F296" s="40" t="n"/>
      <c r="G296" s="40" t="n"/>
      <c r="H296" s="40" t="n"/>
      <c r="I296" s="40" t="n"/>
      <c r="J296" s="40" t="n"/>
      <c r="K296" s="40" t="n"/>
      <c r="L296" s="41" t="n"/>
      <c r="M296" s="40" t="n"/>
      <c r="N296" s="40" t="n"/>
    </row>
    <row r="297">
      <c r="A297" s="39">
        <f>IF(L297="","","PV-"&amp;TEXT(ROW()-4,"0000"))</f>
        <v/>
      </c>
      <c r="B297" s="47" t="n"/>
      <c r="C297" s="40" t="n"/>
      <c r="D297" s="50" t="n"/>
      <c r="E297" s="49">
        <f>IF(D297="","",IFERROR(INDEX('المشروعات'!$B$5:$B$304,MATCH(D297,'المشروعات'!$A$5:$A$304,0)),""))</f>
        <v/>
      </c>
      <c r="F297" s="40" t="n"/>
      <c r="G297" s="40" t="n"/>
      <c r="H297" s="40" t="n"/>
      <c r="I297" s="40" t="n"/>
      <c r="J297" s="40" t="n"/>
      <c r="K297" s="40" t="n"/>
      <c r="L297" s="41" t="n"/>
      <c r="M297" s="40" t="n"/>
      <c r="N297" s="40" t="n"/>
    </row>
    <row r="298">
      <c r="A298" s="39">
        <f>IF(L298="","","PV-"&amp;TEXT(ROW()-4,"0000"))</f>
        <v/>
      </c>
      <c r="B298" s="47" t="n"/>
      <c r="C298" s="40" t="n"/>
      <c r="D298" s="50" t="n"/>
      <c r="E298" s="49">
        <f>IF(D298="","",IFERROR(INDEX('المشروعات'!$B$5:$B$304,MATCH(D298,'المشروعات'!$A$5:$A$304,0)),""))</f>
        <v/>
      </c>
      <c r="F298" s="40" t="n"/>
      <c r="G298" s="40" t="n"/>
      <c r="H298" s="40" t="n"/>
      <c r="I298" s="40" t="n"/>
      <c r="J298" s="40" t="n"/>
      <c r="K298" s="40" t="n"/>
      <c r="L298" s="41" t="n"/>
      <c r="M298" s="40" t="n"/>
      <c r="N298" s="40" t="n"/>
    </row>
    <row r="299">
      <c r="A299" s="39">
        <f>IF(L299="","","PV-"&amp;TEXT(ROW()-4,"0000"))</f>
        <v/>
      </c>
      <c r="B299" s="47" t="n"/>
      <c r="C299" s="40" t="n"/>
      <c r="D299" s="50" t="n"/>
      <c r="E299" s="49">
        <f>IF(D299="","",IFERROR(INDEX('المشروعات'!$B$5:$B$304,MATCH(D299,'المشروعات'!$A$5:$A$304,0)),""))</f>
        <v/>
      </c>
      <c r="F299" s="40" t="n"/>
      <c r="G299" s="40" t="n"/>
      <c r="H299" s="40" t="n"/>
      <c r="I299" s="40" t="n"/>
      <c r="J299" s="40" t="n"/>
      <c r="K299" s="40" t="n"/>
      <c r="L299" s="41" t="n"/>
      <c r="M299" s="40" t="n"/>
      <c r="N299" s="40" t="n"/>
    </row>
    <row r="300">
      <c r="A300" s="39">
        <f>IF(L300="","","PV-"&amp;TEXT(ROW()-4,"0000"))</f>
        <v/>
      </c>
      <c r="B300" s="47" t="n"/>
      <c r="C300" s="40" t="n"/>
      <c r="D300" s="50" t="n"/>
      <c r="E300" s="49">
        <f>IF(D300="","",IFERROR(INDEX('المشروعات'!$B$5:$B$304,MATCH(D300,'المشروعات'!$A$5:$A$304,0)),""))</f>
        <v/>
      </c>
      <c r="F300" s="40" t="n"/>
      <c r="G300" s="40" t="n"/>
      <c r="H300" s="40" t="n"/>
      <c r="I300" s="40" t="n"/>
      <c r="J300" s="40" t="n"/>
      <c r="K300" s="40" t="n"/>
      <c r="L300" s="41" t="n"/>
      <c r="M300" s="40" t="n"/>
      <c r="N300" s="40" t="n"/>
    </row>
    <row r="301">
      <c r="A301" s="39">
        <f>IF(L301="","","PV-"&amp;TEXT(ROW()-4,"0000"))</f>
        <v/>
      </c>
      <c r="B301" s="47" t="n"/>
      <c r="C301" s="40" t="n"/>
      <c r="D301" s="50" t="n"/>
      <c r="E301" s="49">
        <f>IF(D301="","",IFERROR(INDEX('المشروعات'!$B$5:$B$304,MATCH(D301,'المشروعات'!$A$5:$A$304,0)),""))</f>
        <v/>
      </c>
      <c r="F301" s="40" t="n"/>
      <c r="G301" s="40" t="n"/>
      <c r="H301" s="40" t="n"/>
      <c r="I301" s="40" t="n"/>
      <c r="J301" s="40" t="n"/>
      <c r="K301" s="40" t="n"/>
      <c r="L301" s="41" t="n"/>
      <c r="M301" s="40" t="n"/>
      <c r="N301" s="40" t="n"/>
    </row>
    <row r="302">
      <c r="A302" s="39">
        <f>IF(L302="","","PV-"&amp;TEXT(ROW()-4,"0000"))</f>
        <v/>
      </c>
      <c r="B302" s="47" t="n"/>
      <c r="C302" s="40" t="n"/>
      <c r="D302" s="50" t="n"/>
      <c r="E302" s="49">
        <f>IF(D302="","",IFERROR(INDEX('المشروعات'!$B$5:$B$304,MATCH(D302,'المشروعات'!$A$5:$A$304,0)),""))</f>
        <v/>
      </c>
      <c r="F302" s="40" t="n"/>
      <c r="G302" s="40" t="n"/>
      <c r="H302" s="40" t="n"/>
      <c r="I302" s="40" t="n"/>
      <c r="J302" s="40" t="n"/>
      <c r="K302" s="40" t="n"/>
      <c r="L302" s="41" t="n"/>
      <c r="M302" s="40" t="n"/>
      <c r="N302" s="40" t="n"/>
    </row>
    <row r="303">
      <c r="A303" s="39">
        <f>IF(L303="","","PV-"&amp;TEXT(ROW()-4,"0000"))</f>
        <v/>
      </c>
      <c r="B303" s="47" t="n"/>
      <c r="C303" s="40" t="n"/>
      <c r="D303" s="50" t="n"/>
      <c r="E303" s="49">
        <f>IF(D303="","",IFERROR(INDEX('المشروعات'!$B$5:$B$304,MATCH(D303,'المشروعات'!$A$5:$A$304,0)),""))</f>
        <v/>
      </c>
      <c r="F303" s="40" t="n"/>
      <c r="G303" s="40" t="n"/>
      <c r="H303" s="40" t="n"/>
      <c r="I303" s="40" t="n"/>
      <c r="J303" s="40" t="n"/>
      <c r="K303" s="40" t="n"/>
      <c r="L303" s="41" t="n"/>
      <c r="M303" s="40" t="n"/>
      <c r="N303" s="40" t="n"/>
    </row>
    <row r="304">
      <c r="A304" s="39">
        <f>IF(L304="","","PV-"&amp;TEXT(ROW()-4,"0000"))</f>
        <v/>
      </c>
      <c r="B304" s="47" t="n"/>
      <c r="C304" s="40" t="n"/>
      <c r="D304" s="50" t="n"/>
      <c r="E304" s="49">
        <f>IF(D304="","",IFERROR(INDEX('المشروعات'!$B$5:$B$304,MATCH(D304,'المشروعات'!$A$5:$A$304,0)),""))</f>
        <v/>
      </c>
      <c r="F304" s="40" t="n"/>
      <c r="G304" s="40" t="n"/>
      <c r="H304" s="40" t="n"/>
      <c r="I304" s="40" t="n"/>
      <c r="J304" s="40" t="n"/>
      <c r="K304" s="40" t="n"/>
      <c r="L304" s="41" t="n"/>
      <c r="M304" s="40" t="n"/>
      <c r="N304" s="40" t="n"/>
    </row>
  </sheetData>
  <autoFilter ref="A4:N304"/>
  <mergeCells count="2">
    <mergeCell ref="A2:N2"/>
    <mergeCell ref="A1:N1"/>
  </mergeCells>
  <dataValidations count="5">
    <dataValidation sqref="B5:B304" showDropDown="0" showInputMessage="0" showErrorMessage="1" allowBlank="1" errorTitle="تاريخ" error="أدخل تاريخاً صحيحاً" type="date" operator="between">
      <formula1>DATE(2000,1,1)</formula1>
      <formula2>DATE(2100,12,31)</formula2>
    </dataValidation>
    <dataValidation sqref="D5:D304" showDropDown="0" showInputMessage="0" showErrorMessage="1" allowBlank="1" errorTitle="قيمة غير صحيحة" error="اختر من القائمة المنسدلة فقط" type="list">
      <formula1>=L_Proj</formula1>
    </dataValidation>
    <dataValidation sqref="F5:F304" showDropDown="0" showInputMessage="0" showErrorMessage="1" allowBlank="1" errorTitle="قيمة غير صحيحة" error="اختر من القائمة المنسدلة فقط" type="list">
      <formula1>=L_CostCat</formula1>
    </dataValidation>
    <dataValidation sqref="G5:G304" showDropDown="0" showInputMessage="0" showErrorMessage="1" allowBlank="1" errorTitle="قيمة غير صحيحة" error="اختر من القائمة المنسدلة فقط" type="list">
      <formula1>=L_PO</formula1>
    </dataValidation>
    <dataValidation sqref="I5:I304" showDropDown="0" showInputMessage="0" showErrorMessage="1" allowBlank="1" errorTitle="قيمة غير صحيحة" error="اختر من القائمة المنسدلة فقط" type="list">
      <formula1>=L_Method</formula1>
    </dataValidation>
  </dataValidations>
  <hyperlinks>
    <hyperlink xmlns:r="http://schemas.openxmlformats.org/officeDocument/2006/relationships" ref="A3" r:id="rId1"/>
  </hyperlinks>
  <printOptions horizontalCentered="1"/>
  <pageMargins left="0.75" right="0.75" top="1" bottom="1" header="0.5" footer="0.5"/>
  <pageSetup orientation="landscape" paperSize="9" fitToHeight="0" fitToWidth="1"/>
</worksheet>
</file>

<file path=xl/worksheets/sheet15.xml><?xml version="1.0" encoding="utf-8"?>
<worksheet xmlns="http://schemas.openxmlformats.org/spreadsheetml/2006/main">
  <sheetPr>
    <tabColor rgb="009A6B00"/>
    <outlinePr summaryBelow="1" summaryRight="1"/>
    <pageSetUpPr fitToPage="1"/>
  </sheetPr>
  <dimension ref="A1:K304"/>
  <sheetViews>
    <sheetView showGridLines="0" rightToLeft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16" customWidth="1" min="4" max="4"/>
    <col width="13" customWidth="1" min="5" max="5"/>
    <col width="32" customWidth="1" min="6" max="6"/>
    <col width="14" customWidth="1" min="7" max="7"/>
    <col width="11" customWidth="1" min="8" max="8"/>
    <col width="12" customWidth="1" min="9" max="9"/>
    <col width="11" customWidth="1" min="10" max="10"/>
    <col width="15" customWidth="1" min="11" max="11"/>
  </cols>
  <sheetData>
    <row r="1" ht="32" customHeight="1">
      <c r="A1" s="34">
        <f>S_Company&amp;"  |  ملاحظات التسليم"</f>
        <v/>
      </c>
    </row>
    <row r="2">
      <c r="A2" s="35" t="inlineStr">
        <is>
          <t>قائمة ملاحظات التسليم Snag List (QF-SL-14) – شرط التسليم الابتدائي</t>
        </is>
      </c>
    </row>
    <row r="3">
      <c r="A3" s="33" t="inlineStr">
        <is>
          <t>↩ الرئيسية</t>
        </is>
      </c>
      <c r="B3" s="36" t="inlineStr">
        <is>
          <t xml:space="preserve">   ■ أصفر = إدخال يدوي    ■ رمادي = معادلة تلقائية (لا تكتب فيها)    — الصفوف الأولى أمثلة توضيحية؛ احذف قيم الإدخال واستبدلها ببياناتك</t>
        </is>
      </c>
    </row>
    <row r="4" ht="42" customHeight="1">
      <c r="A4" s="37" t="inlineStr">
        <is>
          <t>رقم الملاحظة</t>
        </is>
      </c>
      <c r="B4" s="38" t="inlineStr">
        <is>
          <t>كود المشروع</t>
        </is>
      </c>
      <c r="C4" s="37" t="inlineStr">
        <is>
          <t>اسم المشروع</t>
        </is>
      </c>
      <c r="D4" s="38" t="inlineStr">
        <is>
          <t>المبنى / الدور / الوحدة</t>
        </is>
      </c>
      <c r="E4" s="38" t="inlineStr">
        <is>
          <t>التخصص</t>
        </is>
      </c>
      <c r="F4" s="38" t="inlineStr">
        <is>
          <t>وصف الملاحظة</t>
        </is>
      </c>
      <c r="G4" s="38" t="inlineStr">
        <is>
          <t>المسؤول</t>
        </is>
      </c>
      <c r="H4" s="38" t="inlineStr">
        <is>
          <t>تاريخ الرصد</t>
        </is>
      </c>
      <c r="I4" s="38" t="inlineStr">
        <is>
          <t>تاريخ الإصلاح المستهدف</t>
        </is>
      </c>
      <c r="J4" s="38" t="inlineStr">
        <is>
          <t>تاريخ الإغلاق</t>
        </is>
      </c>
      <c r="K4" s="37" t="inlineStr">
        <is>
          <t>الحالة</t>
        </is>
      </c>
    </row>
    <row r="5">
      <c r="A5" s="39">
        <f>IF(B5="","","SNG-"&amp;TEXT(ROW()-4,"0000"))</f>
        <v/>
      </c>
      <c r="B5" s="50" t="inlineStr">
        <is>
          <t>PRJ-001</t>
        </is>
      </c>
      <c r="C5" s="49">
        <f>IF(B5="","",IFERROR(INDEX('المشروعات'!$B$5:$B$304,MATCH(B5,'المشروعات'!$A$5:$A$304,0)),""))</f>
        <v/>
      </c>
      <c r="D5" s="40" t="inlineStr">
        <is>
          <t>الدور الأرضي – اللوبي</t>
        </is>
      </c>
      <c r="E5" s="40" t="inlineStr">
        <is>
          <t>معماري</t>
        </is>
      </c>
      <c r="F5" s="40" t="inlineStr">
        <is>
          <t>تنميل في دهان الحائط الشرقي</t>
        </is>
      </c>
      <c r="G5" s="40" t="inlineStr">
        <is>
          <t>مقاول الدهانات</t>
        </is>
      </c>
      <c r="H5" s="47" t="n">
        <v>46275</v>
      </c>
      <c r="I5" s="47" t="n">
        <v>46285</v>
      </c>
      <c r="J5" s="47" t="n">
        <v>46283</v>
      </c>
      <c r="K5" s="49">
        <f>IF(B5="","",IF(J5&lt;&gt;"","مغلق",IF(AND(I5&lt;&gt;"",TODAY()&gt;I5),"مفتوح – متأخر","مفتوح")))</f>
        <v/>
      </c>
    </row>
    <row r="6">
      <c r="A6" s="39">
        <f>IF(B6="","","SNG-"&amp;TEXT(ROW()-4,"0000"))</f>
        <v/>
      </c>
      <c r="B6" s="50" t="inlineStr">
        <is>
          <t>PRJ-001</t>
        </is>
      </c>
      <c r="C6" s="49">
        <f>IF(B6="","",IFERROR(INDEX('المشروعات'!$B$5:$B$304,MATCH(B6,'المشروعات'!$A$5:$A$304,0)),""))</f>
        <v/>
      </c>
      <c r="D6" s="40" t="inlineStr">
        <is>
          <t>الدور الثالث – مكتب 305</t>
        </is>
      </c>
      <c r="E6" s="40" t="inlineStr">
        <is>
          <t>كهرباء</t>
        </is>
      </c>
      <c r="F6" s="40" t="inlineStr">
        <is>
          <t>بريزة غير مثبتة جيداً</t>
        </is>
      </c>
      <c r="G6" s="40" t="inlineStr">
        <is>
          <t>مقاول الكهرباء</t>
        </is>
      </c>
      <c r="H6" s="47" t="n">
        <v>46275</v>
      </c>
      <c r="I6" s="47" t="n">
        <v>46290</v>
      </c>
      <c r="J6" s="47" t="n"/>
      <c r="K6" s="49">
        <f>IF(B6="","",IF(J6&lt;&gt;"","مغلق",IF(AND(I6&lt;&gt;"",TODAY()&gt;I6),"مفتوح – متأخر","مفتوح")))</f>
        <v/>
      </c>
    </row>
    <row r="7">
      <c r="A7" s="39">
        <f>IF(B7="","","SNG-"&amp;TEXT(ROW()-4,"0000"))</f>
        <v/>
      </c>
      <c r="B7" s="50" t="inlineStr">
        <is>
          <t>PRJ-001</t>
        </is>
      </c>
      <c r="C7" s="49">
        <f>IF(B7="","",IFERROR(INDEX('المشروعات'!$B$5:$B$304,MATCH(B7,'المشروعات'!$A$5:$A$304,0)),""))</f>
        <v/>
      </c>
      <c r="D7" s="40" t="inlineStr">
        <is>
          <t>السطح</t>
        </is>
      </c>
      <c r="E7" s="40" t="inlineStr">
        <is>
          <t>صحي/سباكة</t>
        </is>
      </c>
      <c r="F7" s="40" t="inlineStr">
        <is>
          <t>ميول صرف الأمطار تحتاج ضبط</t>
        </is>
      </c>
      <c r="G7" s="40" t="inlineStr">
        <is>
          <t>مقاول العزل</t>
        </is>
      </c>
      <c r="H7" s="47" t="n">
        <v>46277</v>
      </c>
      <c r="I7" s="47" t="n">
        <v>46310</v>
      </c>
      <c r="J7" s="47" t="n"/>
      <c r="K7" s="49">
        <f>IF(B7="","",IF(J7&lt;&gt;"","مغلق",IF(AND(I7&lt;&gt;"",TODAY()&gt;I7),"مفتوح – متأخر","مفتوح")))</f>
        <v/>
      </c>
    </row>
    <row r="8">
      <c r="A8" s="39">
        <f>IF(B8="","","SNG-"&amp;TEXT(ROW()-4,"0000"))</f>
        <v/>
      </c>
      <c r="B8" s="50" t="n"/>
      <c r="C8" s="49">
        <f>IF(B8="","",IFERROR(INDEX('المشروعات'!$B$5:$B$304,MATCH(B8,'المشروعات'!$A$5:$A$304,0)),""))</f>
        <v/>
      </c>
      <c r="D8" s="40" t="n"/>
      <c r="E8" s="40" t="n"/>
      <c r="F8" s="40" t="n"/>
      <c r="G8" s="40" t="n"/>
      <c r="H8" s="47" t="n"/>
      <c r="I8" s="47" t="n"/>
      <c r="J8" s="47" t="n"/>
      <c r="K8" s="49">
        <f>IF(B8="","",IF(J8&lt;&gt;"","مغلق",IF(AND(I8&lt;&gt;"",TODAY()&gt;I8),"مفتوح – متأخر","مفتوح")))</f>
        <v/>
      </c>
    </row>
    <row r="9">
      <c r="A9" s="39">
        <f>IF(B9="","","SNG-"&amp;TEXT(ROW()-4,"0000"))</f>
        <v/>
      </c>
      <c r="B9" s="50" t="n"/>
      <c r="C9" s="49">
        <f>IF(B9="","",IFERROR(INDEX('المشروعات'!$B$5:$B$304,MATCH(B9,'المشروعات'!$A$5:$A$304,0)),""))</f>
        <v/>
      </c>
      <c r="D9" s="40" t="n"/>
      <c r="E9" s="40" t="n"/>
      <c r="F9" s="40" t="n"/>
      <c r="G9" s="40" t="n"/>
      <c r="H9" s="47" t="n"/>
      <c r="I9" s="47" t="n"/>
      <c r="J9" s="47" t="n"/>
      <c r="K9" s="49">
        <f>IF(B9="","",IF(J9&lt;&gt;"","مغلق",IF(AND(I9&lt;&gt;"",TODAY()&gt;I9),"مفتوح – متأخر","مفتوح")))</f>
        <v/>
      </c>
    </row>
    <row r="10">
      <c r="A10" s="39">
        <f>IF(B10="","","SNG-"&amp;TEXT(ROW()-4,"0000"))</f>
        <v/>
      </c>
      <c r="B10" s="50" t="n"/>
      <c r="C10" s="49">
        <f>IF(B10="","",IFERROR(INDEX('المشروعات'!$B$5:$B$304,MATCH(B10,'المشروعات'!$A$5:$A$304,0)),""))</f>
        <v/>
      </c>
      <c r="D10" s="40" t="n"/>
      <c r="E10" s="40" t="n"/>
      <c r="F10" s="40" t="n"/>
      <c r="G10" s="40" t="n"/>
      <c r="H10" s="47" t="n"/>
      <c r="I10" s="47" t="n"/>
      <c r="J10" s="47" t="n"/>
      <c r="K10" s="49">
        <f>IF(B10="","",IF(J10&lt;&gt;"","مغلق",IF(AND(I10&lt;&gt;"",TODAY()&gt;I10),"مفتوح – متأخر","مفتوح")))</f>
        <v/>
      </c>
    </row>
    <row r="11">
      <c r="A11" s="39">
        <f>IF(B11="","","SNG-"&amp;TEXT(ROW()-4,"0000"))</f>
        <v/>
      </c>
      <c r="B11" s="50" t="n"/>
      <c r="C11" s="49">
        <f>IF(B11="","",IFERROR(INDEX('المشروعات'!$B$5:$B$304,MATCH(B11,'المشروعات'!$A$5:$A$304,0)),""))</f>
        <v/>
      </c>
      <c r="D11" s="40" t="n"/>
      <c r="E11" s="40" t="n"/>
      <c r="F11" s="40" t="n"/>
      <c r="G11" s="40" t="n"/>
      <c r="H11" s="47" t="n"/>
      <c r="I11" s="47" t="n"/>
      <c r="J11" s="47" t="n"/>
      <c r="K11" s="49">
        <f>IF(B11="","",IF(J11&lt;&gt;"","مغلق",IF(AND(I11&lt;&gt;"",TODAY()&gt;I11),"مفتوح – متأخر","مفتوح")))</f>
        <v/>
      </c>
    </row>
    <row r="12">
      <c r="A12" s="39">
        <f>IF(B12="","","SNG-"&amp;TEXT(ROW()-4,"0000"))</f>
        <v/>
      </c>
      <c r="B12" s="50" t="n"/>
      <c r="C12" s="49">
        <f>IF(B12="","",IFERROR(INDEX('المشروعات'!$B$5:$B$304,MATCH(B12,'المشروعات'!$A$5:$A$304,0)),""))</f>
        <v/>
      </c>
      <c r="D12" s="40" t="n"/>
      <c r="E12" s="40" t="n"/>
      <c r="F12" s="40" t="n"/>
      <c r="G12" s="40" t="n"/>
      <c r="H12" s="47" t="n"/>
      <c r="I12" s="47" t="n"/>
      <c r="J12" s="47" t="n"/>
      <c r="K12" s="49">
        <f>IF(B12="","",IF(J12&lt;&gt;"","مغلق",IF(AND(I12&lt;&gt;"",TODAY()&gt;I12),"مفتوح – متأخر","مفتوح")))</f>
        <v/>
      </c>
    </row>
    <row r="13">
      <c r="A13" s="39">
        <f>IF(B13="","","SNG-"&amp;TEXT(ROW()-4,"0000"))</f>
        <v/>
      </c>
      <c r="B13" s="50" t="n"/>
      <c r="C13" s="49">
        <f>IF(B13="","",IFERROR(INDEX('المشروعات'!$B$5:$B$304,MATCH(B13,'المشروعات'!$A$5:$A$304,0)),""))</f>
        <v/>
      </c>
      <c r="D13" s="40" t="n"/>
      <c r="E13" s="40" t="n"/>
      <c r="F13" s="40" t="n"/>
      <c r="G13" s="40" t="n"/>
      <c r="H13" s="47" t="n"/>
      <c r="I13" s="47" t="n"/>
      <c r="J13" s="47" t="n"/>
      <c r="K13" s="49">
        <f>IF(B13="","",IF(J13&lt;&gt;"","مغلق",IF(AND(I13&lt;&gt;"",TODAY()&gt;I13),"مفتوح – متأخر","مفتوح")))</f>
        <v/>
      </c>
    </row>
    <row r="14">
      <c r="A14" s="39">
        <f>IF(B14="","","SNG-"&amp;TEXT(ROW()-4,"0000"))</f>
        <v/>
      </c>
      <c r="B14" s="50" t="n"/>
      <c r="C14" s="49">
        <f>IF(B14="","",IFERROR(INDEX('المشروعات'!$B$5:$B$304,MATCH(B14,'المشروعات'!$A$5:$A$304,0)),""))</f>
        <v/>
      </c>
      <c r="D14" s="40" t="n"/>
      <c r="E14" s="40" t="n"/>
      <c r="F14" s="40" t="n"/>
      <c r="G14" s="40" t="n"/>
      <c r="H14" s="47" t="n"/>
      <c r="I14" s="47" t="n"/>
      <c r="J14" s="47" t="n"/>
      <c r="K14" s="49">
        <f>IF(B14="","",IF(J14&lt;&gt;"","مغلق",IF(AND(I14&lt;&gt;"",TODAY()&gt;I14),"مفتوح – متأخر","مفتوح")))</f>
        <v/>
      </c>
    </row>
    <row r="15">
      <c r="A15" s="39">
        <f>IF(B15="","","SNG-"&amp;TEXT(ROW()-4,"0000"))</f>
        <v/>
      </c>
      <c r="B15" s="50" t="n"/>
      <c r="C15" s="49">
        <f>IF(B15="","",IFERROR(INDEX('المشروعات'!$B$5:$B$304,MATCH(B15,'المشروعات'!$A$5:$A$304,0)),""))</f>
        <v/>
      </c>
      <c r="D15" s="40" t="n"/>
      <c r="E15" s="40" t="n"/>
      <c r="F15" s="40" t="n"/>
      <c r="G15" s="40" t="n"/>
      <c r="H15" s="47" t="n"/>
      <c r="I15" s="47" t="n"/>
      <c r="J15" s="47" t="n"/>
      <c r="K15" s="49">
        <f>IF(B15="","",IF(J15&lt;&gt;"","مغلق",IF(AND(I15&lt;&gt;"",TODAY()&gt;I15),"مفتوح – متأخر","مفتوح")))</f>
        <v/>
      </c>
    </row>
    <row r="16">
      <c r="A16" s="39">
        <f>IF(B16="","","SNG-"&amp;TEXT(ROW()-4,"0000"))</f>
        <v/>
      </c>
      <c r="B16" s="50" t="n"/>
      <c r="C16" s="49">
        <f>IF(B16="","",IFERROR(INDEX('المشروعات'!$B$5:$B$304,MATCH(B16,'المشروعات'!$A$5:$A$304,0)),""))</f>
        <v/>
      </c>
      <c r="D16" s="40" t="n"/>
      <c r="E16" s="40" t="n"/>
      <c r="F16" s="40" t="n"/>
      <c r="G16" s="40" t="n"/>
      <c r="H16" s="47" t="n"/>
      <c r="I16" s="47" t="n"/>
      <c r="J16" s="47" t="n"/>
      <c r="K16" s="49">
        <f>IF(B16="","",IF(J16&lt;&gt;"","مغلق",IF(AND(I16&lt;&gt;"",TODAY()&gt;I16),"مفتوح – متأخر","مفتوح")))</f>
        <v/>
      </c>
    </row>
    <row r="17">
      <c r="A17" s="39">
        <f>IF(B17="","","SNG-"&amp;TEXT(ROW()-4,"0000"))</f>
        <v/>
      </c>
      <c r="B17" s="50" t="n"/>
      <c r="C17" s="49">
        <f>IF(B17="","",IFERROR(INDEX('المشروعات'!$B$5:$B$304,MATCH(B17,'المشروعات'!$A$5:$A$304,0)),""))</f>
        <v/>
      </c>
      <c r="D17" s="40" t="n"/>
      <c r="E17" s="40" t="n"/>
      <c r="F17" s="40" t="n"/>
      <c r="G17" s="40" t="n"/>
      <c r="H17" s="47" t="n"/>
      <c r="I17" s="47" t="n"/>
      <c r="J17" s="47" t="n"/>
      <c r="K17" s="49">
        <f>IF(B17="","",IF(J17&lt;&gt;"","مغلق",IF(AND(I17&lt;&gt;"",TODAY()&gt;I17),"مفتوح – متأخر","مفتوح")))</f>
        <v/>
      </c>
    </row>
    <row r="18">
      <c r="A18" s="39">
        <f>IF(B18="","","SNG-"&amp;TEXT(ROW()-4,"0000"))</f>
        <v/>
      </c>
      <c r="B18" s="50" t="n"/>
      <c r="C18" s="49">
        <f>IF(B18="","",IFERROR(INDEX('المشروعات'!$B$5:$B$304,MATCH(B18,'المشروعات'!$A$5:$A$304,0)),""))</f>
        <v/>
      </c>
      <c r="D18" s="40" t="n"/>
      <c r="E18" s="40" t="n"/>
      <c r="F18" s="40" t="n"/>
      <c r="G18" s="40" t="n"/>
      <c r="H18" s="47" t="n"/>
      <c r="I18" s="47" t="n"/>
      <c r="J18" s="47" t="n"/>
      <c r="K18" s="49">
        <f>IF(B18="","",IF(J18&lt;&gt;"","مغلق",IF(AND(I18&lt;&gt;"",TODAY()&gt;I18),"مفتوح – متأخر","مفتوح")))</f>
        <v/>
      </c>
    </row>
    <row r="19">
      <c r="A19" s="39">
        <f>IF(B19="","","SNG-"&amp;TEXT(ROW()-4,"0000"))</f>
        <v/>
      </c>
      <c r="B19" s="50" t="n"/>
      <c r="C19" s="49">
        <f>IF(B19="","",IFERROR(INDEX('المشروعات'!$B$5:$B$304,MATCH(B19,'المشروعات'!$A$5:$A$304,0)),""))</f>
        <v/>
      </c>
      <c r="D19" s="40" t="n"/>
      <c r="E19" s="40" t="n"/>
      <c r="F19" s="40" t="n"/>
      <c r="G19" s="40" t="n"/>
      <c r="H19" s="47" t="n"/>
      <c r="I19" s="47" t="n"/>
      <c r="J19" s="47" t="n"/>
      <c r="K19" s="49">
        <f>IF(B19="","",IF(J19&lt;&gt;"","مغلق",IF(AND(I19&lt;&gt;"",TODAY()&gt;I19),"مفتوح – متأخر","مفتوح")))</f>
        <v/>
      </c>
    </row>
    <row r="20">
      <c r="A20" s="39">
        <f>IF(B20="","","SNG-"&amp;TEXT(ROW()-4,"0000"))</f>
        <v/>
      </c>
      <c r="B20" s="50" t="n"/>
      <c r="C20" s="49">
        <f>IF(B20="","",IFERROR(INDEX('المشروعات'!$B$5:$B$304,MATCH(B20,'المشروعات'!$A$5:$A$304,0)),""))</f>
        <v/>
      </c>
      <c r="D20" s="40" t="n"/>
      <c r="E20" s="40" t="n"/>
      <c r="F20" s="40" t="n"/>
      <c r="G20" s="40" t="n"/>
      <c r="H20" s="47" t="n"/>
      <c r="I20" s="47" t="n"/>
      <c r="J20" s="47" t="n"/>
      <c r="K20" s="49">
        <f>IF(B20="","",IF(J20&lt;&gt;"","مغلق",IF(AND(I20&lt;&gt;"",TODAY()&gt;I20),"مفتوح – متأخر","مفتوح")))</f>
        <v/>
      </c>
    </row>
    <row r="21">
      <c r="A21" s="39">
        <f>IF(B21="","","SNG-"&amp;TEXT(ROW()-4,"0000"))</f>
        <v/>
      </c>
      <c r="B21" s="50" t="n"/>
      <c r="C21" s="49">
        <f>IF(B21="","",IFERROR(INDEX('المشروعات'!$B$5:$B$304,MATCH(B21,'المشروعات'!$A$5:$A$304,0)),""))</f>
        <v/>
      </c>
      <c r="D21" s="40" t="n"/>
      <c r="E21" s="40" t="n"/>
      <c r="F21" s="40" t="n"/>
      <c r="G21" s="40" t="n"/>
      <c r="H21" s="47" t="n"/>
      <c r="I21" s="47" t="n"/>
      <c r="J21" s="47" t="n"/>
      <c r="K21" s="49">
        <f>IF(B21="","",IF(J21&lt;&gt;"","مغلق",IF(AND(I21&lt;&gt;"",TODAY()&gt;I21),"مفتوح – متأخر","مفتوح")))</f>
        <v/>
      </c>
    </row>
    <row r="22">
      <c r="A22" s="39">
        <f>IF(B22="","","SNG-"&amp;TEXT(ROW()-4,"0000"))</f>
        <v/>
      </c>
      <c r="B22" s="50" t="n"/>
      <c r="C22" s="49">
        <f>IF(B22="","",IFERROR(INDEX('المشروعات'!$B$5:$B$304,MATCH(B22,'المشروعات'!$A$5:$A$304,0)),""))</f>
        <v/>
      </c>
      <c r="D22" s="40" t="n"/>
      <c r="E22" s="40" t="n"/>
      <c r="F22" s="40" t="n"/>
      <c r="G22" s="40" t="n"/>
      <c r="H22" s="47" t="n"/>
      <c r="I22" s="47" t="n"/>
      <c r="J22" s="47" t="n"/>
      <c r="K22" s="49">
        <f>IF(B22="","",IF(J22&lt;&gt;"","مغلق",IF(AND(I22&lt;&gt;"",TODAY()&gt;I22),"مفتوح – متأخر","مفتوح")))</f>
        <v/>
      </c>
    </row>
    <row r="23">
      <c r="A23" s="39">
        <f>IF(B23="","","SNG-"&amp;TEXT(ROW()-4,"0000"))</f>
        <v/>
      </c>
      <c r="B23" s="50" t="n"/>
      <c r="C23" s="49">
        <f>IF(B23="","",IFERROR(INDEX('المشروعات'!$B$5:$B$304,MATCH(B23,'المشروعات'!$A$5:$A$304,0)),""))</f>
        <v/>
      </c>
      <c r="D23" s="40" t="n"/>
      <c r="E23" s="40" t="n"/>
      <c r="F23" s="40" t="n"/>
      <c r="G23" s="40" t="n"/>
      <c r="H23" s="47" t="n"/>
      <c r="I23" s="47" t="n"/>
      <c r="J23" s="47" t="n"/>
      <c r="K23" s="49">
        <f>IF(B23="","",IF(J23&lt;&gt;"","مغلق",IF(AND(I23&lt;&gt;"",TODAY()&gt;I23),"مفتوح – متأخر","مفتوح")))</f>
        <v/>
      </c>
    </row>
    <row r="24">
      <c r="A24" s="39">
        <f>IF(B24="","","SNG-"&amp;TEXT(ROW()-4,"0000"))</f>
        <v/>
      </c>
      <c r="B24" s="50" t="n"/>
      <c r="C24" s="49">
        <f>IF(B24="","",IFERROR(INDEX('المشروعات'!$B$5:$B$304,MATCH(B24,'المشروعات'!$A$5:$A$304,0)),""))</f>
        <v/>
      </c>
      <c r="D24" s="40" t="n"/>
      <c r="E24" s="40" t="n"/>
      <c r="F24" s="40" t="n"/>
      <c r="G24" s="40" t="n"/>
      <c r="H24" s="47" t="n"/>
      <c r="I24" s="47" t="n"/>
      <c r="J24" s="47" t="n"/>
      <c r="K24" s="49">
        <f>IF(B24="","",IF(J24&lt;&gt;"","مغلق",IF(AND(I24&lt;&gt;"",TODAY()&gt;I24),"مفتوح – متأخر","مفتوح")))</f>
        <v/>
      </c>
    </row>
    <row r="25">
      <c r="A25" s="39">
        <f>IF(B25="","","SNG-"&amp;TEXT(ROW()-4,"0000"))</f>
        <v/>
      </c>
      <c r="B25" s="50" t="n"/>
      <c r="C25" s="49">
        <f>IF(B25="","",IFERROR(INDEX('المشروعات'!$B$5:$B$304,MATCH(B25,'المشروعات'!$A$5:$A$304,0)),""))</f>
        <v/>
      </c>
      <c r="D25" s="40" t="n"/>
      <c r="E25" s="40" t="n"/>
      <c r="F25" s="40" t="n"/>
      <c r="G25" s="40" t="n"/>
      <c r="H25" s="47" t="n"/>
      <c r="I25" s="47" t="n"/>
      <c r="J25" s="47" t="n"/>
      <c r="K25" s="49">
        <f>IF(B25="","",IF(J25&lt;&gt;"","مغلق",IF(AND(I25&lt;&gt;"",TODAY()&gt;I25),"مفتوح – متأخر","مفتوح")))</f>
        <v/>
      </c>
    </row>
    <row r="26">
      <c r="A26" s="39">
        <f>IF(B26="","","SNG-"&amp;TEXT(ROW()-4,"0000"))</f>
        <v/>
      </c>
      <c r="B26" s="50" t="n"/>
      <c r="C26" s="49">
        <f>IF(B26="","",IFERROR(INDEX('المشروعات'!$B$5:$B$304,MATCH(B26,'المشروعات'!$A$5:$A$304,0)),""))</f>
        <v/>
      </c>
      <c r="D26" s="40" t="n"/>
      <c r="E26" s="40" t="n"/>
      <c r="F26" s="40" t="n"/>
      <c r="G26" s="40" t="n"/>
      <c r="H26" s="47" t="n"/>
      <c r="I26" s="47" t="n"/>
      <c r="J26" s="47" t="n"/>
      <c r="K26" s="49">
        <f>IF(B26="","",IF(J26&lt;&gt;"","مغلق",IF(AND(I26&lt;&gt;"",TODAY()&gt;I26),"مفتوح – متأخر","مفتوح")))</f>
        <v/>
      </c>
    </row>
    <row r="27">
      <c r="A27" s="39">
        <f>IF(B27="","","SNG-"&amp;TEXT(ROW()-4,"0000"))</f>
        <v/>
      </c>
      <c r="B27" s="50" t="n"/>
      <c r="C27" s="49">
        <f>IF(B27="","",IFERROR(INDEX('المشروعات'!$B$5:$B$304,MATCH(B27,'المشروعات'!$A$5:$A$304,0)),""))</f>
        <v/>
      </c>
      <c r="D27" s="40" t="n"/>
      <c r="E27" s="40" t="n"/>
      <c r="F27" s="40" t="n"/>
      <c r="G27" s="40" t="n"/>
      <c r="H27" s="47" t="n"/>
      <c r="I27" s="47" t="n"/>
      <c r="J27" s="47" t="n"/>
      <c r="K27" s="49">
        <f>IF(B27="","",IF(J27&lt;&gt;"","مغلق",IF(AND(I27&lt;&gt;"",TODAY()&gt;I27),"مفتوح – متأخر","مفتوح")))</f>
        <v/>
      </c>
    </row>
    <row r="28">
      <c r="A28" s="39">
        <f>IF(B28="","","SNG-"&amp;TEXT(ROW()-4,"0000"))</f>
        <v/>
      </c>
      <c r="B28" s="50" t="n"/>
      <c r="C28" s="49">
        <f>IF(B28="","",IFERROR(INDEX('المشروعات'!$B$5:$B$304,MATCH(B28,'المشروعات'!$A$5:$A$304,0)),""))</f>
        <v/>
      </c>
      <c r="D28" s="40" t="n"/>
      <c r="E28" s="40" t="n"/>
      <c r="F28" s="40" t="n"/>
      <c r="G28" s="40" t="n"/>
      <c r="H28" s="47" t="n"/>
      <c r="I28" s="47" t="n"/>
      <c r="J28" s="47" t="n"/>
      <c r="K28" s="49">
        <f>IF(B28="","",IF(J28&lt;&gt;"","مغلق",IF(AND(I28&lt;&gt;"",TODAY()&gt;I28),"مفتوح – متأخر","مفتوح")))</f>
        <v/>
      </c>
    </row>
    <row r="29">
      <c r="A29" s="39">
        <f>IF(B29="","","SNG-"&amp;TEXT(ROW()-4,"0000"))</f>
        <v/>
      </c>
      <c r="B29" s="50" t="n"/>
      <c r="C29" s="49">
        <f>IF(B29="","",IFERROR(INDEX('المشروعات'!$B$5:$B$304,MATCH(B29,'المشروعات'!$A$5:$A$304,0)),""))</f>
        <v/>
      </c>
      <c r="D29" s="40" t="n"/>
      <c r="E29" s="40" t="n"/>
      <c r="F29" s="40" t="n"/>
      <c r="G29" s="40" t="n"/>
      <c r="H29" s="47" t="n"/>
      <c r="I29" s="47" t="n"/>
      <c r="J29" s="47" t="n"/>
      <c r="K29" s="49">
        <f>IF(B29="","",IF(J29&lt;&gt;"","مغلق",IF(AND(I29&lt;&gt;"",TODAY()&gt;I29),"مفتوح – متأخر","مفتوح")))</f>
        <v/>
      </c>
    </row>
    <row r="30">
      <c r="A30" s="39">
        <f>IF(B30="","","SNG-"&amp;TEXT(ROW()-4,"0000"))</f>
        <v/>
      </c>
      <c r="B30" s="50" t="n"/>
      <c r="C30" s="49">
        <f>IF(B30="","",IFERROR(INDEX('المشروعات'!$B$5:$B$304,MATCH(B30,'المشروعات'!$A$5:$A$304,0)),""))</f>
        <v/>
      </c>
      <c r="D30" s="40" t="n"/>
      <c r="E30" s="40" t="n"/>
      <c r="F30" s="40" t="n"/>
      <c r="G30" s="40" t="n"/>
      <c r="H30" s="47" t="n"/>
      <c r="I30" s="47" t="n"/>
      <c r="J30" s="47" t="n"/>
      <c r="K30" s="49">
        <f>IF(B30="","",IF(J30&lt;&gt;"","مغلق",IF(AND(I30&lt;&gt;"",TODAY()&gt;I30),"مفتوح – متأخر","مفتوح")))</f>
        <v/>
      </c>
    </row>
    <row r="31">
      <c r="A31" s="39">
        <f>IF(B31="","","SNG-"&amp;TEXT(ROW()-4,"0000"))</f>
        <v/>
      </c>
      <c r="B31" s="50" t="n"/>
      <c r="C31" s="49">
        <f>IF(B31="","",IFERROR(INDEX('المشروعات'!$B$5:$B$304,MATCH(B31,'المشروعات'!$A$5:$A$304,0)),""))</f>
        <v/>
      </c>
      <c r="D31" s="40" t="n"/>
      <c r="E31" s="40" t="n"/>
      <c r="F31" s="40" t="n"/>
      <c r="G31" s="40" t="n"/>
      <c r="H31" s="47" t="n"/>
      <c r="I31" s="47" t="n"/>
      <c r="J31" s="47" t="n"/>
      <c r="K31" s="49">
        <f>IF(B31="","",IF(J31&lt;&gt;"","مغلق",IF(AND(I31&lt;&gt;"",TODAY()&gt;I31),"مفتوح – متأخر","مفتوح")))</f>
        <v/>
      </c>
    </row>
    <row r="32">
      <c r="A32" s="39">
        <f>IF(B32="","","SNG-"&amp;TEXT(ROW()-4,"0000"))</f>
        <v/>
      </c>
      <c r="B32" s="50" t="n"/>
      <c r="C32" s="49">
        <f>IF(B32="","",IFERROR(INDEX('المشروعات'!$B$5:$B$304,MATCH(B32,'المشروعات'!$A$5:$A$304,0)),""))</f>
        <v/>
      </c>
      <c r="D32" s="40" t="n"/>
      <c r="E32" s="40" t="n"/>
      <c r="F32" s="40" t="n"/>
      <c r="G32" s="40" t="n"/>
      <c r="H32" s="47" t="n"/>
      <c r="I32" s="47" t="n"/>
      <c r="J32" s="47" t="n"/>
      <c r="K32" s="49">
        <f>IF(B32="","",IF(J32&lt;&gt;"","مغلق",IF(AND(I32&lt;&gt;"",TODAY()&gt;I32),"مفتوح – متأخر","مفتوح")))</f>
        <v/>
      </c>
    </row>
    <row r="33">
      <c r="A33" s="39">
        <f>IF(B33="","","SNG-"&amp;TEXT(ROW()-4,"0000"))</f>
        <v/>
      </c>
      <c r="B33" s="50" t="n"/>
      <c r="C33" s="49">
        <f>IF(B33="","",IFERROR(INDEX('المشروعات'!$B$5:$B$304,MATCH(B33,'المشروعات'!$A$5:$A$304,0)),""))</f>
        <v/>
      </c>
      <c r="D33" s="40" t="n"/>
      <c r="E33" s="40" t="n"/>
      <c r="F33" s="40" t="n"/>
      <c r="G33" s="40" t="n"/>
      <c r="H33" s="47" t="n"/>
      <c r="I33" s="47" t="n"/>
      <c r="J33" s="47" t="n"/>
      <c r="K33" s="49">
        <f>IF(B33="","",IF(J33&lt;&gt;"","مغلق",IF(AND(I33&lt;&gt;"",TODAY()&gt;I33),"مفتوح – متأخر","مفتوح")))</f>
        <v/>
      </c>
    </row>
    <row r="34">
      <c r="A34" s="39">
        <f>IF(B34="","","SNG-"&amp;TEXT(ROW()-4,"0000"))</f>
        <v/>
      </c>
      <c r="B34" s="50" t="n"/>
      <c r="C34" s="49">
        <f>IF(B34="","",IFERROR(INDEX('المشروعات'!$B$5:$B$304,MATCH(B34,'المشروعات'!$A$5:$A$304,0)),""))</f>
        <v/>
      </c>
      <c r="D34" s="40" t="n"/>
      <c r="E34" s="40" t="n"/>
      <c r="F34" s="40" t="n"/>
      <c r="G34" s="40" t="n"/>
      <c r="H34" s="47" t="n"/>
      <c r="I34" s="47" t="n"/>
      <c r="J34" s="47" t="n"/>
      <c r="K34" s="49">
        <f>IF(B34="","",IF(J34&lt;&gt;"","مغلق",IF(AND(I34&lt;&gt;"",TODAY()&gt;I34),"مفتوح – متأخر","مفتوح")))</f>
        <v/>
      </c>
    </row>
    <row r="35">
      <c r="A35" s="39">
        <f>IF(B35="","","SNG-"&amp;TEXT(ROW()-4,"0000"))</f>
        <v/>
      </c>
      <c r="B35" s="50" t="n"/>
      <c r="C35" s="49">
        <f>IF(B35="","",IFERROR(INDEX('المشروعات'!$B$5:$B$304,MATCH(B35,'المشروعات'!$A$5:$A$304,0)),""))</f>
        <v/>
      </c>
      <c r="D35" s="40" t="n"/>
      <c r="E35" s="40" t="n"/>
      <c r="F35" s="40" t="n"/>
      <c r="G35" s="40" t="n"/>
      <c r="H35" s="47" t="n"/>
      <c r="I35" s="47" t="n"/>
      <c r="J35" s="47" t="n"/>
      <c r="K35" s="49">
        <f>IF(B35="","",IF(J35&lt;&gt;"","مغلق",IF(AND(I35&lt;&gt;"",TODAY()&gt;I35),"مفتوح – متأخر","مفتوح")))</f>
        <v/>
      </c>
    </row>
    <row r="36">
      <c r="A36" s="39">
        <f>IF(B36="","","SNG-"&amp;TEXT(ROW()-4,"0000"))</f>
        <v/>
      </c>
      <c r="B36" s="50" t="n"/>
      <c r="C36" s="49">
        <f>IF(B36="","",IFERROR(INDEX('المشروعات'!$B$5:$B$304,MATCH(B36,'المشروعات'!$A$5:$A$304,0)),""))</f>
        <v/>
      </c>
      <c r="D36" s="40" t="n"/>
      <c r="E36" s="40" t="n"/>
      <c r="F36" s="40" t="n"/>
      <c r="G36" s="40" t="n"/>
      <c r="H36" s="47" t="n"/>
      <c r="I36" s="47" t="n"/>
      <c r="J36" s="47" t="n"/>
      <c r="K36" s="49">
        <f>IF(B36="","",IF(J36&lt;&gt;"","مغلق",IF(AND(I36&lt;&gt;"",TODAY()&gt;I36),"مفتوح – متأخر","مفتوح")))</f>
        <v/>
      </c>
    </row>
    <row r="37">
      <c r="A37" s="39">
        <f>IF(B37="","","SNG-"&amp;TEXT(ROW()-4,"0000"))</f>
        <v/>
      </c>
      <c r="B37" s="50" t="n"/>
      <c r="C37" s="49">
        <f>IF(B37="","",IFERROR(INDEX('المشروعات'!$B$5:$B$304,MATCH(B37,'المشروعات'!$A$5:$A$304,0)),""))</f>
        <v/>
      </c>
      <c r="D37" s="40" t="n"/>
      <c r="E37" s="40" t="n"/>
      <c r="F37" s="40" t="n"/>
      <c r="G37" s="40" t="n"/>
      <c r="H37" s="47" t="n"/>
      <c r="I37" s="47" t="n"/>
      <c r="J37" s="47" t="n"/>
      <c r="K37" s="49">
        <f>IF(B37="","",IF(J37&lt;&gt;"","مغلق",IF(AND(I37&lt;&gt;"",TODAY()&gt;I37),"مفتوح – متأخر","مفتوح")))</f>
        <v/>
      </c>
    </row>
    <row r="38">
      <c r="A38" s="39">
        <f>IF(B38="","","SNG-"&amp;TEXT(ROW()-4,"0000"))</f>
        <v/>
      </c>
      <c r="B38" s="50" t="n"/>
      <c r="C38" s="49">
        <f>IF(B38="","",IFERROR(INDEX('المشروعات'!$B$5:$B$304,MATCH(B38,'المشروعات'!$A$5:$A$304,0)),""))</f>
        <v/>
      </c>
      <c r="D38" s="40" t="n"/>
      <c r="E38" s="40" t="n"/>
      <c r="F38" s="40" t="n"/>
      <c r="G38" s="40" t="n"/>
      <c r="H38" s="47" t="n"/>
      <c r="I38" s="47" t="n"/>
      <c r="J38" s="47" t="n"/>
      <c r="K38" s="49">
        <f>IF(B38="","",IF(J38&lt;&gt;"","مغلق",IF(AND(I38&lt;&gt;"",TODAY()&gt;I38),"مفتوح – متأخر","مفتوح")))</f>
        <v/>
      </c>
    </row>
    <row r="39">
      <c r="A39" s="39">
        <f>IF(B39="","","SNG-"&amp;TEXT(ROW()-4,"0000"))</f>
        <v/>
      </c>
      <c r="B39" s="50" t="n"/>
      <c r="C39" s="49">
        <f>IF(B39="","",IFERROR(INDEX('المشروعات'!$B$5:$B$304,MATCH(B39,'المشروعات'!$A$5:$A$304,0)),""))</f>
        <v/>
      </c>
      <c r="D39" s="40" t="n"/>
      <c r="E39" s="40" t="n"/>
      <c r="F39" s="40" t="n"/>
      <c r="G39" s="40" t="n"/>
      <c r="H39" s="47" t="n"/>
      <c r="I39" s="47" t="n"/>
      <c r="J39" s="47" t="n"/>
      <c r="K39" s="49">
        <f>IF(B39="","",IF(J39&lt;&gt;"","مغلق",IF(AND(I39&lt;&gt;"",TODAY()&gt;I39),"مفتوح – متأخر","مفتوح")))</f>
        <v/>
      </c>
    </row>
    <row r="40">
      <c r="A40" s="39">
        <f>IF(B40="","","SNG-"&amp;TEXT(ROW()-4,"0000"))</f>
        <v/>
      </c>
      <c r="B40" s="50" t="n"/>
      <c r="C40" s="49">
        <f>IF(B40="","",IFERROR(INDEX('المشروعات'!$B$5:$B$304,MATCH(B40,'المشروعات'!$A$5:$A$304,0)),""))</f>
        <v/>
      </c>
      <c r="D40" s="40" t="n"/>
      <c r="E40" s="40" t="n"/>
      <c r="F40" s="40" t="n"/>
      <c r="G40" s="40" t="n"/>
      <c r="H40" s="47" t="n"/>
      <c r="I40" s="47" t="n"/>
      <c r="J40" s="47" t="n"/>
      <c r="K40" s="49">
        <f>IF(B40="","",IF(J40&lt;&gt;"","مغلق",IF(AND(I40&lt;&gt;"",TODAY()&gt;I40),"مفتوح – متأخر","مفتوح")))</f>
        <v/>
      </c>
    </row>
    <row r="41">
      <c r="A41" s="39">
        <f>IF(B41="","","SNG-"&amp;TEXT(ROW()-4,"0000"))</f>
        <v/>
      </c>
      <c r="B41" s="50" t="n"/>
      <c r="C41" s="49">
        <f>IF(B41="","",IFERROR(INDEX('المشروعات'!$B$5:$B$304,MATCH(B41,'المشروعات'!$A$5:$A$304,0)),""))</f>
        <v/>
      </c>
      <c r="D41" s="40" t="n"/>
      <c r="E41" s="40" t="n"/>
      <c r="F41" s="40" t="n"/>
      <c r="G41" s="40" t="n"/>
      <c r="H41" s="47" t="n"/>
      <c r="I41" s="47" t="n"/>
      <c r="J41" s="47" t="n"/>
      <c r="K41" s="49">
        <f>IF(B41="","",IF(J41&lt;&gt;"","مغلق",IF(AND(I41&lt;&gt;"",TODAY()&gt;I41),"مفتوح – متأخر","مفتوح")))</f>
        <v/>
      </c>
    </row>
    <row r="42">
      <c r="A42" s="39">
        <f>IF(B42="","","SNG-"&amp;TEXT(ROW()-4,"0000"))</f>
        <v/>
      </c>
      <c r="B42" s="50" t="n"/>
      <c r="C42" s="49">
        <f>IF(B42="","",IFERROR(INDEX('المشروعات'!$B$5:$B$304,MATCH(B42,'المشروعات'!$A$5:$A$304,0)),""))</f>
        <v/>
      </c>
      <c r="D42" s="40" t="n"/>
      <c r="E42" s="40" t="n"/>
      <c r="F42" s="40" t="n"/>
      <c r="G42" s="40" t="n"/>
      <c r="H42" s="47" t="n"/>
      <c r="I42" s="47" t="n"/>
      <c r="J42" s="47" t="n"/>
      <c r="K42" s="49">
        <f>IF(B42="","",IF(J42&lt;&gt;"","مغلق",IF(AND(I42&lt;&gt;"",TODAY()&gt;I42),"مفتوح – متأخر","مفتوح")))</f>
        <v/>
      </c>
    </row>
    <row r="43">
      <c r="A43" s="39">
        <f>IF(B43="","","SNG-"&amp;TEXT(ROW()-4,"0000"))</f>
        <v/>
      </c>
      <c r="B43" s="50" t="n"/>
      <c r="C43" s="49">
        <f>IF(B43="","",IFERROR(INDEX('المشروعات'!$B$5:$B$304,MATCH(B43,'المشروعات'!$A$5:$A$304,0)),""))</f>
        <v/>
      </c>
      <c r="D43" s="40" t="n"/>
      <c r="E43" s="40" t="n"/>
      <c r="F43" s="40" t="n"/>
      <c r="G43" s="40" t="n"/>
      <c r="H43" s="47" t="n"/>
      <c r="I43" s="47" t="n"/>
      <c r="J43" s="47" t="n"/>
      <c r="K43" s="49">
        <f>IF(B43="","",IF(J43&lt;&gt;"","مغلق",IF(AND(I43&lt;&gt;"",TODAY()&gt;I43),"مفتوح – متأخر","مفتوح")))</f>
        <v/>
      </c>
    </row>
    <row r="44">
      <c r="A44" s="39">
        <f>IF(B44="","","SNG-"&amp;TEXT(ROW()-4,"0000"))</f>
        <v/>
      </c>
      <c r="B44" s="50" t="n"/>
      <c r="C44" s="49">
        <f>IF(B44="","",IFERROR(INDEX('المشروعات'!$B$5:$B$304,MATCH(B44,'المشروعات'!$A$5:$A$304,0)),""))</f>
        <v/>
      </c>
      <c r="D44" s="40" t="n"/>
      <c r="E44" s="40" t="n"/>
      <c r="F44" s="40" t="n"/>
      <c r="G44" s="40" t="n"/>
      <c r="H44" s="47" t="n"/>
      <c r="I44" s="47" t="n"/>
      <c r="J44" s="47" t="n"/>
      <c r="K44" s="49">
        <f>IF(B44="","",IF(J44&lt;&gt;"","مغلق",IF(AND(I44&lt;&gt;"",TODAY()&gt;I44),"مفتوح – متأخر","مفتوح")))</f>
        <v/>
      </c>
    </row>
    <row r="45">
      <c r="A45" s="39">
        <f>IF(B45="","","SNG-"&amp;TEXT(ROW()-4,"0000"))</f>
        <v/>
      </c>
      <c r="B45" s="50" t="n"/>
      <c r="C45" s="49">
        <f>IF(B45="","",IFERROR(INDEX('المشروعات'!$B$5:$B$304,MATCH(B45,'المشروعات'!$A$5:$A$304,0)),""))</f>
        <v/>
      </c>
      <c r="D45" s="40" t="n"/>
      <c r="E45" s="40" t="n"/>
      <c r="F45" s="40" t="n"/>
      <c r="G45" s="40" t="n"/>
      <c r="H45" s="47" t="n"/>
      <c r="I45" s="47" t="n"/>
      <c r="J45" s="47" t="n"/>
      <c r="K45" s="49">
        <f>IF(B45="","",IF(J45&lt;&gt;"","مغلق",IF(AND(I45&lt;&gt;"",TODAY()&gt;I45),"مفتوح – متأخر","مفتوح")))</f>
        <v/>
      </c>
    </row>
    <row r="46">
      <c r="A46" s="39">
        <f>IF(B46="","","SNG-"&amp;TEXT(ROW()-4,"0000"))</f>
        <v/>
      </c>
      <c r="B46" s="50" t="n"/>
      <c r="C46" s="49">
        <f>IF(B46="","",IFERROR(INDEX('المشروعات'!$B$5:$B$304,MATCH(B46,'المشروعات'!$A$5:$A$304,0)),""))</f>
        <v/>
      </c>
      <c r="D46" s="40" t="n"/>
      <c r="E46" s="40" t="n"/>
      <c r="F46" s="40" t="n"/>
      <c r="G46" s="40" t="n"/>
      <c r="H46" s="47" t="n"/>
      <c r="I46" s="47" t="n"/>
      <c r="J46" s="47" t="n"/>
      <c r="K46" s="49">
        <f>IF(B46="","",IF(J46&lt;&gt;"","مغلق",IF(AND(I46&lt;&gt;"",TODAY()&gt;I46),"مفتوح – متأخر","مفتوح")))</f>
        <v/>
      </c>
    </row>
    <row r="47">
      <c r="A47" s="39">
        <f>IF(B47="","","SNG-"&amp;TEXT(ROW()-4,"0000"))</f>
        <v/>
      </c>
      <c r="B47" s="50" t="n"/>
      <c r="C47" s="49">
        <f>IF(B47="","",IFERROR(INDEX('المشروعات'!$B$5:$B$304,MATCH(B47,'المشروعات'!$A$5:$A$304,0)),""))</f>
        <v/>
      </c>
      <c r="D47" s="40" t="n"/>
      <c r="E47" s="40" t="n"/>
      <c r="F47" s="40" t="n"/>
      <c r="G47" s="40" t="n"/>
      <c r="H47" s="47" t="n"/>
      <c r="I47" s="47" t="n"/>
      <c r="J47" s="47" t="n"/>
      <c r="K47" s="49">
        <f>IF(B47="","",IF(J47&lt;&gt;"","مغلق",IF(AND(I47&lt;&gt;"",TODAY()&gt;I47),"مفتوح – متأخر","مفتوح")))</f>
        <v/>
      </c>
    </row>
    <row r="48">
      <c r="A48" s="39">
        <f>IF(B48="","","SNG-"&amp;TEXT(ROW()-4,"0000"))</f>
        <v/>
      </c>
      <c r="B48" s="50" t="n"/>
      <c r="C48" s="49">
        <f>IF(B48="","",IFERROR(INDEX('المشروعات'!$B$5:$B$304,MATCH(B48,'المشروعات'!$A$5:$A$304,0)),""))</f>
        <v/>
      </c>
      <c r="D48" s="40" t="n"/>
      <c r="E48" s="40" t="n"/>
      <c r="F48" s="40" t="n"/>
      <c r="G48" s="40" t="n"/>
      <c r="H48" s="47" t="n"/>
      <c r="I48" s="47" t="n"/>
      <c r="J48" s="47" t="n"/>
      <c r="K48" s="49">
        <f>IF(B48="","",IF(J48&lt;&gt;"","مغلق",IF(AND(I48&lt;&gt;"",TODAY()&gt;I48),"مفتوح – متأخر","مفتوح")))</f>
        <v/>
      </c>
    </row>
    <row r="49">
      <c r="A49" s="39">
        <f>IF(B49="","","SNG-"&amp;TEXT(ROW()-4,"0000"))</f>
        <v/>
      </c>
      <c r="B49" s="50" t="n"/>
      <c r="C49" s="49">
        <f>IF(B49="","",IFERROR(INDEX('المشروعات'!$B$5:$B$304,MATCH(B49,'المشروعات'!$A$5:$A$304,0)),""))</f>
        <v/>
      </c>
      <c r="D49" s="40" t="n"/>
      <c r="E49" s="40" t="n"/>
      <c r="F49" s="40" t="n"/>
      <c r="G49" s="40" t="n"/>
      <c r="H49" s="47" t="n"/>
      <c r="I49" s="47" t="n"/>
      <c r="J49" s="47" t="n"/>
      <c r="K49" s="49">
        <f>IF(B49="","",IF(J49&lt;&gt;"","مغلق",IF(AND(I49&lt;&gt;"",TODAY()&gt;I49),"مفتوح – متأخر","مفتوح")))</f>
        <v/>
      </c>
    </row>
    <row r="50">
      <c r="A50" s="39">
        <f>IF(B50="","","SNG-"&amp;TEXT(ROW()-4,"0000"))</f>
        <v/>
      </c>
      <c r="B50" s="50" t="n"/>
      <c r="C50" s="49">
        <f>IF(B50="","",IFERROR(INDEX('المشروعات'!$B$5:$B$304,MATCH(B50,'المشروعات'!$A$5:$A$304,0)),""))</f>
        <v/>
      </c>
      <c r="D50" s="40" t="n"/>
      <c r="E50" s="40" t="n"/>
      <c r="F50" s="40" t="n"/>
      <c r="G50" s="40" t="n"/>
      <c r="H50" s="47" t="n"/>
      <c r="I50" s="47" t="n"/>
      <c r="J50" s="47" t="n"/>
      <c r="K50" s="49">
        <f>IF(B50="","",IF(J50&lt;&gt;"","مغلق",IF(AND(I50&lt;&gt;"",TODAY()&gt;I50),"مفتوح – متأخر","مفتوح")))</f>
        <v/>
      </c>
    </row>
    <row r="51">
      <c r="A51" s="39">
        <f>IF(B51="","","SNG-"&amp;TEXT(ROW()-4,"0000"))</f>
        <v/>
      </c>
      <c r="B51" s="50" t="n"/>
      <c r="C51" s="49">
        <f>IF(B51="","",IFERROR(INDEX('المشروعات'!$B$5:$B$304,MATCH(B51,'المشروعات'!$A$5:$A$304,0)),""))</f>
        <v/>
      </c>
      <c r="D51" s="40" t="n"/>
      <c r="E51" s="40" t="n"/>
      <c r="F51" s="40" t="n"/>
      <c r="G51" s="40" t="n"/>
      <c r="H51" s="47" t="n"/>
      <c r="I51" s="47" t="n"/>
      <c r="J51" s="47" t="n"/>
      <c r="K51" s="49">
        <f>IF(B51="","",IF(J51&lt;&gt;"","مغلق",IF(AND(I51&lt;&gt;"",TODAY()&gt;I51),"مفتوح – متأخر","مفتوح")))</f>
        <v/>
      </c>
    </row>
    <row r="52">
      <c r="A52" s="39">
        <f>IF(B52="","","SNG-"&amp;TEXT(ROW()-4,"0000"))</f>
        <v/>
      </c>
      <c r="B52" s="50" t="n"/>
      <c r="C52" s="49">
        <f>IF(B52="","",IFERROR(INDEX('المشروعات'!$B$5:$B$304,MATCH(B52,'المشروعات'!$A$5:$A$304,0)),""))</f>
        <v/>
      </c>
      <c r="D52" s="40" t="n"/>
      <c r="E52" s="40" t="n"/>
      <c r="F52" s="40" t="n"/>
      <c r="G52" s="40" t="n"/>
      <c r="H52" s="47" t="n"/>
      <c r="I52" s="47" t="n"/>
      <c r="J52" s="47" t="n"/>
      <c r="K52" s="49">
        <f>IF(B52="","",IF(J52&lt;&gt;"","مغلق",IF(AND(I52&lt;&gt;"",TODAY()&gt;I52),"مفتوح – متأخر","مفتوح")))</f>
        <v/>
      </c>
    </row>
    <row r="53">
      <c r="A53" s="39">
        <f>IF(B53="","","SNG-"&amp;TEXT(ROW()-4,"0000"))</f>
        <v/>
      </c>
      <c r="B53" s="50" t="n"/>
      <c r="C53" s="49">
        <f>IF(B53="","",IFERROR(INDEX('المشروعات'!$B$5:$B$304,MATCH(B53,'المشروعات'!$A$5:$A$304,0)),""))</f>
        <v/>
      </c>
      <c r="D53" s="40" t="n"/>
      <c r="E53" s="40" t="n"/>
      <c r="F53" s="40" t="n"/>
      <c r="G53" s="40" t="n"/>
      <c r="H53" s="47" t="n"/>
      <c r="I53" s="47" t="n"/>
      <c r="J53" s="47" t="n"/>
      <c r="K53" s="49">
        <f>IF(B53="","",IF(J53&lt;&gt;"","مغلق",IF(AND(I53&lt;&gt;"",TODAY()&gt;I53),"مفتوح – متأخر","مفتوح")))</f>
        <v/>
      </c>
    </row>
    <row r="54">
      <c r="A54" s="39">
        <f>IF(B54="","","SNG-"&amp;TEXT(ROW()-4,"0000"))</f>
        <v/>
      </c>
      <c r="B54" s="50" t="n"/>
      <c r="C54" s="49">
        <f>IF(B54="","",IFERROR(INDEX('المشروعات'!$B$5:$B$304,MATCH(B54,'المشروعات'!$A$5:$A$304,0)),""))</f>
        <v/>
      </c>
      <c r="D54" s="40" t="n"/>
      <c r="E54" s="40" t="n"/>
      <c r="F54" s="40" t="n"/>
      <c r="G54" s="40" t="n"/>
      <c r="H54" s="47" t="n"/>
      <c r="I54" s="47" t="n"/>
      <c r="J54" s="47" t="n"/>
      <c r="K54" s="49">
        <f>IF(B54="","",IF(J54&lt;&gt;"","مغلق",IF(AND(I54&lt;&gt;"",TODAY()&gt;I54),"مفتوح – متأخر","مفتوح")))</f>
        <v/>
      </c>
    </row>
    <row r="55">
      <c r="A55" s="39">
        <f>IF(B55="","","SNG-"&amp;TEXT(ROW()-4,"0000"))</f>
        <v/>
      </c>
      <c r="B55" s="50" t="n"/>
      <c r="C55" s="49">
        <f>IF(B55="","",IFERROR(INDEX('المشروعات'!$B$5:$B$304,MATCH(B55,'المشروعات'!$A$5:$A$304,0)),""))</f>
        <v/>
      </c>
      <c r="D55" s="40" t="n"/>
      <c r="E55" s="40" t="n"/>
      <c r="F55" s="40" t="n"/>
      <c r="G55" s="40" t="n"/>
      <c r="H55" s="47" t="n"/>
      <c r="I55" s="47" t="n"/>
      <c r="J55" s="47" t="n"/>
      <c r="K55" s="49">
        <f>IF(B55="","",IF(J55&lt;&gt;"","مغلق",IF(AND(I55&lt;&gt;"",TODAY()&gt;I55),"مفتوح – متأخر","مفتوح")))</f>
        <v/>
      </c>
    </row>
    <row r="56">
      <c r="A56" s="39">
        <f>IF(B56="","","SNG-"&amp;TEXT(ROW()-4,"0000"))</f>
        <v/>
      </c>
      <c r="B56" s="50" t="n"/>
      <c r="C56" s="49">
        <f>IF(B56="","",IFERROR(INDEX('المشروعات'!$B$5:$B$304,MATCH(B56,'المشروعات'!$A$5:$A$304,0)),""))</f>
        <v/>
      </c>
      <c r="D56" s="40" t="n"/>
      <c r="E56" s="40" t="n"/>
      <c r="F56" s="40" t="n"/>
      <c r="G56" s="40" t="n"/>
      <c r="H56" s="47" t="n"/>
      <c r="I56" s="47" t="n"/>
      <c r="J56" s="47" t="n"/>
      <c r="K56" s="49">
        <f>IF(B56="","",IF(J56&lt;&gt;"","مغلق",IF(AND(I56&lt;&gt;"",TODAY()&gt;I56),"مفتوح – متأخر","مفتوح")))</f>
        <v/>
      </c>
    </row>
    <row r="57">
      <c r="A57" s="39">
        <f>IF(B57="","","SNG-"&amp;TEXT(ROW()-4,"0000"))</f>
        <v/>
      </c>
      <c r="B57" s="50" t="n"/>
      <c r="C57" s="49">
        <f>IF(B57="","",IFERROR(INDEX('المشروعات'!$B$5:$B$304,MATCH(B57,'المشروعات'!$A$5:$A$304,0)),""))</f>
        <v/>
      </c>
      <c r="D57" s="40" t="n"/>
      <c r="E57" s="40" t="n"/>
      <c r="F57" s="40" t="n"/>
      <c r="G57" s="40" t="n"/>
      <c r="H57" s="47" t="n"/>
      <c r="I57" s="47" t="n"/>
      <c r="J57" s="47" t="n"/>
      <c r="K57" s="49">
        <f>IF(B57="","",IF(J57&lt;&gt;"","مغلق",IF(AND(I57&lt;&gt;"",TODAY()&gt;I57),"مفتوح – متأخر","مفتوح")))</f>
        <v/>
      </c>
    </row>
    <row r="58">
      <c r="A58" s="39">
        <f>IF(B58="","","SNG-"&amp;TEXT(ROW()-4,"0000"))</f>
        <v/>
      </c>
      <c r="B58" s="50" t="n"/>
      <c r="C58" s="49">
        <f>IF(B58="","",IFERROR(INDEX('المشروعات'!$B$5:$B$304,MATCH(B58,'المشروعات'!$A$5:$A$304,0)),""))</f>
        <v/>
      </c>
      <c r="D58" s="40" t="n"/>
      <c r="E58" s="40" t="n"/>
      <c r="F58" s="40" t="n"/>
      <c r="G58" s="40" t="n"/>
      <c r="H58" s="47" t="n"/>
      <c r="I58" s="47" t="n"/>
      <c r="J58" s="47" t="n"/>
      <c r="K58" s="49">
        <f>IF(B58="","",IF(J58&lt;&gt;"","مغلق",IF(AND(I58&lt;&gt;"",TODAY()&gt;I58),"مفتوح – متأخر","مفتوح")))</f>
        <v/>
      </c>
    </row>
    <row r="59">
      <c r="A59" s="39">
        <f>IF(B59="","","SNG-"&amp;TEXT(ROW()-4,"0000"))</f>
        <v/>
      </c>
      <c r="B59" s="50" t="n"/>
      <c r="C59" s="49">
        <f>IF(B59="","",IFERROR(INDEX('المشروعات'!$B$5:$B$304,MATCH(B59,'المشروعات'!$A$5:$A$304,0)),""))</f>
        <v/>
      </c>
      <c r="D59" s="40" t="n"/>
      <c r="E59" s="40" t="n"/>
      <c r="F59" s="40" t="n"/>
      <c r="G59" s="40" t="n"/>
      <c r="H59" s="47" t="n"/>
      <c r="I59" s="47" t="n"/>
      <c r="J59" s="47" t="n"/>
      <c r="K59" s="49">
        <f>IF(B59="","",IF(J59&lt;&gt;"","مغلق",IF(AND(I59&lt;&gt;"",TODAY()&gt;I59),"مفتوح – متأخر","مفتوح")))</f>
        <v/>
      </c>
    </row>
    <row r="60">
      <c r="A60" s="39">
        <f>IF(B60="","","SNG-"&amp;TEXT(ROW()-4,"0000"))</f>
        <v/>
      </c>
      <c r="B60" s="50" t="n"/>
      <c r="C60" s="49">
        <f>IF(B60="","",IFERROR(INDEX('المشروعات'!$B$5:$B$304,MATCH(B60,'المشروعات'!$A$5:$A$304,0)),""))</f>
        <v/>
      </c>
      <c r="D60" s="40" t="n"/>
      <c r="E60" s="40" t="n"/>
      <c r="F60" s="40" t="n"/>
      <c r="G60" s="40" t="n"/>
      <c r="H60" s="47" t="n"/>
      <c r="I60" s="47" t="n"/>
      <c r="J60" s="47" t="n"/>
      <c r="K60" s="49">
        <f>IF(B60="","",IF(J60&lt;&gt;"","مغلق",IF(AND(I60&lt;&gt;"",TODAY()&gt;I60),"مفتوح – متأخر","مفتوح")))</f>
        <v/>
      </c>
    </row>
    <row r="61">
      <c r="A61" s="39">
        <f>IF(B61="","","SNG-"&amp;TEXT(ROW()-4,"0000"))</f>
        <v/>
      </c>
      <c r="B61" s="50" t="n"/>
      <c r="C61" s="49">
        <f>IF(B61="","",IFERROR(INDEX('المشروعات'!$B$5:$B$304,MATCH(B61,'المشروعات'!$A$5:$A$304,0)),""))</f>
        <v/>
      </c>
      <c r="D61" s="40" t="n"/>
      <c r="E61" s="40" t="n"/>
      <c r="F61" s="40" t="n"/>
      <c r="G61" s="40" t="n"/>
      <c r="H61" s="47" t="n"/>
      <c r="I61" s="47" t="n"/>
      <c r="J61" s="47" t="n"/>
      <c r="K61" s="49">
        <f>IF(B61="","",IF(J61&lt;&gt;"","مغلق",IF(AND(I61&lt;&gt;"",TODAY()&gt;I61),"مفتوح – متأخر","مفتوح")))</f>
        <v/>
      </c>
    </row>
    <row r="62">
      <c r="A62" s="39">
        <f>IF(B62="","","SNG-"&amp;TEXT(ROW()-4,"0000"))</f>
        <v/>
      </c>
      <c r="B62" s="50" t="n"/>
      <c r="C62" s="49">
        <f>IF(B62="","",IFERROR(INDEX('المشروعات'!$B$5:$B$304,MATCH(B62,'المشروعات'!$A$5:$A$304,0)),""))</f>
        <v/>
      </c>
      <c r="D62" s="40" t="n"/>
      <c r="E62" s="40" t="n"/>
      <c r="F62" s="40" t="n"/>
      <c r="G62" s="40" t="n"/>
      <c r="H62" s="47" t="n"/>
      <c r="I62" s="47" t="n"/>
      <c r="J62" s="47" t="n"/>
      <c r="K62" s="49">
        <f>IF(B62="","",IF(J62&lt;&gt;"","مغلق",IF(AND(I62&lt;&gt;"",TODAY()&gt;I62),"مفتوح – متأخر","مفتوح")))</f>
        <v/>
      </c>
    </row>
    <row r="63">
      <c r="A63" s="39">
        <f>IF(B63="","","SNG-"&amp;TEXT(ROW()-4,"0000"))</f>
        <v/>
      </c>
      <c r="B63" s="50" t="n"/>
      <c r="C63" s="49">
        <f>IF(B63="","",IFERROR(INDEX('المشروعات'!$B$5:$B$304,MATCH(B63,'المشروعات'!$A$5:$A$304,0)),""))</f>
        <v/>
      </c>
      <c r="D63" s="40" t="n"/>
      <c r="E63" s="40" t="n"/>
      <c r="F63" s="40" t="n"/>
      <c r="G63" s="40" t="n"/>
      <c r="H63" s="47" t="n"/>
      <c r="I63" s="47" t="n"/>
      <c r="J63" s="47" t="n"/>
      <c r="K63" s="49">
        <f>IF(B63="","",IF(J63&lt;&gt;"","مغلق",IF(AND(I63&lt;&gt;"",TODAY()&gt;I63),"مفتوح – متأخر","مفتوح")))</f>
        <v/>
      </c>
    </row>
    <row r="64">
      <c r="A64" s="39">
        <f>IF(B64="","","SNG-"&amp;TEXT(ROW()-4,"0000"))</f>
        <v/>
      </c>
      <c r="B64" s="50" t="n"/>
      <c r="C64" s="49">
        <f>IF(B64="","",IFERROR(INDEX('المشروعات'!$B$5:$B$304,MATCH(B64,'المشروعات'!$A$5:$A$304,0)),""))</f>
        <v/>
      </c>
      <c r="D64" s="40" t="n"/>
      <c r="E64" s="40" t="n"/>
      <c r="F64" s="40" t="n"/>
      <c r="G64" s="40" t="n"/>
      <c r="H64" s="47" t="n"/>
      <c r="I64" s="47" t="n"/>
      <c r="J64" s="47" t="n"/>
      <c r="K64" s="49">
        <f>IF(B64="","",IF(J64&lt;&gt;"","مغلق",IF(AND(I64&lt;&gt;"",TODAY()&gt;I64),"مفتوح – متأخر","مفتوح")))</f>
        <v/>
      </c>
    </row>
    <row r="65">
      <c r="A65" s="39">
        <f>IF(B65="","","SNG-"&amp;TEXT(ROW()-4,"0000"))</f>
        <v/>
      </c>
      <c r="B65" s="50" t="n"/>
      <c r="C65" s="49">
        <f>IF(B65="","",IFERROR(INDEX('المشروعات'!$B$5:$B$304,MATCH(B65,'المشروعات'!$A$5:$A$304,0)),""))</f>
        <v/>
      </c>
      <c r="D65" s="40" t="n"/>
      <c r="E65" s="40" t="n"/>
      <c r="F65" s="40" t="n"/>
      <c r="G65" s="40" t="n"/>
      <c r="H65" s="47" t="n"/>
      <c r="I65" s="47" t="n"/>
      <c r="J65" s="47" t="n"/>
      <c r="K65" s="49">
        <f>IF(B65="","",IF(J65&lt;&gt;"","مغلق",IF(AND(I65&lt;&gt;"",TODAY()&gt;I65),"مفتوح – متأخر","مفتوح")))</f>
        <v/>
      </c>
    </row>
    <row r="66">
      <c r="A66" s="39">
        <f>IF(B66="","","SNG-"&amp;TEXT(ROW()-4,"0000"))</f>
        <v/>
      </c>
      <c r="B66" s="50" t="n"/>
      <c r="C66" s="49">
        <f>IF(B66="","",IFERROR(INDEX('المشروعات'!$B$5:$B$304,MATCH(B66,'المشروعات'!$A$5:$A$304,0)),""))</f>
        <v/>
      </c>
      <c r="D66" s="40" t="n"/>
      <c r="E66" s="40" t="n"/>
      <c r="F66" s="40" t="n"/>
      <c r="G66" s="40" t="n"/>
      <c r="H66" s="47" t="n"/>
      <c r="I66" s="47" t="n"/>
      <c r="J66" s="47" t="n"/>
      <c r="K66" s="49">
        <f>IF(B66="","",IF(J66&lt;&gt;"","مغلق",IF(AND(I66&lt;&gt;"",TODAY()&gt;I66),"مفتوح – متأخر","مفتوح")))</f>
        <v/>
      </c>
    </row>
    <row r="67">
      <c r="A67" s="39">
        <f>IF(B67="","","SNG-"&amp;TEXT(ROW()-4,"0000"))</f>
        <v/>
      </c>
      <c r="B67" s="50" t="n"/>
      <c r="C67" s="49">
        <f>IF(B67="","",IFERROR(INDEX('المشروعات'!$B$5:$B$304,MATCH(B67,'المشروعات'!$A$5:$A$304,0)),""))</f>
        <v/>
      </c>
      <c r="D67" s="40" t="n"/>
      <c r="E67" s="40" t="n"/>
      <c r="F67" s="40" t="n"/>
      <c r="G67" s="40" t="n"/>
      <c r="H67" s="47" t="n"/>
      <c r="I67" s="47" t="n"/>
      <c r="J67" s="47" t="n"/>
      <c r="K67" s="49">
        <f>IF(B67="","",IF(J67&lt;&gt;"","مغلق",IF(AND(I67&lt;&gt;"",TODAY()&gt;I67),"مفتوح – متأخر","مفتوح")))</f>
        <v/>
      </c>
    </row>
    <row r="68">
      <c r="A68" s="39">
        <f>IF(B68="","","SNG-"&amp;TEXT(ROW()-4,"0000"))</f>
        <v/>
      </c>
      <c r="B68" s="50" t="n"/>
      <c r="C68" s="49">
        <f>IF(B68="","",IFERROR(INDEX('المشروعات'!$B$5:$B$304,MATCH(B68,'المشروعات'!$A$5:$A$304,0)),""))</f>
        <v/>
      </c>
      <c r="D68" s="40" t="n"/>
      <c r="E68" s="40" t="n"/>
      <c r="F68" s="40" t="n"/>
      <c r="G68" s="40" t="n"/>
      <c r="H68" s="47" t="n"/>
      <c r="I68" s="47" t="n"/>
      <c r="J68" s="47" t="n"/>
      <c r="K68" s="49">
        <f>IF(B68="","",IF(J68&lt;&gt;"","مغلق",IF(AND(I68&lt;&gt;"",TODAY()&gt;I68),"مفتوح – متأخر","مفتوح")))</f>
        <v/>
      </c>
    </row>
    <row r="69">
      <c r="A69" s="39">
        <f>IF(B69="","","SNG-"&amp;TEXT(ROW()-4,"0000"))</f>
        <v/>
      </c>
      <c r="B69" s="50" t="n"/>
      <c r="C69" s="49">
        <f>IF(B69="","",IFERROR(INDEX('المشروعات'!$B$5:$B$304,MATCH(B69,'المشروعات'!$A$5:$A$304,0)),""))</f>
        <v/>
      </c>
      <c r="D69" s="40" t="n"/>
      <c r="E69" s="40" t="n"/>
      <c r="F69" s="40" t="n"/>
      <c r="G69" s="40" t="n"/>
      <c r="H69" s="47" t="n"/>
      <c r="I69" s="47" t="n"/>
      <c r="J69" s="47" t="n"/>
      <c r="K69" s="49">
        <f>IF(B69="","",IF(J69&lt;&gt;"","مغلق",IF(AND(I69&lt;&gt;"",TODAY()&gt;I69),"مفتوح – متأخر","مفتوح")))</f>
        <v/>
      </c>
    </row>
    <row r="70">
      <c r="A70" s="39">
        <f>IF(B70="","","SNG-"&amp;TEXT(ROW()-4,"0000"))</f>
        <v/>
      </c>
      <c r="B70" s="50" t="n"/>
      <c r="C70" s="49">
        <f>IF(B70="","",IFERROR(INDEX('المشروعات'!$B$5:$B$304,MATCH(B70,'المشروعات'!$A$5:$A$304,0)),""))</f>
        <v/>
      </c>
      <c r="D70" s="40" t="n"/>
      <c r="E70" s="40" t="n"/>
      <c r="F70" s="40" t="n"/>
      <c r="G70" s="40" t="n"/>
      <c r="H70" s="47" t="n"/>
      <c r="I70" s="47" t="n"/>
      <c r="J70" s="47" t="n"/>
      <c r="K70" s="49">
        <f>IF(B70="","",IF(J70&lt;&gt;"","مغلق",IF(AND(I70&lt;&gt;"",TODAY()&gt;I70),"مفتوح – متأخر","مفتوح")))</f>
        <v/>
      </c>
    </row>
    <row r="71">
      <c r="A71" s="39">
        <f>IF(B71="","","SNG-"&amp;TEXT(ROW()-4,"0000"))</f>
        <v/>
      </c>
      <c r="B71" s="50" t="n"/>
      <c r="C71" s="49">
        <f>IF(B71="","",IFERROR(INDEX('المشروعات'!$B$5:$B$304,MATCH(B71,'المشروعات'!$A$5:$A$304,0)),""))</f>
        <v/>
      </c>
      <c r="D71" s="40" t="n"/>
      <c r="E71" s="40" t="n"/>
      <c r="F71" s="40" t="n"/>
      <c r="G71" s="40" t="n"/>
      <c r="H71" s="47" t="n"/>
      <c r="I71" s="47" t="n"/>
      <c r="J71" s="47" t="n"/>
      <c r="K71" s="49">
        <f>IF(B71="","",IF(J71&lt;&gt;"","مغلق",IF(AND(I71&lt;&gt;"",TODAY()&gt;I71),"مفتوح – متأخر","مفتوح")))</f>
        <v/>
      </c>
    </row>
    <row r="72">
      <c r="A72" s="39">
        <f>IF(B72="","","SNG-"&amp;TEXT(ROW()-4,"0000"))</f>
        <v/>
      </c>
      <c r="B72" s="50" t="n"/>
      <c r="C72" s="49">
        <f>IF(B72="","",IFERROR(INDEX('المشروعات'!$B$5:$B$304,MATCH(B72,'المشروعات'!$A$5:$A$304,0)),""))</f>
        <v/>
      </c>
      <c r="D72" s="40" t="n"/>
      <c r="E72" s="40" t="n"/>
      <c r="F72" s="40" t="n"/>
      <c r="G72" s="40" t="n"/>
      <c r="H72" s="47" t="n"/>
      <c r="I72" s="47" t="n"/>
      <c r="J72" s="47" t="n"/>
      <c r="K72" s="49">
        <f>IF(B72="","",IF(J72&lt;&gt;"","مغلق",IF(AND(I72&lt;&gt;"",TODAY()&gt;I72),"مفتوح – متأخر","مفتوح")))</f>
        <v/>
      </c>
    </row>
    <row r="73">
      <c r="A73" s="39">
        <f>IF(B73="","","SNG-"&amp;TEXT(ROW()-4,"0000"))</f>
        <v/>
      </c>
      <c r="B73" s="50" t="n"/>
      <c r="C73" s="49">
        <f>IF(B73="","",IFERROR(INDEX('المشروعات'!$B$5:$B$304,MATCH(B73,'المشروعات'!$A$5:$A$304,0)),""))</f>
        <v/>
      </c>
      <c r="D73" s="40" t="n"/>
      <c r="E73" s="40" t="n"/>
      <c r="F73" s="40" t="n"/>
      <c r="G73" s="40" t="n"/>
      <c r="H73" s="47" t="n"/>
      <c r="I73" s="47" t="n"/>
      <c r="J73" s="47" t="n"/>
      <c r="K73" s="49">
        <f>IF(B73="","",IF(J73&lt;&gt;"","مغلق",IF(AND(I73&lt;&gt;"",TODAY()&gt;I73),"مفتوح – متأخر","مفتوح")))</f>
        <v/>
      </c>
    </row>
    <row r="74">
      <c r="A74" s="39">
        <f>IF(B74="","","SNG-"&amp;TEXT(ROW()-4,"0000"))</f>
        <v/>
      </c>
      <c r="B74" s="50" t="n"/>
      <c r="C74" s="49">
        <f>IF(B74="","",IFERROR(INDEX('المشروعات'!$B$5:$B$304,MATCH(B74,'المشروعات'!$A$5:$A$304,0)),""))</f>
        <v/>
      </c>
      <c r="D74" s="40" t="n"/>
      <c r="E74" s="40" t="n"/>
      <c r="F74" s="40" t="n"/>
      <c r="G74" s="40" t="n"/>
      <c r="H74" s="47" t="n"/>
      <c r="I74" s="47" t="n"/>
      <c r="J74" s="47" t="n"/>
      <c r="K74" s="49">
        <f>IF(B74="","",IF(J74&lt;&gt;"","مغلق",IF(AND(I74&lt;&gt;"",TODAY()&gt;I74),"مفتوح – متأخر","مفتوح")))</f>
        <v/>
      </c>
    </row>
    <row r="75">
      <c r="A75" s="39">
        <f>IF(B75="","","SNG-"&amp;TEXT(ROW()-4,"0000"))</f>
        <v/>
      </c>
      <c r="B75" s="50" t="n"/>
      <c r="C75" s="49">
        <f>IF(B75="","",IFERROR(INDEX('المشروعات'!$B$5:$B$304,MATCH(B75,'المشروعات'!$A$5:$A$304,0)),""))</f>
        <v/>
      </c>
      <c r="D75" s="40" t="n"/>
      <c r="E75" s="40" t="n"/>
      <c r="F75" s="40" t="n"/>
      <c r="G75" s="40" t="n"/>
      <c r="H75" s="47" t="n"/>
      <c r="I75" s="47" t="n"/>
      <c r="J75" s="47" t="n"/>
      <c r="K75" s="49">
        <f>IF(B75="","",IF(J75&lt;&gt;"","مغلق",IF(AND(I75&lt;&gt;"",TODAY()&gt;I75),"مفتوح – متأخر","مفتوح")))</f>
        <v/>
      </c>
    </row>
    <row r="76">
      <c r="A76" s="39">
        <f>IF(B76="","","SNG-"&amp;TEXT(ROW()-4,"0000"))</f>
        <v/>
      </c>
      <c r="B76" s="50" t="n"/>
      <c r="C76" s="49">
        <f>IF(B76="","",IFERROR(INDEX('المشروعات'!$B$5:$B$304,MATCH(B76,'المشروعات'!$A$5:$A$304,0)),""))</f>
        <v/>
      </c>
      <c r="D76" s="40" t="n"/>
      <c r="E76" s="40" t="n"/>
      <c r="F76" s="40" t="n"/>
      <c r="G76" s="40" t="n"/>
      <c r="H76" s="47" t="n"/>
      <c r="I76" s="47" t="n"/>
      <c r="J76" s="47" t="n"/>
      <c r="K76" s="49">
        <f>IF(B76="","",IF(J76&lt;&gt;"","مغلق",IF(AND(I76&lt;&gt;"",TODAY()&gt;I76),"مفتوح – متأخر","مفتوح")))</f>
        <v/>
      </c>
    </row>
    <row r="77">
      <c r="A77" s="39">
        <f>IF(B77="","","SNG-"&amp;TEXT(ROW()-4,"0000"))</f>
        <v/>
      </c>
      <c r="B77" s="50" t="n"/>
      <c r="C77" s="49">
        <f>IF(B77="","",IFERROR(INDEX('المشروعات'!$B$5:$B$304,MATCH(B77,'المشروعات'!$A$5:$A$304,0)),""))</f>
        <v/>
      </c>
      <c r="D77" s="40" t="n"/>
      <c r="E77" s="40" t="n"/>
      <c r="F77" s="40" t="n"/>
      <c r="G77" s="40" t="n"/>
      <c r="H77" s="47" t="n"/>
      <c r="I77" s="47" t="n"/>
      <c r="J77" s="47" t="n"/>
      <c r="K77" s="49">
        <f>IF(B77="","",IF(J77&lt;&gt;"","مغلق",IF(AND(I77&lt;&gt;"",TODAY()&gt;I77),"مفتوح – متأخر","مفتوح")))</f>
        <v/>
      </c>
    </row>
    <row r="78">
      <c r="A78" s="39">
        <f>IF(B78="","","SNG-"&amp;TEXT(ROW()-4,"0000"))</f>
        <v/>
      </c>
      <c r="B78" s="50" t="n"/>
      <c r="C78" s="49">
        <f>IF(B78="","",IFERROR(INDEX('المشروعات'!$B$5:$B$304,MATCH(B78,'المشروعات'!$A$5:$A$304,0)),""))</f>
        <v/>
      </c>
      <c r="D78" s="40" t="n"/>
      <c r="E78" s="40" t="n"/>
      <c r="F78" s="40" t="n"/>
      <c r="G78" s="40" t="n"/>
      <c r="H78" s="47" t="n"/>
      <c r="I78" s="47" t="n"/>
      <c r="J78" s="47" t="n"/>
      <c r="K78" s="49">
        <f>IF(B78="","",IF(J78&lt;&gt;"","مغلق",IF(AND(I78&lt;&gt;"",TODAY()&gt;I78),"مفتوح – متأخر","مفتوح")))</f>
        <v/>
      </c>
    </row>
    <row r="79">
      <c r="A79" s="39">
        <f>IF(B79="","","SNG-"&amp;TEXT(ROW()-4,"0000"))</f>
        <v/>
      </c>
      <c r="B79" s="50" t="n"/>
      <c r="C79" s="49">
        <f>IF(B79="","",IFERROR(INDEX('المشروعات'!$B$5:$B$304,MATCH(B79,'المشروعات'!$A$5:$A$304,0)),""))</f>
        <v/>
      </c>
      <c r="D79" s="40" t="n"/>
      <c r="E79" s="40" t="n"/>
      <c r="F79" s="40" t="n"/>
      <c r="G79" s="40" t="n"/>
      <c r="H79" s="47" t="n"/>
      <c r="I79" s="47" t="n"/>
      <c r="J79" s="47" t="n"/>
      <c r="K79" s="49">
        <f>IF(B79="","",IF(J79&lt;&gt;"","مغلق",IF(AND(I79&lt;&gt;"",TODAY()&gt;I79),"مفتوح – متأخر","مفتوح")))</f>
        <v/>
      </c>
    </row>
    <row r="80">
      <c r="A80" s="39">
        <f>IF(B80="","","SNG-"&amp;TEXT(ROW()-4,"0000"))</f>
        <v/>
      </c>
      <c r="B80" s="50" t="n"/>
      <c r="C80" s="49">
        <f>IF(B80="","",IFERROR(INDEX('المشروعات'!$B$5:$B$304,MATCH(B80,'المشروعات'!$A$5:$A$304,0)),""))</f>
        <v/>
      </c>
      <c r="D80" s="40" t="n"/>
      <c r="E80" s="40" t="n"/>
      <c r="F80" s="40" t="n"/>
      <c r="G80" s="40" t="n"/>
      <c r="H80" s="47" t="n"/>
      <c r="I80" s="47" t="n"/>
      <c r="J80" s="47" t="n"/>
      <c r="K80" s="49">
        <f>IF(B80="","",IF(J80&lt;&gt;"","مغلق",IF(AND(I80&lt;&gt;"",TODAY()&gt;I80),"مفتوح – متأخر","مفتوح")))</f>
        <v/>
      </c>
    </row>
    <row r="81">
      <c r="A81" s="39">
        <f>IF(B81="","","SNG-"&amp;TEXT(ROW()-4,"0000"))</f>
        <v/>
      </c>
      <c r="B81" s="50" t="n"/>
      <c r="C81" s="49">
        <f>IF(B81="","",IFERROR(INDEX('المشروعات'!$B$5:$B$304,MATCH(B81,'المشروعات'!$A$5:$A$304,0)),""))</f>
        <v/>
      </c>
      <c r="D81" s="40" t="n"/>
      <c r="E81" s="40" t="n"/>
      <c r="F81" s="40" t="n"/>
      <c r="G81" s="40" t="n"/>
      <c r="H81" s="47" t="n"/>
      <c r="I81" s="47" t="n"/>
      <c r="J81" s="47" t="n"/>
      <c r="K81" s="49">
        <f>IF(B81="","",IF(J81&lt;&gt;"","مغلق",IF(AND(I81&lt;&gt;"",TODAY()&gt;I81),"مفتوح – متأخر","مفتوح")))</f>
        <v/>
      </c>
    </row>
    <row r="82">
      <c r="A82" s="39">
        <f>IF(B82="","","SNG-"&amp;TEXT(ROW()-4,"0000"))</f>
        <v/>
      </c>
      <c r="B82" s="50" t="n"/>
      <c r="C82" s="49">
        <f>IF(B82="","",IFERROR(INDEX('المشروعات'!$B$5:$B$304,MATCH(B82,'المشروعات'!$A$5:$A$304,0)),""))</f>
        <v/>
      </c>
      <c r="D82" s="40" t="n"/>
      <c r="E82" s="40" t="n"/>
      <c r="F82" s="40" t="n"/>
      <c r="G82" s="40" t="n"/>
      <c r="H82" s="47" t="n"/>
      <c r="I82" s="47" t="n"/>
      <c r="J82" s="47" t="n"/>
      <c r="K82" s="49">
        <f>IF(B82="","",IF(J82&lt;&gt;"","مغلق",IF(AND(I82&lt;&gt;"",TODAY()&gt;I82),"مفتوح – متأخر","مفتوح")))</f>
        <v/>
      </c>
    </row>
    <row r="83">
      <c r="A83" s="39">
        <f>IF(B83="","","SNG-"&amp;TEXT(ROW()-4,"0000"))</f>
        <v/>
      </c>
      <c r="B83" s="50" t="n"/>
      <c r="C83" s="49">
        <f>IF(B83="","",IFERROR(INDEX('المشروعات'!$B$5:$B$304,MATCH(B83,'المشروعات'!$A$5:$A$304,0)),""))</f>
        <v/>
      </c>
      <c r="D83" s="40" t="n"/>
      <c r="E83" s="40" t="n"/>
      <c r="F83" s="40" t="n"/>
      <c r="G83" s="40" t="n"/>
      <c r="H83" s="47" t="n"/>
      <c r="I83" s="47" t="n"/>
      <c r="J83" s="47" t="n"/>
      <c r="K83" s="49">
        <f>IF(B83="","",IF(J83&lt;&gt;"","مغلق",IF(AND(I83&lt;&gt;"",TODAY()&gt;I83),"مفتوح – متأخر","مفتوح")))</f>
        <v/>
      </c>
    </row>
    <row r="84">
      <c r="A84" s="39">
        <f>IF(B84="","","SNG-"&amp;TEXT(ROW()-4,"0000"))</f>
        <v/>
      </c>
      <c r="B84" s="50" t="n"/>
      <c r="C84" s="49">
        <f>IF(B84="","",IFERROR(INDEX('المشروعات'!$B$5:$B$304,MATCH(B84,'المشروعات'!$A$5:$A$304,0)),""))</f>
        <v/>
      </c>
      <c r="D84" s="40" t="n"/>
      <c r="E84" s="40" t="n"/>
      <c r="F84" s="40" t="n"/>
      <c r="G84" s="40" t="n"/>
      <c r="H84" s="47" t="n"/>
      <c r="I84" s="47" t="n"/>
      <c r="J84" s="47" t="n"/>
      <c r="K84" s="49">
        <f>IF(B84="","",IF(J84&lt;&gt;"","مغلق",IF(AND(I84&lt;&gt;"",TODAY()&gt;I84),"مفتوح – متأخر","مفتوح")))</f>
        <v/>
      </c>
    </row>
    <row r="85">
      <c r="A85" s="39">
        <f>IF(B85="","","SNG-"&amp;TEXT(ROW()-4,"0000"))</f>
        <v/>
      </c>
      <c r="B85" s="50" t="n"/>
      <c r="C85" s="49">
        <f>IF(B85="","",IFERROR(INDEX('المشروعات'!$B$5:$B$304,MATCH(B85,'المشروعات'!$A$5:$A$304,0)),""))</f>
        <v/>
      </c>
      <c r="D85" s="40" t="n"/>
      <c r="E85" s="40" t="n"/>
      <c r="F85" s="40" t="n"/>
      <c r="G85" s="40" t="n"/>
      <c r="H85" s="47" t="n"/>
      <c r="I85" s="47" t="n"/>
      <c r="J85" s="47" t="n"/>
      <c r="K85" s="49">
        <f>IF(B85="","",IF(J85&lt;&gt;"","مغلق",IF(AND(I85&lt;&gt;"",TODAY()&gt;I85),"مفتوح – متأخر","مفتوح")))</f>
        <v/>
      </c>
    </row>
    <row r="86">
      <c r="A86" s="39">
        <f>IF(B86="","","SNG-"&amp;TEXT(ROW()-4,"0000"))</f>
        <v/>
      </c>
      <c r="B86" s="50" t="n"/>
      <c r="C86" s="49">
        <f>IF(B86="","",IFERROR(INDEX('المشروعات'!$B$5:$B$304,MATCH(B86,'المشروعات'!$A$5:$A$304,0)),""))</f>
        <v/>
      </c>
      <c r="D86" s="40" t="n"/>
      <c r="E86" s="40" t="n"/>
      <c r="F86" s="40" t="n"/>
      <c r="G86" s="40" t="n"/>
      <c r="H86" s="47" t="n"/>
      <c r="I86" s="47" t="n"/>
      <c r="J86" s="47" t="n"/>
      <c r="K86" s="49">
        <f>IF(B86="","",IF(J86&lt;&gt;"","مغلق",IF(AND(I86&lt;&gt;"",TODAY()&gt;I86),"مفتوح – متأخر","مفتوح")))</f>
        <v/>
      </c>
    </row>
    <row r="87">
      <c r="A87" s="39">
        <f>IF(B87="","","SNG-"&amp;TEXT(ROW()-4,"0000"))</f>
        <v/>
      </c>
      <c r="B87" s="50" t="n"/>
      <c r="C87" s="49">
        <f>IF(B87="","",IFERROR(INDEX('المشروعات'!$B$5:$B$304,MATCH(B87,'المشروعات'!$A$5:$A$304,0)),""))</f>
        <v/>
      </c>
      <c r="D87" s="40" t="n"/>
      <c r="E87" s="40" t="n"/>
      <c r="F87" s="40" t="n"/>
      <c r="G87" s="40" t="n"/>
      <c r="H87" s="47" t="n"/>
      <c r="I87" s="47" t="n"/>
      <c r="J87" s="47" t="n"/>
      <c r="K87" s="49">
        <f>IF(B87="","",IF(J87&lt;&gt;"","مغلق",IF(AND(I87&lt;&gt;"",TODAY()&gt;I87),"مفتوح – متأخر","مفتوح")))</f>
        <v/>
      </c>
    </row>
    <row r="88">
      <c r="A88" s="39">
        <f>IF(B88="","","SNG-"&amp;TEXT(ROW()-4,"0000"))</f>
        <v/>
      </c>
      <c r="B88" s="50" t="n"/>
      <c r="C88" s="49">
        <f>IF(B88="","",IFERROR(INDEX('المشروعات'!$B$5:$B$304,MATCH(B88,'المشروعات'!$A$5:$A$304,0)),""))</f>
        <v/>
      </c>
      <c r="D88" s="40" t="n"/>
      <c r="E88" s="40" t="n"/>
      <c r="F88" s="40" t="n"/>
      <c r="G88" s="40" t="n"/>
      <c r="H88" s="47" t="n"/>
      <c r="I88" s="47" t="n"/>
      <c r="J88" s="47" t="n"/>
      <c r="K88" s="49">
        <f>IF(B88="","",IF(J88&lt;&gt;"","مغلق",IF(AND(I88&lt;&gt;"",TODAY()&gt;I88),"مفتوح – متأخر","مفتوح")))</f>
        <v/>
      </c>
    </row>
    <row r="89">
      <c r="A89" s="39">
        <f>IF(B89="","","SNG-"&amp;TEXT(ROW()-4,"0000"))</f>
        <v/>
      </c>
      <c r="B89" s="50" t="n"/>
      <c r="C89" s="49">
        <f>IF(B89="","",IFERROR(INDEX('المشروعات'!$B$5:$B$304,MATCH(B89,'المشروعات'!$A$5:$A$304,0)),""))</f>
        <v/>
      </c>
      <c r="D89" s="40" t="n"/>
      <c r="E89" s="40" t="n"/>
      <c r="F89" s="40" t="n"/>
      <c r="G89" s="40" t="n"/>
      <c r="H89" s="47" t="n"/>
      <c r="I89" s="47" t="n"/>
      <c r="J89" s="47" t="n"/>
      <c r="K89" s="49">
        <f>IF(B89="","",IF(J89&lt;&gt;"","مغلق",IF(AND(I89&lt;&gt;"",TODAY()&gt;I89),"مفتوح – متأخر","مفتوح")))</f>
        <v/>
      </c>
    </row>
    <row r="90">
      <c r="A90" s="39">
        <f>IF(B90="","","SNG-"&amp;TEXT(ROW()-4,"0000"))</f>
        <v/>
      </c>
      <c r="B90" s="50" t="n"/>
      <c r="C90" s="49">
        <f>IF(B90="","",IFERROR(INDEX('المشروعات'!$B$5:$B$304,MATCH(B90,'المشروعات'!$A$5:$A$304,0)),""))</f>
        <v/>
      </c>
      <c r="D90" s="40" t="n"/>
      <c r="E90" s="40" t="n"/>
      <c r="F90" s="40" t="n"/>
      <c r="G90" s="40" t="n"/>
      <c r="H90" s="47" t="n"/>
      <c r="I90" s="47" t="n"/>
      <c r="J90" s="47" t="n"/>
      <c r="K90" s="49">
        <f>IF(B90="","",IF(J90&lt;&gt;"","مغلق",IF(AND(I90&lt;&gt;"",TODAY()&gt;I90),"مفتوح – متأخر","مفتوح")))</f>
        <v/>
      </c>
    </row>
    <row r="91">
      <c r="A91" s="39">
        <f>IF(B91="","","SNG-"&amp;TEXT(ROW()-4,"0000"))</f>
        <v/>
      </c>
      <c r="B91" s="50" t="n"/>
      <c r="C91" s="49">
        <f>IF(B91="","",IFERROR(INDEX('المشروعات'!$B$5:$B$304,MATCH(B91,'المشروعات'!$A$5:$A$304,0)),""))</f>
        <v/>
      </c>
      <c r="D91" s="40" t="n"/>
      <c r="E91" s="40" t="n"/>
      <c r="F91" s="40" t="n"/>
      <c r="G91" s="40" t="n"/>
      <c r="H91" s="47" t="n"/>
      <c r="I91" s="47" t="n"/>
      <c r="J91" s="47" t="n"/>
      <c r="K91" s="49">
        <f>IF(B91="","",IF(J91&lt;&gt;"","مغلق",IF(AND(I91&lt;&gt;"",TODAY()&gt;I91),"مفتوح – متأخر","مفتوح")))</f>
        <v/>
      </c>
    </row>
    <row r="92">
      <c r="A92" s="39">
        <f>IF(B92="","","SNG-"&amp;TEXT(ROW()-4,"0000"))</f>
        <v/>
      </c>
      <c r="B92" s="50" t="n"/>
      <c r="C92" s="49">
        <f>IF(B92="","",IFERROR(INDEX('المشروعات'!$B$5:$B$304,MATCH(B92,'المشروعات'!$A$5:$A$304,0)),""))</f>
        <v/>
      </c>
      <c r="D92" s="40" t="n"/>
      <c r="E92" s="40" t="n"/>
      <c r="F92" s="40" t="n"/>
      <c r="G92" s="40" t="n"/>
      <c r="H92" s="47" t="n"/>
      <c r="I92" s="47" t="n"/>
      <c r="J92" s="47" t="n"/>
      <c r="K92" s="49">
        <f>IF(B92="","",IF(J92&lt;&gt;"","مغلق",IF(AND(I92&lt;&gt;"",TODAY()&gt;I92),"مفتوح – متأخر","مفتوح")))</f>
        <v/>
      </c>
    </row>
    <row r="93">
      <c r="A93" s="39">
        <f>IF(B93="","","SNG-"&amp;TEXT(ROW()-4,"0000"))</f>
        <v/>
      </c>
      <c r="B93" s="50" t="n"/>
      <c r="C93" s="49">
        <f>IF(B93="","",IFERROR(INDEX('المشروعات'!$B$5:$B$304,MATCH(B93,'المشروعات'!$A$5:$A$304,0)),""))</f>
        <v/>
      </c>
      <c r="D93" s="40" t="n"/>
      <c r="E93" s="40" t="n"/>
      <c r="F93" s="40" t="n"/>
      <c r="G93" s="40" t="n"/>
      <c r="H93" s="47" t="n"/>
      <c r="I93" s="47" t="n"/>
      <c r="J93" s="47" t="n"/>
      <c r="K93" s="49">
        <f>IF(B93="","",IF(J93&lt;&gt;"","مغلق",IF(AND(I93&lt;&gt;"",TODAY()&gt;I93),"مفتوح – متأخر","مفتوح")))</f>
        <v/>
      </c>
    </row>
    <row r="94">
      <c r="A94" s="39">
        <f>IF(B94="","","SNG-"&amp;TEXT(ROW()-4,"0000"))</f>
        <v/>
      </c>
      <c r="B94" s="50" t="n"/>
      <c r="C94" s="49">
        <f>IF(B94="","",IFERROR(INDEX('المشروعات'!$B$5:$B$304,MATCH(B94,'المشروعات'!$A$5:$A$304,0)),""))</f>
        <v/>
      </c>
      <c r="D94" s="40" t="n"/>
      <c r="E94" s="40" t="n"/>
      <c r="F94" s="40" t="n"/>
      <c r="G94" s="40" t="n"/>
      <c r="H94" s="47" t="n"/>
      <c r="I94" s="47" t="n"/>
      <c r="J94" s="47" t="n"/>
      <c r="K94" s="49">
        <f>IF(B94="","",IF(J94&lt;&gt;"","مغلق",IF(AND(I94&lt;&gt;"",TODAY()&gt;I94),"مفتوح – متأخر","مفتوح")))</f>
        <v/>
      </c>
    </row>
    <row r="95">
      <c r="A95" s="39">
        <f>IF(B95="","","SNG-"&amp;TEXT(ROW()-4,"0000"))</f>
        <v/>
      </c>
      <c r="B95" s="50" t="n"/>
      <c r="C95" s="49">
        <f>IF(B95="","",IFERROR(INDEX('المشروعات'!$B$5:$B$304,MATCH(B95,'المشروعات'!$A$5:$A$304,0)),""))</f>
        <v/>
      </c>
      <c r="D95" s="40" t="n"/>
      <c r="E95" s="40" t="n"/>
      <c r="F95" s="40" t="n"/>
      <c r="G95" s="40" t="n"/>
      <c r="H95" s="47" t="n"/>
      <c r="I95" s="47" t="n"/>
      <c r="J95" s="47" t="n"/>
      <c r="K95" s="49">
        <f>IF(B95="","",IF(J95&lt;&gt;"","مغلق",IF(AND(I95&lt;&gt;"",TODAY()&gt;I95),"مفتوح – متأخر","مفتوح")))</f>
        <v/>
      </c>
    </row>
    <row r="96">
      <c r="A96" s="39">
        <f>IF(B96="","","SNG-"&amp;TEXT(ROW()-4,"0000"))</f>
        <v/>
      </c>
      <c r="B96" s="50" t="n"/>
      <c r="C96" s="49">
        <f>IF(B96="","",IFERROR(INDEX('المشروعات'!$B$5:$B$304,MATCH(B96,'المشروعات'!$A$5:$A$304,0)),""))</f>
        <v/>
      </c>
      <c r="D96" s="40" t="n"/>
      <c r="E96" s="40" t="n"/>
      <c r="F96" s="40" t="n"/>
      <c r="G96" s="40" t="n"/>
      <c r="H96" s="47" t="n"/>
      <c r="I96" s="47" t="n"/>
      <c r="J96" s="47" t="n"/>
      <c r="K96" s="49">
        <f>IF(B96="","",IF(J96&lt;&gt;"","مغلق",IF(AND(I96&lt;&gt;"",TODAY()&gt;I96),"مفتوح – متأخر","مفتوح")))</f>
        <v/>
      </c>
    </row>
    <row r="97">
      <c r="A97" s="39">
        <f>IF(B97="","","SNG-"&amp;TEXT(ROW()-4,"0000"))</f>
        <v/>
      </c>
      <c r="B97" s="50" t="n"/>
      <c r="C97" s="49">
        <f>IF(B97="","",IFERROR(INDEX('المشروعات'!$B$5:$B$304,MATCH(B97,'المشروعات'!$A$5:$A$304,0)),""))</f>
        <v/>
      </c>
      <c r="D97" s="40" t="n"/>
      <c r="E97" s="40" t="n"/>
      <c r="F97" s="40" t="n"/>
      <c r="G97" s="40" t="n"/>
      <c r="H97" s="47" t="n"/>
      <c r="I97" s="47" t="n"/>
      <c r="J97" s="47" t="n"/>
      <c r="K97" s="49">
        <f>IF(B97="","",IF(J97&lt;&gt;"","مغلق",IF(AND(I97&lt;&gt;"",TODAY()&gt;I97),"مفتوح – متأخر","مفتوح")))</f>
        <v/>
      </c>
    </row>
    <row r="98">
      <c r="A98" s="39">
        <f>IF(B98="","","SNG-"&amp;TEXT(ROW()-4,"0000"))</f>
        <v/>
      </c>
      <c r="B98" s="50" t="n"/>
      <c r="C98" s="49">
        <f>IF(B98="","",IFERROR(INDEX('المشروعات'!$B$5:$B$304,MATCH(B98,'المشروعات'!$A$5:$A$304,0)),""))</f>
        <v/>
      </c>
      <c r="D98" s="40" t="n"/>
      <c r="E98" s="40" t="n"/>
      <c r="F98" s="40" t="n"/>
      <c r="G98" s="40" t="n"/>
      <c r="H98" s="47" t="n"/>
      <c r="I98" s="47" t="n"/>
      <c r="J98" s="47" t="n"/>
      <c r="K98" s="49">
        <f>IF(B98="","",IF(J98&lt;&gt;"","مغلق",IF(AND(I98&lt;&gt;"",TODAY()&gt;I98),"مفتوح – متأخر","مفتوح")))</f>
        <v/>
      </c>
    </row>
    <row r="99">
      <c r="A99" s="39">
        <f>IF(B99="","","SNG-"&amp;TEXT(ROW()-4,"0000"))</f>
        <v/>
      </c>
      <c r="B99" s="50" t="n"/>
      <c r="C99" s="49">
        <f>IF(B99="","",IFERROR(INDEX('المشروعات'!$B$5:$B$304,MATCH(B99,'المشروعات'!$A$5:$A$304,0)),""))</f>
        <v/>
      </c>
      <c r="D99" s="40" t="n"/>
      <c r="E99" s="40" t="n"/>
      <c r="F99" s="40" t="n"/>
      <c r="G99" s="40" t="n"/>
      <c r="H99" s="47" t="n"/>
      <c r="I99" s="47" t="n"/>
      <c r="J99" s="47" t="n"/>
      <c r="K99" s="49">
        <f>IF(B99="","",IF(J99&lt;&gt;"","مغلق",IF(AND(I99&lt;&gt;"",TODAY()&gt;I99),"مفتوح – متأخر","مفتوح")))</f>
        <v/>
      </c>
    </row>
    <row r="100">
      <c r="A100" s="39">
        <f>IF(B100="","","SNG-"&amp;TEXT(ROW()-4,"0000"))</f>
        <v/>
      </c>
      <c r="B100" s="50" t="n"/>
      <c r="C100" s="49">
        <f>IF(B100="","",IFERROR(INDEX('المشروعات'!$B$5:$B$304,MATCH(B100,'المشروعات'!$A$5:$A$304,0)),""))</f>
        <v/>
      </c>
      <c r="D100" s="40" t="n"/>
      <c r="E100" s="40" t="n"/>
      <c r="F100" s="40" t="n"/>
      <c r="G100" s="40" t="n"/>
      <c r="H100" s="47" t="n"/>
      <c r="I100" s="47" t="n"/>
      <c r="J100" s="47" t="n"/>
      <c r="K100" s="49">
        <f>IF(B100="","",IF(J100&lt;&gt;"","مغلق",IF(AND(I100&lt;&gt;"",TODAY()&gt;I100),"مفتوح – متأخر","مفتوح")))</f>
        <v/>
      </c>
    </row>
    <row r="101">
      <c r="A101" s="39">
        <f>IF(B101="","","SNG-"&amp;TEXT(ROW()-4,"0000"))</f>
        <v/>
      </c>
      <c r="B101" s="50" t="n"/>
      <c r="C101" s="49">
        <f>IF(B101="","",IFERROR(INDEX('المشروعات'!$B$5:$B$304,MATCH(B101,'المشروعات'!$A$5:$A$304,0)),""))</f>
        <v/>
      </c>
      <c r="D101" s="40" t="n"/>
      <c r="E101" s="40" t="n"/>
      <c r="F101" s="40" t="n"/>
      <c r="G101" s="40" t="n"/>
      <c r="H101" s="47" t="n"/>
      <c r="I101" s="47" t="n"/>
      <c r="J101" s="47" t="n"/>
      <c r="K101" s="49">
        <f>IF(B101="","",IF(J101&lt;&gt;"","مغلق",IF(AND(I101&lt;&gt;"",TODAY()&gt;I101),"مفتوح – متأخر","مفتوح")))</f>
        <v/>
      </c>
    </row>
    <row r="102">
      <c r="A102" s="39">
        <f>IF(B102="","","SNG-"&amp;TEXT(ROW()-4,"0000"))</f>
        <v/>
      </c>
      <c r="B102" s="50" t="n"/>
      <c r="C102" s="49">
        <f>IF(B102="","",IFERROR(INDEX('المشروعات'!$B$5:$B$304,MATCH(B102,'المشروعات'!$A$5:$A$304,0)),""))</f>
        <v/>
      </c>
      <c r="D102" s="40" t="n"/>
      <c r="E102" s="40" t="n"/>
      <c r="F102" s="40" t="n"/>
      <c r="G102" s="40" t="n"/>
      <c r="H102" s="47" t="n"/>
      <c r="I102" s="47" t="n"/>
      <c r="J102" s="47" t="n"/>
      <c r="K102" s="49">
        <f>IF(B102="","",IF(J102&lt;&gt;"","مغلق",IF(AND(I102&lt;&gt;"",TODAY()&gt;I102),"مفتوح – متأخر","مفتوح")))</f>
        <v/>
      </c>
    </row>
    <row r="103">
      <c r="A103" s="39">
        <f>IF(B103="","","SNG-"&amp;TEXT(ROW()-4,"0000"))</f>
        <v/>
      </c>
      <c r="B103" s="50" t="n"/>
      <c r="C103" s="49">
        <f>IF(B103="","",IFERROR(INDEX('المشروعات'!$B$5:$B$304,MATCH(B103,'المشروعات'!$A$5:$A$304,0)),""))</f>
        <v/>
      </c>
      <c r="D103" s="40" t="n"/>
      <c r="E103" s="40" t="n"/>
      <c r="F103" s="40" t="n"/>
      <c r="G103" s="40" t="n"/>
      <c r="H103" s="47" t="n"/>
      <c r="I103" s="47" t="n"/>
      <c r="J103" s="47" t="n"/>
      <c r="K103" s="49">
        <f>IF(B103="","",IF(J103&lt;&gt;"","مغلق",IF(AND(I103&lt;&gt;"",TODAY()&gt;I103),"مفتوح – متأخر","مفتوح")))</f>
        <v/>
      </c>
    </row>
    <row r="104">
      <c r="A104" s="39">
        <f>IF(B104="","","SNG-"&amp;TEXT(ROW()-4,"0000"))</f>
        <v/>
      </c>
      <c r="B104" s="50" t="n"/>
      <c r="C104" s="49">
        <f>IF(B104="","",IFERROR(INDEX('المشروعات'!$B$5:$B$304,MATCH(B104,'المشروعات'!$A$5:$A$304,0)),""))</f>
        <v/>
      </c>
      <c r="D104" s="40" t="n"/>
      <c r="E104" s="40" t="n"/>
      <c r="F104" s="40" t="n"/>
      <c r="G104" s="40" t="n"/>
      <c r="H104" s="47" t="n"/>
      <c r="I104" s="47" t="n"/>
      <c r="J104" s="47" t="n"/>
      <c r="K104" s="49">
        <f>IF(B104="","",IF(J104&lt;&gt;"","مغلق",IF(AND(I104&lt;&gt;"",TODAY()&gt;I104),"مفتوح – متأخر","مفتوح")))</f>
        <v/>
      </c>
    </row>
    <row r="105">
      <c r="A105" s="39">
        <f>IF(B105="","","SNG-"&amp;TEXT(ROW()-4,"0000"))</f>
        <v/>
      </c>
      <c r="B105" s="50" t="n"/>
      <c r="C105" s="49">
        <f>IF(B105="","",IFERROR(INDEX('المشروعات'!$B$5:$B$304,MATCH(B105,'المشروعات'!$A$5:$A$304,0)),""))</f>
        <v/>
      </c>
      <c r="D105" s="40" t="n"/>
      <c r="E105" s="40" t="n"/>
      <c r="F105" s="40" t="n"/>
      <c r="G105" s="40" t="n"/>
      <c r="H105" s="47" t="n"/>
      <c r="I105" s="47" t="n"/>
      <c r="J105" s="47" t="n"/>
      <c r="K105" s="49">
        <f>IF(B105="","",IF(J105&lt;&gt;"","مغلق",IF(AND(I105&lt;&gt;"",TODAY()&gt;I105),"مفتوح – متأخر","مفتوح")))</f>
        <v/>
      </c>
    </row>
    <row r="106">
      <c r="A106" s="39">
        <f>IF(B106="","","SNG-"&amp;TEXT(ROW()-4,"0000"))</f>
        <v/>
      </c>
      <c r="B106" s="50" t="n"/>
      <c r="C106" s="49">
        <f>IF(B106="","",IFERROR(INDEX('المشروعات'!$B$5:$B$304,MATCH(B106,'المشروعات'!$A$5:$A$304,0)),""))</f>
        <v/>
      </c>
      <c r="D106" s="40" t="n"/>
      <c r="E106" s="40" t="n"/>
      <c r="F106" s="40" t="n"/>
      <c r="G106" s="40" t="n"/>
      <c r="H106" s="47" t="n"/>
      <c r="I106" s="47" t="n"/>
      <c r="J106" s="47" t="n"/>
      <c r="K106" s="49">
        <f>IF(B106="","",IF(J106&lt;&gt;"","مغلق",IF(AND(I106&lt;&gt;"",TODAY()&gt;I106),"مفتوح – متأخر","مفتوح")))</f>
        <v/>
      </c>
    </row>
    <row r="107">
      <c r="A107" s="39">
        <f>IF(B107="","","SNG-"&amp;TEXT(ROW()-4,"0000"))</f>
        <v/>
      </c>
      <c r="B107" s="50" t="n"/>
      <c r="C107" s="49">
        <f>IF(B107="","",IFERROR(INDEX('المشروعات'!$B$5:$B$304,MATCH(B107,'المشروعات'!$A$5:$A$304,0)),""))</f>
        <v/>
      </c>
      <c r="D107" s="40" t="n"/>
      <c r="E107" s="40" t="n"/>
      <c r="F107" s="40" t="n"/>
      <c r="G107" s="40" t="n"/>
      <c r="H107" s="47" t="n"/>
      <c r="I107" s="47" t="n"/>
      <c r="J107" s="47" t="n"/>
      <c r="K107" s="49">
        <f>IF(B107="","",IF(J107&lt;&gt;"","مغلق",IF(AND(I107&lt;&gt;"",TODAY()&gt;I107),"مفتوح – متأخر","مفتوح")))</f>
        <v/>
      </c>
    </row>
    <row r="108">
      <c r="A108" s="39">
        <f>IF(B108="","","SNG-"&amp;TEXT(ROW()-4,"0000"))</f>
        <v/>
      </c>
      <c r="B108" s="50" t="n"/>
      <c r="C108" s="49">
        <f>IF(B108="","",IFERROR(INDEX('المشروعات'!$B$5:$B$304,MATCH(B108,'المشروعات'!$A$5:$A$304,0)),""))</f>
        <v/>
      </c>
      <c r="D108" s="40" t="n"/>
      <c r="E108" s="40" t="n"/>
      <c r="F108" s="40" t="n"/>
      <c r="G108" s="40" t="n"/>
      <c r="H108" s="47" t="n"/>
      <c r="I108" s="47" t="n"/>
      <c r="J108" s="47" t="n"/>
      <c r="K108" s="49">
        <f>IF(B108="","",IF(J108&lt;&gt;"","مغلق",IF(AND(I108&lt;&gt;"",TODAY()&gt;I108),"مفتوح – متأخر","مفتوح")))</f>
        <v/>
      </c>
    </row>
    <row r="109">
      <c r="A109" s="39">
        <f>IF(B109="","","SNG-"&amp;TEXT(ROW()-4,"0000"))</f>
        <v/>
      </c>
      <c r="B109" s="50" t="n"/>
      <c r="C109" s="49">
        <f>IF(B109="","",IFERROR(INDEX('المشروعات'!$B$5:$B$304,MATCH(B109,'المشروعات'!$A$5:$A$304,0)),""))</f>
        <v/>
      </c>
      <c r="D109" s="40" t="n"/>
      <c r="E109" s="40" t="n"/>
      <c r="F109" s="40" t="n"/>
      <c r="G109" s="40" t="n"/>
      <c r="H109" s="47" t="n"/>
      <c r="I109" s="47" t="n"/>
      <c r="J109" s="47" t="n"/>
      <c r="K109" s="49">
        <f>IF(B109="","",IF(J109&lt;&gt;"","مغلق",IF(AND(I109&lt;&gt;"",TODAY()&gt;I109),"مفتوح – متأخر","مفتوح")))</f>
        <v/>
      </c>
    </row>
    <row r="110">
      <c r="A110" s="39">
        <f>IF(B110="","","SNG-"&amp;TEXT(ROW()-4,"0000"))</f>
        <v/>
      </c>
      <c r="B110" s="50" t="n"/>
      <c r="C110" s="49">
        <f>IF(B110="","",IFERROR(INDEX('المشروعات'!$B$5:$B$304,MATCH(B110,'المشروعات'!$A$5:$A$304,0)),""))</f>
        <v/>
      </c>
      <c r="D110" s="40" t="n"/>
      <c r="E110" s="40" t="n"/>
      <c r="F110" s="40" t="n"/>
      <c r="G110" s="40" t="n"/>
      <c r="H110" s="47" t="n"/>
      <c r="I110" s="47" t="n"/>
      <c r="J110" s="47" t="n"/>
      <c r="K110" s="49">
        <f>IF(B110="","",IF(J110&lt;&gt;"","مغلق",IF(AND(I110&lt;&gt;"",TODAY()&gt;I110),"مفتوح – متأخر","مفتوح")))</f>
        <v/>
      </c>
    </row>
    <row r="111">
      <c r="A111" s="39">
        <f>IF(B111="","","SNG-"&amp;TEXT(ROW()-4,"0000"))</f>
        <v/>
      </c>
      <c r="B111" s="50" t="n"/>
      <c r="C111" s="49">
        <f>IF(B111="","",IFERROR(INDEX('المشروعات'!$B$5:$B$304,MATCH(B111,'المشروعات'!$A$5:$A$304,0)),""))</f>
        <v/>
      </c>
      <c r="D111" s="40" t="n"/>
      <c r="E111" s="40" t="n"/>
      <c r="F111" s="40" t="n"/>
      <c r="G111" s="40" t="n"/>
      <c r="H111" s="47" t="n"/>
      <c r="I111" s="47" t="n"/>
      <c r="J111" s="47" t="n"/>
      <c r="K111" s="49">
        <f>IF(B111="","",IF(J111&lt;&gt;"","مغلق",IF(AND(I111&lt;&gt;"",TODAY()&gt;I111),"مفتوح – متأخر","مفتوح")))</f>
        <v/>
      </c>
    </row>
    <row r="112">
      <c r="A112" s="39">
        <f>IF(B112="","","SNG-"&amp;TEXT(ROW()-4,"0000"))</f>
        <v/>
      </c>
      <c r="B112" s="50" t="n"/>
      <c r="C112" s="49">
        <f>IF(B112="","",IFERROR(INDEX('المشروعات'!$B$5:$B$304,MATCH(B112,'المشروعات'!$A$5:$A$304,0)),""))</f>
        <v/>
      </c>
      <c r="D112" s="40" t="n"/>
      <c r="E112" s="40" t="n"/>
      <c r="F112" s="40" t="n"/>
      <c r="G112" s="40" t="n"/>
      <c r="H112" s="47" t="n"/>
      <c r="I112" s="47" t="n"/>
      <c r="J112" s="47" t="n"/>
      <c r="K112" s="49">
        <f>IF(B112="","",IF(J112&lt;&gt;"","مغلق",IF(AND(I112&lt;&gt;"",TODAY()&gt;I112),"مفتوح – متأخر","مفتوح")))</f>
        <v/>
      </c>
    </row>
    <row r="113">
      <c r="A113" s="39">
        <f>IF(B113="","","SNG-"&amp;TEXT(ROW()-4,"0000"))</f>
        <v/>
      </c>
      <c r="B113" s="50" t="n"/>
      <c r="C113" s="49">
        <f>IF(B113="","",IFERROR(INDEX('المشروعات'!$B$5:$B$304,MATCH(B113,'المشروعات'!$A$5:$A$304,0)),""))</f>
        <v/>
      </c>
      <c r="D113" s="40" t="n"/>
      <c r="E113" s="40" t="n"/>
      <c r="F113" s="40" t="n"/>
      <c r="G113" s="40" t="n"/>
      <c r="H113" s="47" t="n"/>
      <c r="I113" s="47" t="n"/>
      <c r="J113" s="47" t="n"/>
      <c r="K113" s="49">
        <f>IF(B113="","",IF(J113&lt;&gt;"","مغلق",IF(AND(I113&lt;&gt;"",TODAY()&gt;I113),"مفتوح – متأخر","مفتوح")))</f>
        <v/>
      </c>
    </row>
    <row r="114">
      <c r="A114" s="39">
        <f>IF(B114="","","SNG-"&amp;TEXT(ROW()-4,"0000"))</f>
        <v/>
      </c>
      <c r="B114" s="50" t="n"/>
      <c r="C114" s="49">
        <f>IF(B114="","",IFERROR(INDEX('المشروعات'!$B$5:$B$304,MATCH(B114,'المشروعات'!$A$5:$A$304,0)),""))</f>
        <v/>
      </c>
      <c r="D114" s="40" t="n"/>
      <c r="E114" s="40" t="n"/>
      <c r="F114" s="40" t="n"/>
      <c r="G114" s="40" t="n"/>
      <c r="H114" s="47" t="n"/>
      <c r="I114" s="47" t="n"/>
      <c r="J114" s="47" t="n"/>
      <c r="K114" s="49">
        <f>IF(B114="","",IF(J114&lt;&gt;"","مغلق",IF(AND(I114&lt;&gt;"",TODAY()&gt;I114),"مفتوح – متأخر","مفتوح")))</f>
        <v/>
      </c>
    </row>
    <row r="115">
      <c r="A115" s="39">
        <f>IF(B115="","","SNG-"&amp;TEXT(ROW()-4,"0000"))</f>
        <v/>
      </c>
      <c r="B115" s="50" t="n"/>
      <c r="C115" s="49">
        <f>IF(B115="","",IFERROR(INDEX('المشروعات'!$B$5:$B$304,MATCH(B115,'المشروعات'!$A$5:$A$304,0)),""))</f>
        <v/>
      </c>
      <c r="D115" s="40" t="n"/>
      <c r="E115" s="40" t="n"/>
      <c r="F115" s="40" t="n"/>
      <c r="G115" s="40" t="n"/>
      <c r="H115" s="47" t="n"/>
      <c r="I115" s="47" t="n"/>
      <c r="J115" s="47" t="n"/>
      <c r="K115" s="49">
        <f>IF(B115="","",IF(J115&lt;&gt;"","مغلق",IF(AND(I115&lt;&gt;"",TODAY()&gt;I115),"مفتوح – متأخر","مفتوح")))</f>
        <v/>
      </c>
    </row>
    <row r="116">
      <c r="A116" s="39">
        <f>IF(B116="","","SNG-"&amp;TEXT(ROW()-4,"0000"))</f>
        <v/>
      </c>
      <c r="B116" s="50" t="n"/>
      <c r="C116" s="49">
        <f>IF(B116="","",IFERROR(INDEX('المشروعات'!$B$5:$B$304,MATCH(B116,'المشروعات'!$A$5:$A$304,0)),""))</f>
        <v/>
      </c>
      <c r="D116" s="40" t="n"/>
      <c r="E116" s="40" t="n"/>
      <c r="F116" s="40" t="n"/>
      <c r="G116" s="40" t="n"/>
      <c r="H116" s="47" t="n"/>
      <c r="I116" s="47" t="n"/>
      <c r="J116" s="47" t="n"/>
      <c r="K116" s="49">
        <f>IF(B116="","",IF(J116&lt;&gt;"","مغلق",IF(AND(I116&lt;&gt;"",TODAY()&gt;I116),"مفتوح – متأخر","مفتوح")))</f>
        <v/>
      </c>
    </row>
    <row r="117">
      <c r="A117" s="39">
        <f>IF(B117="","","SNG-"&amp;TEXT(ROW()-4,"0000"))</f>
        <v/>
      </c>
      <c r="B117" s="50" t="n"/>
      <c r="C117" s="49">
        <f>IF(B117="","",IFERROR(INDEX('المشروعات'!$B$5:$B$304,MATCH(B117,'المشروعات'!$A$5:$A$304,0)),""))</f>
        <v/>
      </c>
      <c r="D117" s="40" t="n"/>
      <c r="E117" s="40" t="n"/>
      <c r="F117" s="40" t="n"/>
      <c r="G117" s="40" t="n"/>
      <c r="H117" s="47" t="n"/>
      <c r="I117" s="47" t="n"/>
      <c r="J117" s="47" t="n"/>
      <c r="K117" s="49">
        <f>IF(B117="","",IF(J117&lt;&gt;"","مغلق",IF(AND(I117&lt;&gt;"",TODAY()&gt;I117),"مفتوح – متأخر","مفتوح")))</f>
        <v/>
      </c>
    </row>
    <row r="118">
      <c r="A118" s="39">
        <f>IF(B118="","","SNG-"&amp;TEXT(ROW()-4,"0000"))</f>
        <v/>
      </c>
      <c r="B118" s="50" t="n"/>
      <c r="C118" s="49">
        <f>IF(B118="","",IFERROR(INDEX('المشروعات'!$B$5:$B$304,MATCH(B118,'المشروعات'!$A$5:$A$304,0)),""))</f>
        <v/>
      </c>
      <c r="D118" s="40" t="n"/>
      <c r="E118" s="40" t="n"/>
      <c r="F118" s="40" t="n"/>
      <c r="G118" s="40" t="n"/>
      <c r="H118" s="47" t="n"/>
      <c r="I118" s="47" t="n"/>
      <c r="J118" s="47" t="n"/>
      <c r="K118" s="49">
        <f>IF(B118="","",IF(J118&lt;&gt;"","مغلق",IF(AND(I118&lt;&gt;"",TODAY()&gt;I118),"مفتوح – متأخر","مفتوح")))</f>
        <v/>
      </c>
    </row>
    <row r="119">
      <c r="A119" s="39">
        <f>IF(B119="","","SNG-"&amp;TEXT(ROW()-4,"0000"))</f>
        <v/>
      </c>
      <c r="B119" s="50" t="n"/>
      <c r="C119" s="49">
        <f>IF(B119="","",IFERROR(INDEX('المشروعات'!$B$5:$B$304,MATCH(B119,'المشروعات'!$A$5:$A$304,0)),""))</f>
        <v/>
      </c>
      <c r="D119" s="40" t="n"/>
      <c r="E119" s="40" t="n"/>
      <c r="F119" s="40" t="n"/>
      <c r="G119" s="40" t="n"/>
      <c r="H119" s="47" t="n"/>
      <c r="I119" s="47" t="n"/>
      <c r="J119" s="47" t="n"/>
      <c r="K119" s="49">
        <f>IF(B119="","",IF(J119&lt;&gt;"","مغلق",IF(AND(I119&lt;&gt;"",TODAY()&gt;I119),"مفتوح – متأخر","مفتوح")))</f>
        <v/>
      </c>
    </row>
    <row r="120">
      <c r="A120" s="39">
        <f>IF(B120="","","SNG-"&amp;TEXT(ROW()-4,"0000"))</f>
        <v/>
      </c>
      <c r="B120" s="50" t="n"/>
      <c r="C120" s="49">
        <f>IF(B120="","",IFERROR(INDEX('المشروعات'!$B$5:$B$304,MATCH(B120,'المشروعات'!$A$5:$A$304,0)),""))</f>
        <v/>
      </c>
      <c r="D120" s="40" t="n"/>
      <c r="E120" s="40" t="n"/>
      <c r="F120" s="40" t="n"/>
      <c r="G120" s="40" t="n"/>
      <c r="H120" s="47" t="n"/>
      <c r="I120" s="47" t="n"/>
      <c r="J120" s="47" t="n"/>
      <c r="K120" s="49">
        <f>IF(B120="","",IF(J120&lt;&gt;"","مغلق",IF(AND(I120&lt;&gt;"",TODAY()&gt;I120),"مفتوح – متأخر","مفتوح")))</f>
        <v/>
      </c>
    </row>
    <row r="121">
      <c r="A121" s="39">
        <f>IF(B121="","","SNG-"&amp;TEXT(ROW()-4,"0000"))</f>
        <v/>
      </c>
      <c r="B121" s="50" t="n"/>
      <c r="C121" s="49">
        <f>IF(B121="","",IFERROR(INDEX('المشروعات'!$B$5:$B$304,MATCH(B121,'المشروعات'!$A$5:$A$304,0)),""))</f>
        <v/>
      </c>
      <c r="D121" s="40" t="n"/>
      <c r="E121" s="40" t="n"/>
      <c r="F121" s="40" t="n"/>
      <c r="G121" s="40" t="n"/>
      <c r="H121" s="47" t="n"/>
      <c r="I121" s="47" t="n"/>
      <c r="J121" s="47" t="n"/>
      <c r="K121" s="49">
        <f>IF(B121="","",IF(J121&lt;&gt;"","مغلق",IF(AND(I121&lt;&gt;"",TODAY()&gt;I121),"مفتوح – متأخر","مفتوح")))</f>
        <v/>
      </c>
    </row>
    <row r="122">
      <c r="A122" s="39">
        <f>IF(B122="","","SNG-"&amp;TEXT(ROW()-4,"0000"))</f>
        <v/>
      </c>
      <c r="B122" s="50" t="n"/>
      <c r="C122" s="49">
        <f>IF(B122="","",IFERROR(INDEX('المشروعات'!$B$5:$B$304,MATCH(B122,'المشروعات'!$A$5:$A$304,0)),""))</f>
        <v/>
      </c>
      <c r="D122" s="40" t="n"/>
      <c r="E122" s="40" t="n"/>
      <c r="F122" s="40" t="n"/>
      <c r="G122" s="40" t="n"/>
      <c r="H122" s="47" t="n"/>
      <c r="I122" s="47" t="n"/>
      <c r="J122" s="47" t="n"/>
      <c r="K122" s="49">
        <f>IF(B122="","",IF(J122&lt;&gt;"","مغلق",IF(AND(I122&lt;&gt;"",TODAY()&gt;I122),"مفتوح – متأخر","مفتوح")))</f>
        <v/>
      </c>
    </row>
    <row r="123">
      <c r="A123" s="39">
        <f>IF(B123="","","SNG-"&amp;TEXT(ROW()-4,"0000"))</f>
        <v/>
      </c>
      <c r="B123" s="50" t="n"/>
      <c r="C123" s="49">
        <f>IF(B123="","",IFERROR(INDEX('المشروعات'!$B$5:$B$304,MATCH(B123,'المشروعات'!$A$5:$A$304,0)),""))</f>
        <v/>
      </c>
      <c r="D123" s="40" t="n"/>
      <c r="E123" s="40" t="n"/>
      <c r="F123" s="40" t="n"/>
      <c r="G123" s="40" t="n"/>
      <c r="H123" s="47" t="n"/>
      <c r="I123" s="47" t="n"/>
      <c r="J123" s="47" t="n"/>
      <c r="K123" s="49">
        <f>IF(B123="","",IF(J123&lt;&gt;"","مغلق",IF(AND(I123&lt;&gt;"",TODAY()&gt;I123),"مفتوح – متأخر","مفتوح")))</f>
        <v/>
      </c>
    </row>
    <row r="124">
      <c r="A124" s="39">
        <f>IF(B124="","","SNG-"&amp;TEXT(ROW()-4,"0000"))</f>
        <v/>
      </c>
      <c r="B124" s="50" t="n"/>
      <c r="C124" s="49">
        <f>IF(B124="","",IFERROR(INDEX('المشروعات'!$B$5:$B$304,MATCH(B124,'المشروعات'!$A$5:$A$304,0)),""))</f>
        <v/>
      </c>
      <c r="D124" s="40" t="n"/>
      <c r="E124" s="40" t="n"/>
      <c r="F124" s="40" t="n"/>
      <c r="G124" s="40" t="n"/>
      <c r="H124" s="47" t="n"/>
      <c r="I124" s="47" t="n"/>
      <c r="J124" s="47" t="n"/>
      <c r="K124" s="49">
        <f>IF(B124="","",IF(J124&lt;&gt;"","مغلق",IF(AND(I124&lt;&gt;"",TODAY()&gt;I124),"مفتوح – متأخر","مفتوح")))</f>
        <v/>
      </c>
    </row>
    <row r="125">
      <c r="A125" s="39">
        <f>IF(B125="","","SNG-"&amp;TEXT(ROW()-4,"0000"))</f>
        <v/>
      </c>
      <c r="B125" s="50" t="n"/>
      <c r="C125" s="49">
        <f>IF(B125="","",IFERROR(INDEX('المشروعات'!$B$5:$B$304,MATCH(B125,'المشروعات'!$A$5:$A$304,0)),""))</f>
        <v/>
      </c>
      <c r="D125" s="40" t="n"/>
      <c r="E125" s="40" t="n"/>
      <c r="F125" s="40" t="n"/>
      <c r="G125" s="40" t="n"/>
      <c r="H125" s="47" t="n"/>
      <c r="I125" s="47" t="n"/>
      <c r="J125" s="47" t="n"/>
      <c r="K125" s="49">
        <f>IF(B125="","",IF(J125&lt;&gt;"","مغلق",IF(AND(I125&lt;&gt;"",TODAY()&gt;I125),"مفتوح – متأخر","مفتوح")))</f>
        <v/>
      </c>
    </row>
    <row r="126">
      <c r="A126" s="39">
        <f>IF(B126="","","SNG-"&amp;TEXT(ROW()-4,"0000"))</f>
        <v/>
      </c>
      <c r="B126" s="50" t="n"/>
      <c r="C126" s="49">
        <f>IF(B126="","",IFERROR(INDEX('المشروعات'!$B$5:$B$304,MATCH(B126,'المشروعات'!$A$5:$A$304,0)),""))</f>
        <v/>
      </c>
      <c r="D126" s="40" t="n"/>
      <c r="E126" s="40" t="n"/>
      <c r="F126" s="40" t="n"/>
      <c r="G126" s="40" t="n"/>
      <c r="H126" s="47" t="n"/>
      <c r="I126" s="47" t="n"/>
      <c r="J126" s="47" t="n"/>
      <c r="K126" s="49">
        <f>IF(B126="","",IF(J126&lt;&gt;"","مغلق",IF(AND(I126&lt;&gt;"",TODAY()&gt;I126),"مفتوح – متأخر","مفتوح")))</f>
        <v/>
      </c>
    </row>
    <row r="127">
      <c r="A127" s="39">
        <f>IF(B127="","","SNG-"&amp;TEXT(ROW()-4,"0000"))</f>
        <v/>
      </c>
      <c r="B127" s="50" t="n"/>
      <c r="C127" s="49">
        <f>IF(B127="","",IFERROR(INDEX('المشروعات'!$B$5:$B$304,MATCH(B127,'المشروعات'!$A$5:$A$304,0)),""))</f>
        <v/>
      </c>
      <c r="D127" s="40" t="n"/>
      <c r="E127" s="40" t="n"/>
      <c r="F127" s="40" t="n"/>
      <c r="G127" s="40" t="n"/>
      <c r="H127" s="47" t="n"/>
      <c r="I127" s="47" t="n"/>
      <c r="J127" s="47" t="n"/>
      <c r="K127" s="49">
        <f>IF(B127="","",IF(J127&lt;&gt;"","مغلق",IF(AND(I127&lt;&gt;"",TODAY()&gt;I127),"مفتوح – متأخر","مفتوح")))</f>
        <v/>
      </c>
    </row>
    <row r="128">
      <c r="A128" s="39">
        <f>IF(B128="","","SNG-"&amp;TEXT(ROW()-4,"0000"))</f>
        <v/>
      </c>
      <c r="B128" s="50" t="n"/>
      <c r="C128" s="49">
        <f>IF(B128="","",IFERROR(INDEX('المشروعات'!$B$5:$B$304,MATCH(B128,'المشروعات'!$A$5:$A$304,0)),""))</f>
        <v/>
      </c>
      <c r="D128" s="40" t="n"/>
      <c r="E128" s="40" t="n"/>
      <c r="F128" s="40" t="n"/>
      <c r="G128" s="40" t="n"/>
      <c r="H128" s="47" t="n"/>
      <c r="I128" s="47" t="n"/>
      <c r="J128" s="47" t="n"/>
      <c r="K128" s="49">
        <f>IF(B128="","",IF(J128&lt;&gt;"","مغلق",IF(AND(I128&lt;&gt;"",TODAY()&gt;I128),"مفتوح – متأخر","مفتوح")))</f>
        <v/>
      </c>
    </row>
    <row r="129">
      <c r="A129" s="39">
        <f>IF(B129="","","SNG-"&amp;TEXT(ROW()-4,"0000"))</f>
        <v/>
      </c>
      <c r="B129" s="50" t="n"/>
      <c r="C129" s="49">
        <f>IF(B129="","",IFERROR(INDEX('المشروعات'!$B$5:$B$304,MATCH(B129,'المشروعات'!$A$5:$A$304,0)),""))</f>
        <v/>
      </c>
      <c r="D129" s="40" t="n"/>
      <c r="E129" s="40" t="n"/>
      <c r="F129" s="40" t="n"/>
      <c r="G129" s="40" t="n"/>
      <c r="H129" s="47" t="n"/>
      <c r="I129" s="47" t="n"/>
      <c r="J129" s="47" t="n"/>
      <c r="K129" s="49">
        <f>IF(B129="","",IF(J129&lt;&gt;"","مغلق",IF(AND(I129&lt;&gt;"",TODAY()&gt;I129),"مفتوح – متأخر","مفتوح")))</f>
        <v/>
      </c>
    </row>
    <row r="130">
      <c r="A130" s="39">
        <f>IF(B130="","","SNG-"&amp;TEXT(ROW()-4,"0000"))</f>
        <v/>
      </c>
      <c r="B130" s="50" t="n"/>
      <c r="C130" s="49">
        <f>IF(B130="","",IFERROR(INDEX('المشروعات'!$B$5:$B$304,MATCH(B130,'المشروعات'!$A$5:$A$304,0)),""))</f>
        <v/>
      </c>
      <c r="D130" s="40" t="n"/>
      <c r="E130" s="40" t="n"/>
      <c r="F130" s="40" t="n"/>
      <c r="G130" s="40" t="n"/>
      <c r="H130" s="47" t="n"/>
      <c r="I130" s="47" t="n"/>
      <c r="J130" s="47" t="n"/>
      <c r="K130" s="49">
        <f>IF(B130="","",IF(J130&lt;&gt;"","مغلق",IF(AND(I130&lt;&gt;"",TODAY()&gt;I130),"مفتوح – متأخر","مفتوح")))</f>
        <v/>
      </c>
    </row>
    <row r="131">
      <c r="A131" s="39">
        <f>IF(B131="","","SNG-"&amp;TEXT(ROW()-4,"0000"))</f>
        <v/>
      </c>
      <c r="B131" s="50" t="n"/>
      <c r="C131" s="49">
        <f>IF(B131="","",IFERROR(INDEX('المشروعات'!$B$5:$B$304,MATCH(B131,'المشروعات'!$A$5:$A$304,0)),""))</f>
        <v/>
      </c>
      <c r="D131" s="40" t="n"/>
      <c r="E131" s="40" t="n"/>
      <c r="F131" s="40" t="n"/>
      <c r="G131" s="40" t="n"/>
      <c r="H131" s="47" t="n"/>
      <c r="I131" s="47" t="n"/>
      <c r="J131" s="47" t="n"/>
      <c r="K131" s="49">
        <f>IF(B131="","",IF(J131&lt;&gt;"","مغلق",IF(AND(I131&lt;&gt;"",TODAY()&gt;I131),"مفتوح – متأخر","مفتوح")))</f>
        <v/>
      </c>
    </row>
    <row r="132">
      <c r="A132" s="39">
        <f>IF(B132="","","SNG-"&amp;TEXT(ROW()-4,"0000"))</f>
        <v/>
      </c>
      <c r="B132" s="50" t="n"/>
      <c r="C132" s="49">
        <f>IF(B132="","",IFERROR(INDEX('المشروعات'!$B$5:$B$304,MATCH(B132,'المشروعات'!$A$5:$A$304,0)),""))</f>
        <v/>
      </c>
      <c r="D132" s="40" t="n"/>
      <c r="E132" s="40" t="n"/>
      <c r="F132" s="40" t="n"/>
      <c r="G132" s="40" t="n"/>
      <c r="H132" s="47" t="n"/>
      <c r="I132" s="47" t="n"/>
      <c r="J132" s="47" t="n"/>
      <c r="K132" s="49">
        <f>IF(B132="","",IF(J132&lt;&gt;"","مغلق",IF(AND(I132&lt;&gt;"",TODAY()&gt;I132),"مفتوح – متأخر","مفتوح")))</f>
        <v/>
      </c>
    </row>
    <row r="133">
      <c r="A133" s="39">
        <f>IF(B133="","","SNG-"&amp;TEXT(ROW()-4,"0000"))</f>
        <v/>
      </c>
      <c r="B133" s="50" t="n"/>
      <c r="C133" s="49">
        <f>IF(B133="","",IFERROR(INDEX('المشروعات'!$B$5:$B$304,MATCH(B133,'المشروعات'!$A$5:$A$304,0)),""))</f>
        <v/>
      </c>
      <c r="D133" s="40" t="n"/>
      <c r="E133" s="40" t="n"/>
      <c r="F133" s="40" t="n"/>
      <c r="G133" s="40" t="n"/>
      <c r="H133" s="47" t="n"/>
      <c r="I133" s="47" t="n"/>
      <c r="J133" s="47" t="n"/>
      <c r="K133" s="49">
        <f>IF(B133="","",IF(J133&lt;&gt;"","مغلق",IF(AND(I133&lt;&gt;"",TODAY()&gt;I133),"مفتوح – متأخر","مفتوح")))</f>
        <v/>
      </c>
    </row>
    <row r="134">
      <c r="A134" s="39">
        <f>IF(B134="","","SNG-"&amp;TEXT(ROW()-4,"0000"))</f>
        <v/>
      </c>
      <c r="B134" s="50" t="n"/>
      <c r="C134" s="49">
        <f>IF(B134="","",IFERROR(INDEX('المشروعات'!$B$5:$B$304,MATCH(B134,'المشروعات'!$A$5:$A$304,0)),""))</f>
        <v/>
      </c>
      <c r="D134" s="40" t="n"/>
      <c r="E134" s="40" t="n"/>
      <c r="F134" s="40" t="n"/>
      <c r="G134" s="40" t="n"/>
      <c r="H134" s="47" t="n"/>
      <c r="I134" s="47" t="n"/>
      <c r="J134" s="47" t="n"/>
      <c r="K134" s="49">
        <f>IF(B134="","",IF(J134&lt;&gt;"","مغلق",IF(AND(I134&lt;&gt;"",TODAY()&gt;I134),"مفتوح – متأخر","مفتوح")))</f>
        <v/>
      </c>
    </row>
    <row r="135">
      <c r="A135" s="39">
        <f>IF(B135="","","SNG-"&amp;TEXT(ROW()-4,"0000"))</f>
        <v/>
      </c>
      <c r="B135" s="50" t="n"/>
      <c r="C135" s="49">
        <f>IF(B135="","",IFERROR(INDEX('المشروعات'!$B$5:$B$304,MATCH(B135,'المشروعات'!$A$5:$A$304,0)),""))</f>
        <v/>
      </c>
      <c r="D135" s="40" t="n"/>
      <c r="E135" s="40" t="n"/>
      <c r="F135" s="40" t="n"/>
      <c r="G135" s="40" t="n"/>
      <c r="H135" s="47" t="n"/>
      <c r="I135" s="47" t="n"/>
      <c r="J135" s="47" t="n"/>
      <c r="K135" s="49">
        <f>IF(B135="","",IF(J135&lt;&gt;"","مغلق",IF(AND(I135&lt;&gt;"",TODAY()&gt;I135),"مفتوح – متأخر","مفتوح")))</f>
        <v/>
      </c>
    </row>
    <row r="136">
      <c r="A136" s="39">
        <f>IF(B136="","","SNG-"&amp;TEXT(ROW()-4,"0000"))</f>
        <v/>
      </c>
      <c r="B136" s="50" t="n"/>
      <c r="C136" s="49">
        <f>IF(B136="","",IFERROR(INDEX('المشروعات'!$B$5:$B$304,MATCH(B136,'المشروعات'!$A$5:$A$304,0)),""))</f>
        <v/>
      </c>
      <c r="D136" s="40" t="n"/>
      <c r="E136" s="40" t="n"/>
      <c r="F136" s="40" t="n"/>
      <c r="G136" s="40" t="n"/>
      <c r="H136" s="47" t="n"/>
      <c r="I136" s="47" t="n"/>
      <c r="J136" s="47" t="n"/>
      <c r="K136" s="49">
        <f>IF(B136="","",IF(J136&lt;&gt;"","مغلق",IF(AND(I136&lt;&gt;"",TODAY()&gt;I136),"مفتوح – متأخر","مفتوح")))</f>
        <v/>
      </c>
    </row>
    <row r="137">
      <c r="A137" s="39">
        <f>IF(B137="","","SNG-"&amp;TEXT(ROW()-4,"0000"))</f>
        <v/>
      </c>
      <c r="B137" s="50" t="n"/>
      <c r="C137" s="49">
        <f>IF(B137="","",IFERROR(INDEX('المشروعات'!$B$5:$B$304,MATCH(B137,'المشروعات'!$A$5:$A$304,0)),""))</f>
        <v/>
      </c>
      <c r="D137" s="40" t="n"/>
      <c r="E137" s="40" t="n"/>
      <c r="F137" s="40" t="n"/>
      <c r="G137" s="40" t="n"/>
      <c r="H137" s="47" t="n"/>
      <c r="I137" s="47" t="n"/>
      <c r="J137" s="47" t="n"/>
      <c r="K137" s="49">
        <f>IF(B137="","",IF(J137&lt;&gt;"","مغلق",IF(AND(I137&lt;&gt;"",TODAY()&gt;I137),"مفتوح – متأخر","مفتوح")))</f>
        <v/>
      </c>
    </row>
    <row r="138">
      <c r="A138" s="39">
        <f>IF(B138="","","SNG-"&amp;TEXT(ROW()-4,"0000"))</f>
        <v/>
      </c>
      <c r="B138" s="50" t="n"/>
      <c r="C138" s="49">
        <f>IF(B138="","",IFERROR(INDEX('المشروعات'!$B$5:$B$304,MATCH(B138,'المشروعات'!$A$5:$A$304,0)),""))</f>
        <v/>
      </c>
      <c r="D138" s="40" t="n"/>
      <c r="E138" s="40" t="n"/>
      <c r="F138" s="40" t="n"/>
      <c r="G138" s="40" t="n"/>
      <c r="H138" s="47" t="n"/>
      <c r="I138" s="47" t="n"/>
      <c r="J138" s="47" t="n"/>
      <c r="K138" s="49">
        <f>IF(B138="","",IF(J138&lt;&gt;"","مغلق",IF(AND(I138&lt;&gt;"",TODAY()&gt;I138),"مفتوح – متأخر","مفتوح")))</f>
        <v/>
      </c>
    </row>
    <row r="139">
      <c r="A139" s="39">
        <f>IF(B139="","","SNG-"&amp;TEXT(ROW()-4,"0000"))</f>
        <v/>
      </c>
      <c r="B139" s="50" t="n"/>
      <c r="C139" s="49">
        <f>IF(B139="","",IFERROR(INDEX('المشروعات'!$B$5:$B$304,MATCH(B139,'المشروعات'!$A$5:$A$304,0)),""))</f>
        <v/>
      </c>
      <c r="D139" s="40" t="n"/>
      <c r="E139" s="40" t="n"/>
      <c r="F139" s="40" t="n"/>
      <c r="G139" s="40" t="n"/>
      <c r="H139" s="47" t="n"/>
      <c r="I139" s="47" t="n"/>
      <c r="J139" s="47" t="n"/>
      <c r="K139" s="49">
        <f>IF(B139="","",IF(J139&lt;&gt;"","مغلق",IF(AND(I139&lt;&gt;"",TODAY()&gt;I139),"مفتوح – متأخر","مفتوح")))</f>
        <v/>
      </c>
    </row>
    <row r="140">
      <c r="A140" s="39">
        <f>IF(B140="","","SNG-"&amp;TEXT(ROW()-4,"0000"))</f>
        <v/>
      </c>
      <c r="B140" s="50" t="n"/>
      <c r="C140" s="49">
        <f>IF(B140="","",IFERROR(INDEX('المشروعات'!$B$5:$B$304,MATCH(B140,'المشروعات'!$A$5:$A$304,0)),""))</f>
        <v/>
      </c>
      <c r="D140" s="40" t="n"/>
      <c r="E140" s="40" t="n"/>
      <c r="F140" s="40" t="n"/>
      <c r="G140" s="40" t="n"/>
      <c r="H140" s="47" t="n"/>
      <c r="I140" s="47" t="n"/>
      <c r="J140" s="47" t="n"/>
      <c r="K140" s="49">
        <f>IF(B140="","",IF(J140&lt;&gt;"","مغلق",IF(AND(I140&lt;&gt;"",TODAY()&gt;I140),"مفتوح – متأخر","مفتوح")))</f>
        <v/>
      </c>
    </row>
    <row r="141">
      <c r="A141" s="39">
        <f>IF(B141="","","SNG-"&amp;TEXT(ROW()-4,"0000"))</f>
        <v/>
      </c>
      <c r="B141" s="50" t="n"/>
      <c r="C141" s="49">
        <f>IF(B141="","",IFERROR(INDEX('المشروعات'!$B$5:$B$304,MATCH(B141,'المشروعات'!$A$5:$A$304,0)),""))</f>
        <v/>
      </c>
      <c r="D141" s="40" t="n"/>
      <c r="E141" s="40" t="n"/>
      <c r="F141" s="40" t="n"/>
      <c r="G141" s="40" t="n"/>
      <c r="H141" s="47" t="n"/>
      <c r="I141" s="47" t="n"/>
      <c r="J141" s="47" t="n"/>
      <c r="K141" s="49">
        <f>IF(B141="","",IF(J141&lt;&gt;"","مغلق",IF(AND(I141&lt;&gt;"",TODAY()&gt;I141),"مفتوح – متأخر","مفتوح")))</f>
        <v/>
      </c>
    </row>
    <row r="142">
      <c r="A142" s="39">
        <f>IF(B142="","","SNG-"&amp;TEXT(ROW()-4,"0000"))</f>
        <v/>
      </c>
      <c r="B142" s="50" t="n"/>
      <c r="C142" s="49">
        <f>IF(B142="","",IFERROR(INDEX('المشروعات'!$B$5:$B$304,MATCH(B142,'المشروعات'!$A$5:$A$304,0)),""))</f>
        <v/>
      </c>
      <c r="D142" s="40" t="n"/>
      <c r="E142" s="40" t="n"/>
      <c r="F142" s="40" t="n"/>
      <c r="G142" s="40" t="n"/>
      <c r="H142" s="47" t="n"/>
      <c r="I142" s="47" t="n"/>
      <c r="J142" s="47" t="n"/>
      <c r="K142" s="49">
        <f>IF(B142="","",IF(J142&lt;&gt;"","مغلق",IF(AND(I142&lt;&gt;"",TODAY()&gt;I142),"مفتوح – متأخر","مفتوح")))</f>
        <v/>
      </c>
    </row>
    <row r="143">
      <c r="A143" s="39">
        <f>IF(B143="","","SNG-"&amp;TEXT(ROW()-4,"0000"))</f>
        <v/>
      </c>
      <c r="B143" s="50" t="n"/>
      <c r="C143" s="49">
        <f>IF(B143="","",IFERROR(INDEX('المشروعات'!$B$5:$B$304,MATCH(B143,'المشروعات'!$A$5:$A$304,0)),""))</f>
        <v/>
      </c>
      <c r="D143" s="40" t="n"/>
      <c r="E143" s="40" t="n"/>
      <c r="F143" s="40" t="n"/>
      <c r="G143" s="40" t="n"/>
      <c r="H143" s="47" t="n"/>
      <c r="I143" s="47" t="n"/>
      <c r="J143" s="47" t="n"/>
      <c r="K143" s="49">
        <f>IF(B143="","",IF(J143&lt;&gt;"","مغلق",IF(AND(I143&lt;&gt;"",TODAY()&gt;I143),"مفتوح – متأخر","مفتوح")))</f>
        <v/>
      </c>
    </row>
    <row r="144">
      <c r="A144" s="39">
        <f>IF(B144="","","SNG-"&amp;TEXT(ROW()-4,"0000"))</f>
        <v/>
      </c>
      <c r="B144" s="50" t="n"/>
      <c r="C144" s="49">
        <f>IF(B144="","",IFERROR(INDEX('المشروعات'!$B$5:$B$304,MATCH(B144,'المشروعات'!$A$5:$A$304,0)),""))</f>
        <v/>
      </c>
      <c r="D144" s="40" t="n"/>
      <c r="E144" s="40" t="n"/>
      <c r="F144" s="40" t="n"/>
      <c r="G144" s="40" t="n"/>
      <c r="H144" s="47" t="n"/>
      <c r="I144" s="47" t="n"/>
      <c r="J144" s="47" t="n"/>
      <c r="K144" s="49">
        <f>IF(B144="","",IF(J144&lt;&gt;"","مغلق",IF(AND(I144&lt;&gt;"",TODAY()&gt;I144),"مفتوح – متأخر","مفتوح")))</f>
        <v/>
      </c>
    </row>
    <row r="145">
      <c r="A145" s="39">
        <f>IF(B145="","","SNG-"&amp;TEXT(ROW()-4,"0000"))</f>
        <v/>
      </c>
      <c r="B145" s="50" t="n"/>
      <c r="C145" s="49">
        <f>IF(B145="","",IFERROR(INDEX('المشروعات'!$B$5:$B$304,MATCH(B145,'المشروعات'!$A$5:$A$304,0)),""))</f>
        <v/>
      </c>
      <c r="D145" s="40" t="n"/>
      <c r="E145" s="40" t="n"/>
      <c r="F145" s="40" t="n"/>
      <c r="G145" s="40" t="n"/>
      <c r="H145" s="47" t="n"/>
      <c r="I145" s="47" t="n"/>
      <c r="J145" s="47" t="n"/>
      <c r="K145" s="49">
        <f>IF(B145="","",IF(J145&lt;&gt;"","مغلق",IF(AND(I145&lt;&gt;"",TODAY()&gt;I145),"مفتوح – متأخر","مفتوح")))</f>
        <v/>
      </c>
    </row>
    <row r="146">
      <c r="A146" s="39">
        <f>IF(B146="","","SNG-"&amp;TEXT(ROW()-4,"0000"))</f>
        <v/>
      </c>
      <c r="B146" s="50" t="n"/>
      <c r="C146" s="49">
        <f>IF(B146="","",IFERROR(INDEX('المشروعات'!$B$5:$B$304,MATCH(B146,'المشروعات'!$A$5:$A$304,0)),""))</f>
        <v/>
      </c>
      <c r="D146" s="40" t="n"/>
      <c r="E146" s="40" t="n"/>
      <c r="F146" s="40" t="n"/>
      <c r="G146" s="40" t="n"/>
      <c r="H146" s="47" t="n"/>
      <c r="I146" s="47" t="n"/>
      <c r="J146" s="47" t="n"/>
      <c r="K146" s="49">
        <f>IF(B146="","",IF(J146&lt;&gt;"","مغلق",IF(AND(I146&lt;&gt;"",TODAY()&gt;I146),"مفتوح – متأخر","مفتوح")))</f>
        <v/>
      </c>
    </row>
    <row r="147">
      <c r="A147" s="39">
        <f>IF(B147="","","SNG-"&amp;TEXT(ROW()-4,"0000"))</f>
        <v/>
      </c>
      <c r="B147" s="50" t="n"/>
      <c r="C147" s="49">
        <f>IF(B147="","",IFERROR(INDEX('المشروعات'!$B$5:$B$304,MATCH(B147,'المشروعات'!$A$5:$A$304,0)),""))</f>
        <v/>
      </c>
      <c r="D147" s="40" t="n"/>
      <c r="E147" s="40" t="n"/>
      <c r="F147" s="40" t="n"/>
      <c r="G147" s="40" t="n"/>
      <c r="H147" s="47" t="n"/>
      <c r="I147" s="47" t="n"/>
      <c r="J147" s="47" t="n"/>
      <c r="K147" s="49">
        <f>IF(B147="","",IF(J147&lt;&gt;"","مغلق",IF(AND(I147&lt;&gt;"",TODAY()&gt;I147),"مفتوح – متأخر","مفتوح")))</f>
        <v/>
      </c>
    </row>
    <row r="148">
      <c r="A148" s="39">
        <f>IF(B148="","","SNG-"&amp;TEXT(ROW()-4,"0000"))</f>
        <v/>
      </c>
      <c r="B148" s="50" t="n"/>
      <c r="C148" s="49">
        <f>IF(B148="","",IFERROR(INDEX('المشروعات'!$B$5:$B$304,MATCH(B148,'المشروعات'!$A$5:$A$304,0)),""))</f>
        <v/>
      </c>
      <c r="D148" s="40" t="n"/>
      <c r="E148" s="40" t="n"/>
      <c r="F148" s="40" t="n"/>
      <c r="G148" s="40" t="n"/>
      <c r="H148" s="47" t="n"/>
      <c r="I148" s="47" t="n"/>
      <c r="J148" s="47" t="n"/>
      <c r="K148" s="49">
        <f>IF(B148="","",IF(J148&lt;&gt;"","مغلق",IF(AND(I148&lt;&gt;"",TODAY()&gt;I148),"مفتوح – متأخر","مفتوح")))</f>
        <v/>
      </c>
    </row>
    <row r="149">
      <c r="A149" s="39">
        <f>IF(B149="","","SNG-"&amp;TEXT(ROW()-4,"0000"))</f>
        <v/>
      </c>
      <c r="B149" s="50" t="n"/>
      <c r="C149" s="49">
        <f>IF(B149="","",IFERROR(INDEX('المشروعات'!$B$5:$B$304,MATCH(B149,'المشروعات'!$A$5:$A$304,0)),""))</f>
        <v/>
      </c>
      <c r="D149" s="40" t="n"/>
      <c r="E149" s="40" t="n"/>
      <c r="F149" s="40" t="n"/>
      <c r="G149" s="40" t="n"/>
      <c r="H149" s="47" t="n"/>
      <c r="I149" s="47" t="n"/>
      <c r="J149" s="47" t="n"/>
      <c r="K149" s="49">
        <f>IF(B149="","",IF(J149&lt;&gt;"","مغلق",IF(AND(I149&lt;&gt;"",TODAY()&gt;I149),"مفتوح – متأخر","مفتوح")))</f>
        <v/>
      </c>
    </row>
    <row r="150">
      <c r="A150" s="39">
        <f>IF(B150="","","SNG-"&amp;TEXT(ROW()-4,"0000"))</f>
        <v/>
      </c>
      <c r="B150" s="50" t="n"/>
      <c r="C150" s="49">
        <f>IF(B150="","",IFERROR(INDEX('المشروعات'!$B$5:$B$304,MATCH(B150,'المشروعات'!$A$5:$A$304,0)),""))</f>
        <v/>
      </c>
      <c r="D150" s="40" t="n"/>
      <c r="E150" s="40" t="n"/>
      <c r="F150" s="40" t="n"/>
      <c r="G150" s="40" t="n"/>
      <c r="H150" s="47" t="n"/>
      <c r="I150" s="47" t="n"/>
      <c r="J150" s="47" t="n"/>
      <c r="K150" s="49">
        <f>IF(B150="","",IF(J150&lt;&gt;"","مغلق",IF(AND(I150&lt;&gt;"",TODAY()&gt;I150),"مفتوح – متأخر","مفتوح")))</f>
        <v/>
      </c>
    </row>
    <row r="151">
      <c r="A151" s="39">
        <f>IF(B151="","","SNG-"&amp;TEXT(ROW()-4,"0000"))</f>
        <v/>
      </c>
      <c r="B151" s="50" t="n"/>
      <c r="C151" s="49">
        <f>IF(B151="","",IFERROR(INDEX('المشروعات'!$B$5:$B$304,MATCH(B151,'المشروعات'!$A$5:$A$304,0)),""))</f>
        <v/>
      </c>
      <c r="D151" s="40" t="n"/>
      <c r="E151" s="40" t="n"/>
      <c r="F151" s="40" t="n"/>
      <c r="G151" s="40" t="n"/>
      <c r="H151" s="47" t="n"/>
      <c r="I151" s="47" t="n"/>
      <c r="J151" s="47" t="n"/>
      <c r="K151" s="49">
        <f>IF(B151="","",IF(J151&lt;&gt;"","مغلق",IF(AND(I151&lt;&gt;"",TODAY()&gt;I151),"مفتوح – متأخر","مفتوح")))</f>
        <v/>
      </c>
    </row>
    <row r="152">
      <c r="A152" s="39">
        <f>IF(B152="","","SNG-"&amp;TEXT(ROW()-4,"0000"))</f>
        <v/>
      </c>
      <c r="B152" s="50" t="n"/>
      <c r="C152" s="49">
        <f>IF(B152="","",IFERROR(INDEX('المشروعات'!$B$5:$B$304,MATCH(B152,'المشروعات'!$A$5:$A$304,0)),""))</f>
        <v/>
      </c>
      <c r="D152" s="40" t="n"/>
      <c r="E152" s="40" t="n"/>
      <c r="F152" s="40" t="n"/>
      <c r="G152" s="40" t="n"/>
      <c r="H152" s="47" t="n"/>
      <c r="I152" s="47" t="n"/>
      <c r="J152" s="47" t="n"/>
      <c r="K152" s="49">
        <f>IF(B152="","",IF(J152&lt;&gt;"","مغلق",IF(AND(I152&lt;&gt;"",TODAY()&gt;I152),"مفتوح – متأخر","مفتوح")))</f>
        <v/>
      </c>
    </row>
    <row r="153">
      <c r="A153" s="39">
        <f>IF(B153="","","SNG-"&amp;TEXT(ROW()-4,"0000"))</f>
        <v/>
      </c>
      <c r="B153" s="50" t="n"/>
      <c r="C153" s="49">
        <f>IF(B153="","",IFERROR(INDEX('المشروعات'!$B$5:$B$304,MATCH(B153,'المشروعات'!$A$5:$A$304,0)),""))</f>
        <v/>
      </c>
      <c r="D153" s="40" t="n"/>
      <c r="E153" s="40" t="n"/>
      <c r="F153" s="40" t="n"/>
      <c r="G153" s="40" t="n"/>
      <c r="H153" s="47" t="n"/>
      <c r="I153" s="47" t="n"/>
      <c r="J153" s="47" t="n"/>
      <c r="K153" s="49">
        <f>IF(B153="","",IF(J153&lt;&gt;"","مغلق",IF(AND(I153&lt;&gt;"",TODAY()&gt;I153),"مفتوح – متأخر","مفتوح")))</f>
        <v/>
      </c>
    </row>
    <row r="154">
      <c r="A154" s="39">
        <f>IF(B154="","","SNG-"&amp;TEXT(ROW()-4,"0000"))</f>
        <v/>
      </c>
      <c r="B154" s="50" t="n"/>
      <c r="C154" s="49">
        <f>IF(B154="","",IFERROR(INDEX('المشروعات'!$B$5:$B$304,MATCH(B154,'المشروعات'!$A$5:$A$304,0)),""))</f>
        <v/>
      </c>
      <c r="D154" s="40" t="n"/>
      <c r="E154" s="40" t="n"/>
      <c r="F154" s="40" t="n"/>
      <c r="G154" s="40" t="n"/>
      <c r="H154" s="47" t="n"/>
      <c r="I154" s="47" t="n"/>
      <c r="J154" s="47" t="n"/>
      <c r="K154" s="49">
        <f>IF(B154="","",IF(J154&lt;&gt;"","مغلق",IF(AND(I154&lt;&gt;"",TODAY()&gt;I154),"مفتوح – متأخر","مفتوح")))</f>
        <v/>
      </c>
    </row>
    <row r="155">
      <c r="A155" s="39">
        <f>IF(B155="","","SNG-"&amp;TEXT(ROW()-4,"0000"))</f>
        <v/>
      </c>
      <c r="B155" s="50" t="n"/>
      <c r="C155" s="49">
        <f>IF(B155="","",IFERROR(INDEX('المشروعات'!$B$5:$B$304,MATCH(B155,'المشروعات'!$A$5:$A$304,0)),""))</f>
        <v/>
      </c>
      <c r="D155" s="40" t="n"/>
      <c r="E155" s="40" t="n"/>
      <c r="F155" s="40" t="n"/>
      <c r="G155" s="40" t="n"/>
      <c r="H155" s="47" t="n"/>
      <c r="I155" s="47" t="n"/>
      <c r="J155" s="47" t="n"/>
      <c r="K155" s="49">
        <f>IF(B155="","",IF(J155&lt;&gt;"","مغلق",IF(AND(I155&lt;&gt;"",TODAY()&gt;I155),"مفتوح – متأخر","مفتوح")))</f>
        <v/>
      </c>
    </row>
    <row r="156">
      <c r="A156" s="39">
        <f>IF(B156="","","SNG-"&amp;TEXT(ROW()-4,"0000"))</f>
        <v/>
      </c>
      <c r="B156" s="50" t="n"/>
      <c r="C156" s="49">
        <f>IF(B156="","",IFERROR(INDEX('المشروعات'!$B$5:$B$304,MATCH(B156,'المشروعات'!$A$5:$A$304,0)),""))</f>
        <v/>
      </c>
      <c r="D156" s="40" t="n"/>
      <c r="E156" s="40" t="n"/>
      <c r="F156" s="40" t="n"/>
      <c r="G156" s="40" t="n"/>
      <c r="H156" s="47" t="n"/>
      <c r="I156" s="47" t="n"/>
      <c r="J156" s="47" t="n"/>
      <c r="K156" s="49">
        <f>IF(B156="","",IF(J156&lt;&gt;"","مغلق",IF(AND(I156&lt;&gt;"",TODAY()&gt;I156),"مفتوح – متأخر","مفتوح")))</f>
        <v/>
      </c>
    </row>
    <row r="157">
      <c r="A157" s="39">
        <f>IF(B157="","","SNG-"&amp;TEXT(ROW()-4,"0000"))</f>
        <v/>
      </c>
      <c r="B157" s="50" t="n"/>
      <c r="C157" s="49">
        <f>IF(B157="","",IFERROR(INDEX('المشروعات'!$B$5:$B$304,MATCH(B157,'المشروعات'!$A$5:$A$304,0)),""))</f>
        <v/>
      </c>
      <c r="D157" s="40" t="n"/>
      <c r="E157" s="40" t="n"/>
      <c r="F157" s="40" t="n"/>
      <c r="G157" s="40" t="n"/>
      <c r="H157" s="47" t="n"/>
      <c r="I157" s="47" t="n"/>
      <c r="J157" s="47" t="n"/>
      <c r="K157" s="49">
        <f>IF(B157="","",IF(J157&lt;&gt;"","مغلق",IF(AND(I157&lt;&gt;"",TODAY()&gt;I157),"مفتوح – متأخر","مفتوح")))</f>
        <v/>
      </c>
    </row>
    <row r="158">
      <c r="A158" s="39">
        <f>IF(B158="","","SNG-"&amp;TEXT(ROW()-4,"0000"))</f>
        <v/>
      </c>
      <c r="B158" s="50" t="n"/>
      <c r="C158" s="49">
        <f>IF(B158="","",IFERROR(INDEX('المشروعات'!$B$5:$B$304,MATCH(B158,'المشروعات'!$A$5:$A$304,0)),""))</f>
        <v/>
      </c>
      <c r="D158" s="40" t="n"/>
      <c r="E158" s="40" t="n"/>
      <c r="F158" s="40" t="n"/>
      <c r="G158" s="40" t="n"/>
      <c r="H158" s="47" t="n"/>
      <c r="I158" s="47" t="n"/>
      <c r="J158" s="47" t="n"/>
      <c r="K158" s="49">
        <f>IF(B158="","",IF(J158&lt;&gt;"","مغلق",IF(AND(I158&lt;&gt;"",TODAY()&gt;I158),"مفتوح – متأخر","مفتوح")))</f>
        <v/>
      </c>
    </row>
    <row r="159">
      <c r="A159" s="39">
        <f>IF(B159="","","SNG-"&amp;TEXT(ROW()-4,"0000"))</f>
        <v/>
      </c>
      <c r="B159" s="50" t="n"/>
      <c r="C159" s="49">
        <f>IF(B159="","",IFERROR(INDEX('المشروعات'!$B$5:$B$304,MATCH(B159,'المشروعات'!$A$5:$A$304,0)),""))</f>
        <v/>
      </c>
      <c r="D159" s="40" t="n"/>
      <c r="E159" s="40" t="n"/>
      <c r="F159" s="40" t="n"/>
      <c r="G159" s="40" t="n"/>
      <c r="H159" s="47" t="n"/>
      <c r="I159" s="47" t="n"/>
      <c r="J159" s="47" t="n"/>
      <c r="K159" s="49">
        <f>IF(B159="","",IF(J159&lt;&gt;"","مغلق",IF(AND(I159&lt;&gt;"",TODAY()&gt;I159),"مفتوح – متأخر","مفتوح")))</f>
        <v/>
      </c>
    </row>
    <row r="160">
      <c r="A160" s="39">
        <f>IF(B160="","","SNG-"&amp;TEXT(ROW()-4,"0000"))</f>
        <v/>
      </c>
      <c r="B160" s="50" t="n"/>
      <c r="C160" s="49">
        <f>IF(B160="","",IFERROR(INDEX('المشروعات'!$B$5:$B$304,MATCH(B160,'المشروعات'!$A$5:$A$304,0)),""))</f>
        <v/>
      </c>
      <c r="D160" s="40" t="n"/>
      <c r="E160" s="40" t="n"/>
      <c r="F160" s="40" t="n"/>
      <c r="G160" s="40" t="n"/>
      <c r="H160" s="47" t="n"/>
      <c r="I160" s="47" t="n"/>
      <c r="J160" s="47" t="n"/>
      <c r="K160" s="49">
        <f>IF(B160="","",IF(J160&lt;&gt;"","مغلق",IF(AND(I160&lt;&gt;"",TODAY()&gt;I160),"مفتوح – متأخر","مفتوح")))</f>
        <v/>
      </c>
    </row>
    <row r="161">
      <c r="A161" s="39">
        <f>IF(B161="","","SNG-"&amp;TEXT(ROW()-4,"0000"))</f>
        <v/>
      </c>
      <c r="B161" s="50" t="n"/>
      <c r="C161" s="49">
        <f>IF(B161="","",IFERROR(INDEX('المشروعات'!$B$5:$B$304,MATCH(B161,'المشروعات'!$A$5:$A$304,0)),""))</f>
        <v/>
      </c>
      <c r="D161" s="40" t="n"/>
      <c r="E161" s="40" t="n"/>
      <c r="F161" s="40" t="n"/>
      <c r="G161" s="40" t="n"/>
      <c r="H161" s="47" t="n"/>
      <c r="I161" s="47" t="n"/>
      <c r="J161" s="47" t="n"/>
      <c r="K161" s="49">
        <f>IF(B161="","",IF(J161&lt;&gt;"","مغلق",IF(AND(I161&lt;&gt;"",TODAY()&gt;I161),"مفتوح – متأخر","مفتوح")))</f>
        <v/>
      </c>
    </row>
    <row r="162">
      <c r="A162" s="39">
        <f>IF(B162="","","SNG-"&amp;TEXT(ROW()-4,"0000"))</f>
        <v/>
      </c>
      <c r="B162" s="50" t="n"/>
      <c r="C162" s="49">
        <f>IF(B162="","",IFERROR(INDEX('المشروعات'!$B$5:$B$304,MATCH(B162,'المشروعات'!$A$5:$A$304,0)),""))</f>
        <v/>
      </c>
      <c r="D162" s="40" t="n"/>
      <c r="E162" s="40" t="n"/>
      <c r="F162" s="40" t="n"/>
      <c r="G162" s="40" t="n"/>
      <c r="H162" s="47" t="n"/>
      <c r="I162" s="47" t="n"/>
      <c r="J162" s="47" t="n"/>
      <c r="K162" s="49">
        <f>IF(B162="","",IF(J162&lt;&gt;"","مغلق",IF(AND(I162&lt;&gt;"",TODAY()&gt;I162),"مفتوح – متأخر","مفتوح")))</f>
        <v/>
      </c>
    </row>
    <row r="163">
      <c r="A163" s="39">
        <f>IF(B163="","","SNG-"&amp;TEXT(ROW()-4,"0000"))</f>
        <v/>
      </c>
      <c r="B163" s="50" t="n"/>
      <c r="C163" s="49">
        <f>IF(B163="","",IFERROR(INDEX('المشروعات'!$B$5:$B$304,MATCH(B163,'المشروعات'!$A$5:$A$304,0)),""))</f>
        <v/>
      </c>
      <c r="D163" s="40" t="n"/>
      <c r="E163" s="40" t="n"/>
      <c r="F163" s="40" t="n"/>
      <c r="G163" s="40" t="n"/>
      <c r="H163" s="47" t="n"/>
      <c r="I163" s="47" t="n"/>
      <c r="J163" s="47" t="n"/>
      <c r="K163" s="49">
        <f>IF(B163="","",IF(J163&lt;&gt;"","مغلق",IF(AND(I163&lt;&gt;"",TODAY()&gt;I163),"مفتوح – متأخر","مفتوح")))</f>
        <v/>
      </c>
    </row>
    <row r="164">
      <c r="A164" s="39">
        <f>IF(B164="","","SNG-"&amp;TEXT(ROW()-4,"0000"))</f>
        <v/>
      </c>
      <c r="B164" s="50" t="n"/>
      <c r="C164" s="49">
        <f>IF(B164="","",IFERROR(INDEX('المشروعات'!$B$5:$B$304,MATCH(B164,'المشروعات'!$A$5:$A$304,0)),""))</f>
        <v/>
      </c>
      <c r="D164" s="40" t="n"/>
      <c r="E164" s="40" t="n"/>
      <c r="F164" s="40" t="n"/>
      <c r="G164" s="40" t="n"/>
      <c r="H164" s="47" t="n"/>
      <c r="I164" s="47" t="n"/>
      <c r="J164" s="47" t="n"/>
      <c r="K164" s="49">
        <f>IF(B164="","",IF(J164&lt;&gt;"","مغلق",IF(AND(I164&lt;&gt;"",TODAY()&gt;I164),"مفتوح – متأخر","مفتوح")))</f>
        <v/>
      </c>
    </row>
    <row r="165">
      <c r="A165" s="39">
        <f>IF(B165="","","SNG-"&amp;TEXT(ROW()-4,"0000"))</f>
        <v/>
      </c>
      <c r="B165" s="50" t="n"/>
      <c r="C165" s="49">
        <f>IF(B165="","",IFERROR(INDEX('المشروعات'!$B$5:$B$304,MATCH(B165,'المشروعات'!$A$5:$A$304,0)),""))</f>
        <v/>
      </c>
      <c r="D165" s="40" t="n"/>
      <c r="E165" s="40" t="n"/>
      <c r="F165" s="40" t="n"/>
      <c r="G165" s="40" t="n"/>
      <c r="H165" s="47" t="n"/>
      <c r="I165" s="47" t="n"/>
      <c r="J165" s="47" t="n"/>
      <c r="K165" s="49">
        <f>IF(B165="","",IF(J165&lt;&gt;"","مغلق",IF(AND(I165&lt;&gt;"",TODAY()&gt;I165),"مفتوح – متأخر","مفتوح")))</f>
        <v/>
      </c>
    </row>
    <row r="166">
      <c r="A166" s="39">
        <f>IF(B166="","","SNG-"&amp;TEXT(ROW()-4,"0000"))</f>
        <v/>
      </c>
      <c r="B166" s="50" t="n"/>
      <c r="C166" s="49">
        <f>IF(B166="","",IFERROR(INDEX('المشروعات'!$B$5:$B$304,MATCH(B166,'المشروعات'!$A$5:$A$304,0)),""))</f>
        <v/>
      </c>
      <c r="D166" s="40" t="n"/>
      <c r="E166" s="40" t="n"/>
      <c r="F166" s="40" t="n"/>
      <c r="G166" s="40" t="n"/>
      <c r="H166" s="47" t="n"/>
      <c r="I166" s="47" t="n"/>
      <c r="J166" s="47" t="n"/>
      <c r="K166" s="49">
        <f>IF(B166="","",IF(J166&lt;&gt;"","مغلق",IF(AND(I166&lt;&gt;"",TODAY()&gt;I166),"مفتوح – متأخر","مفتوح")))</f>
        <v/>
      </c>
    </row>
    <row r="167">
      <c r="A167" s="39">
        <f>IF(B167="","","SNG-"&amp;TEXT(ROW()-4,"0000"))</f>
        <v/>
      </c>
      <c r="B167" s="50" t="n"/>
      <c r="C167" s="49">
        <f>IF(B167="","",IFERROR(INDEX('المشروعات'!$B$5:$B$304,MATCH(B167,'المشروعات'!$A$5:$A$304,0)),""))</f>
        <v/>
      </c>
      <c r="D167" s="40" t="n"/>
      <c r="E167" s="40" t="n"/>
      <c r="F167" s="40" t="n"/>
      <c r="G167" s="40" t="n"/>
      <c r="H167" s="47" t="n"/>
      <c r="I167" s="47" t="n"/>
      <c r="J167" s="47" t="n"/>
      <c r="K167" s="49">
        <f>IF(B167="","",IF(J167&lt;&gt;"","مغلق",IF(AND(I167&lt;&gt;"",TODAY()&gt;I167),"مفتوح – متأخر","مفتوح")))</f>
        <v/>
      </c>
    </row>
    <row r="168">
      <c r="A168" s="39">
        <f>IF(B168="","","SNG-"&amp;TEXT(ROW()-4,"0000"))</f>
        <v/>
      </c>
      <c r="B168" s="50" t="n"/>
      <c r="C168" s="49">
        <f>IF(B168="","",IFERROR(INDEX('المشروعات'!$B$5:$B$304,MATCH(B168,'المشروعات'!$A$5:$A$304,0)),""))</f>
        <v/>
      </c>
      <c r="D168" s="40" t="n"/>
      <c r="E168" s="40" t="n"/>
      <c r="F168" s="40" t="n"/>
      <c r="G168" s="40" t="n"/>
      <c r="H168" s="47" t="n"/>
      <c r="I168" s="47" t="n"/>
      <c r="J168" s="47" t="n"/>
      <c r="K168" s="49">
        <f>IF(B168="","",IF(J168&lt;&gt;"","مغلق",IF(AND(I168&lt;&gt;"",TODAY()&gt;I168),"مفتوح – متأخر","مفتوح")))</f>
        <v/>
      </c>
    </row>
    <row r="169">
      <c r="A169" s="39">
        <f>IF(B169="","","SNG-"&amp;TEXT(ROW()-4,"0000"))</f>
        <v/>
      </c>
      <c r="B169" s="50" t="n"/>
      <c r="C169" s="49">
        <f>IF(B169="","",IFERROR(INDEX('المشروعات'!$B$5:$B$304,MATCH(B169,'المشروعات'!$A$5:$A$304,0)),""))</f>
        <v/>
      </c>
      <c r="D169" s="40" t="n"/>
      <c r="E169" s="40" t="n"/>
      <c r="F169" s="40" t="n"/>
      <c r="G169" s="40" t="n"/>
      <c r="H169" s="47" t="n"/>
      <c r="I169" s="47" t="n"/>
      <c r="J169" s="47" t="n"/>
      <c r="K169" s="49">
        <f>IF(B169="","",IF(J169&lt;&gt;"","مغلق",IF(AND(I169&lt;&gt;"",TODAY()&gt;I169),"مفتوح – متأخر","مفتوح")))</f>
        <v/>
      </c>
    </row>
    <row r="170">
      <c r="A170" s="39">
        <f>IF(B170="","","SNG-"&amp;TEXT(ROW()-4,"0000"))</f>
        <v/>
      </c>
      <c r="B170" s="50" t="n"/>
      <c r="C170" s="49">
        <f>IF(B170="","",IFERROR(INDEX('المشروعات'!$B$5:$B$304,MATCH(B170,'المشروعات'!$A$5:$A$304,0)),""))</f>
        <v/>
      </c>
      <c r="D170" s="40" t="n"/>
      <c r="E170" s="40" t="n"/>
      <c r="F170" s="40" t="n"/>
      <c r="G170" s="40" t="n"/>
      <c r="H170" s="47" t="n"/>
      <c r="I170" s="47" t="n"/>
      <c r="J170" s="47" t="n"/>
      <c r="K170" s="49">
        <f>IF(B170="","",IF(J170&lt;&gt;"","مغلق",IF(AND(I170&lt;&gt;"",TODAY()&gt;I170),"مفتوح – متأخر","مفتوح")))</f>
        <v/>
      </c>
    </row>
    <row r="171">
      <c r="A171" s="39">
        <f>IF(B171="","","SNG-"&amp;TEXT(ROW()-4,"0000"))</f>
        <v/>
      </c>
      <c r="B171" s="50" t="n"/>
      <c r="C171" s="49">
        <f>IF(B171="","",IFERROR(INDEX('المشروعات'!$B$5:$B$304,MATCH(B171,'المشروعات'!$A$5:$A$304,0)),""))</f>
        <v/>
      </c>
      <c r="D171" s="40" t="n"/>
      <c r="E171" s="40" t="n"/>
      <c r="F171" s="40" t="n"/>
      <c r="G171" s="40" t="n"/>
      <c r="H171" s="47" t="n"/>
      <c r="I171" s="47" t="n"/>
      <c r="J171" s="47" t="n"/>
      <c r="K171" s="49">
        <f>IF(B171="","",IF(J171&lt;&gt;"","مغلق",IF(AND(I171&lt;&gt;"",TODAY()&gt;I171),"مفتوح – متأخر","مفتوح")))</f>
        <v/>
      </c>
    </row>
    <row r="172">
      <c r="A172" s="39">
        <f>IF(B172="","","SNG-"&amp;TEXT(ROW()-4,"0000"))</f>
        <v/>
      </c>
      <c r="B172" s="50" t="n"/>
      <c r="C172" s="49">
        <f>IF(B172="","",IFERROR(INDEX('المشروعات'!$B$5:$B$304,MATCH(B172,'المشروعات'!$A$5:$A$304,0)),""))</f>
        <v/>
      </c>
      <c r="D172" s="40" t="n"/>
      <c r="E172" s="40" t="n"/>
      <c r="F172" s="40" t="n"/>
      <c r="G172" s="40" t="n"/>
      <c r="H172" s="47" t="n"/>
      <c r="I172" s="47" t="n"/>
      <c r="J172" s="47" t="n"/>
      <c r="K172" s="49">
        <f>IF(B172="","",IF(J172&lt;&gt;"","مغلق",IF(AND(I172&lt;&gt;"",TODAY()&gt;I172),"مفتوح – متأخر","مفتوح")))</f>
        <v/>
      </c>
    </row>
    <row r="173">
      <c r="A173" s="39">
        <f>IF(B173="","","SNG-"&amp;TEXT(ROW()-4,"0000"))</f>
        <v/>
      </c>
      <c r="B173" s="50" t="n"/>
      <c r="C173" s="49">
        <f>IF(B173="","",IFERROR(INDEX('المشروعات'!$B$5:$B$304,MATCH(B173,'المشروعات'!$A$5:$A$304,0)),""))</f>
        <v/>
      </c>
      <c r="D173" s="40" t="n"/>
      <c r="E173" s="40" t="n"/>
      <c r="F173" s="40" t="n"/>
      <c r="G173" s="40" t="n"/>
      <c r="H173" s="47" t="n"/>
      <c r="I173" s="47" t="n"/>
      <c r="J173" s="47" t="n"/>
      <c r="K173" s="49">
        <f>IF(B173="","",IF(J173&lt;&gt;"","مغلق",IF(AND(I173&lt;&gt;"",TODAY()&gt;I173),"مفتوح – متأخر","مفتوح")))</f>
        <v/>
      </c>
    </row>
    <row r="174">
      <c r="A174" s="39">
        <f>IF(B174="","","SNG-"&amp;TEXT(ROW()-4,"0000"))</f>
        <v/>
      </c>
      <c r="B174" s="50" t="n"/>
      <c r="C174" s="49">
        <f>IF(B174="","",IFERROR(INDEX('المشروعات'!$B$5:$B$304,MATCH(B174,'المشروعات'!$A$5:$A$304,0)),""))</f>
        <v/>
      </c>
      <c r="D174" s="40" t="n"/>
      <c r="E174" s="40" t="n"/>
      <c r="F174" s="40" t="n"/>
      <c r="G174" s="40" t="n"/>
      <c r="H174" s="47" t="n"/>
      <c r="I174" s="47" t="n"/>
      <c r="J174" s="47" t="n"/>
      <c r="K174" s="49">
        <f>IF(B174="","",IF(J174&lt;&gt;"","مغلق",IF(AND(I174&lt;&gt;"",TODAY()&gt;I174),"مفتوح – متأخر","مفتوح")))</f>
        <v/>
      </c>
    </row>
    <row r="175">
      <c r="A175" s="39">
        <f>IF(B175="","","SNG-"&amp;TEXT(ROW()-4,"0000"))</f>
        <v/>
      </c>
      <c r="B175" s="50" t="n"/>
      <c r="C175" s="49">
        <f>IF(B175="","",IFERROR(INDEX('المشروعات'!$B$5:$B$304,MATCH(B175,'المشروعات'!$A$5:$A$304,0)),""))</f>
        <v/>
      </c>
      <c r="D175" s="40" t="n"/>
      <c r="E175" s="40" t="n"/>
      <c r="F175" s="40" t="n"/>
      <c r="G175" s="40" t="n"/>
      <c r="H175" s="47" t="n"/>
      <c r="I175" s="47" t="n"/>
      <c r="J175" s="47" t="n"/>
      <c r="K175" s="49">
        <f>IF(B175="","",IF(J175&lt;&gt;"","مغلق",IF(AND(I175&lt;&gt;"",TODAY()&gt;I175),"مفتوح – متأخر","مفتوح")))</f>
        <v/>
      </c>
    </row>
    <row r="176">
      <c r="A176" s="39">
        <f>IF(B176="","","SNG-"&amp;TEXT(ROW()-4,"0000"))</f>
        <v/>
      </c>
      <c r="B176" s="50" t="n"/>
      <c r="C176" s="49">
        <f>IF(B176="","",IFERROR(INDEX('المشروعات'!$B$5:$B$304,MATCH(B176,'المشروعات'!$A$5:$A$304,0)),""))</f>
        <v/>
      </c>
      <c r="D176" s="40" t="n"/>
      <c r="E176" s="40" t="n"/>
      <c r="F176" s="40" t="n"/>
      <c r="G176" s="40" t="n"/>
      <c r="H176" s="47" t="n"/>
      <c r="I176" s="47" t="n"/>
      <c r="J176" s="47" t="n"/>
      <c r="K176" s="49">
        <f>IF(B176="","",IF(J176&lt;&gt;"","مغلق",IF(AND(I176&lt;&gt;"",TODAY()&gt;I176),"مفتوح – متأخر","مفتوح")))</f>
        <v/>
      </c>
    </row>
    <row r="177">
      <c r="A177" s="39">
        <f>IF(B177="","","SNG-"&amp;TEXT(ROW()-4,"0000"))</f>
        <v/>
      </c>
      <c r="B177" s="50" t="n"/>
      <c r="C177" s="49">
        <f>IF(B177="","",IFERROR(INDEX('المشروعات'!$B$5:$B$304,MATCH(B177,'المشروعات'!$A$5:$A$304,0)),""))</f>
        <v/>
      </c>
      <c r="D177" s="40" t="n"/>
      <c r="E177" s="40" t="n"/>
      <c r="F177" s="40" t="n"/>
      <c r="G177" s="40" t="n"/>
      <c r="H177" s="47" t="n"/>
      <c r="I177" s="47" t="n"/>
      <c r="J177" s="47" t="n"/>
      <c r="K177" s="49">
        <f>IF(B177="","",IF(J177&lt;&gt;"","مغلق",IF(AND(I177&lt;&gt;"",TODAY()&gt;I177),"مفتوح – متأخر","مفتوح")))</f>
        <v/>
      </c>
    </row>
    <row r="178">
      <c r="A178" s="39">
        <f>IF(B178="","","SNG-"&amp;TEXT(ROW()-4,"0000"))</f>
        <v/>
      </c>
      <c r="B178" s="50" t="n"/>
      <c r="C178" s="49">
        <f>IF(B178="","",IFERROR(INDEX('المشروعات'!$B$5:$B$304,MATCH(B178,'المشروعات'!$A$5:$A$304,0)),""))</f>
        <v/>
      </c>
      <c r="D178" s="40" t="n"/>
      <c r="E178" s="40" t="n"/>
      <c r="F178" s="40" t="n"/>
      <c r="G178" s="40" t="n"/>
      <c r="H178" s="47" t="n"/>
      <c r="I178" s="47" t="n"/>
      <c r="J178" s="47" t="n"/>
      <c r="K178" s="49">
        <f>IF(B178="","",IF(J178&lt;&gt;"","مغلق",IF(AND(I178&lt;&gt;"",TODAY()&gt;I178),"مفتوح – متأخر","مفتوح")))</f>
        <v/>
      </c>
    </row>
    <row r="179">
      <c r="A179" s="39">
        <f>IF(B179="","","SNG-"&amp;TEXT(ROW()-4,"0000"))</f>
        <v/>
      </c>
      <c r="B179" s="50" t="n"/>
      <c r="C179" s="49">
        <f>IF(B179="","",IFERROR(INDEX('المشروعات'!$B$5:$B$304,MATCH(B179,'المشروعات'!$A$5:$A$304,0)),""))</f>
        <v/>
      </c>
      <c r="D179" s="40" t="n"/>
      <c r="E179" s="40" t="n"/>
      <c r="F179" s="40" t="n"/>
      <c r="G179" s="40" t="n"/>
      <c r="H179" s="47" t="n"/>
      <c r="I179" s="47" t="n"/>
      <c r="J179" s="47" t="n"/>
      <c r="K179" s="49">
        <f>IF(B179="","",IF(J179&lt;&gt;"","مغلق",IF(AND(I179&lt;&gt;"",TODAY()&gt;I179),"مفتوح – متأخر","مفتوح")))</f>
        <v/>
      </c>
    </row>
    <row r="180">
      <c r="A180" s="39">
        <f>IF(B180="","","SNG-"&amp;TEXT(ROW()-4,"0000"))</f>
        <v/>
      </c>
      <c r="B180" s="50" t="n"/>
      <c r="C180" s="49">
        <f>IF(B180="","",IFERROR(INDEX('المشروعات'!$B$5:$B$304,MATCH(B180,'المشروعات'!$A$5:$A$304,0)),""))</f>
        <v/>
      </c>
      <c r="D180" s="40" t="n"/>
      <c r="E180" s="40" t="n"/>
      <c r="F180" s="40" t="n"/>
      <c r="G180" s="40" t="n"/>
      <c r="H180" s="47" t="n"/>
      <c r="I180" s="47" t="n"/>
      <c r="J180" s="47" t="n"/>
      <c r="K180" s="49">
        <f>IF(B180="","",IF(J180&lt;&gt;"","مغلق",IF(AND(I180&lt;&gt;"",TODAY()&gt;I180),"مفتوح – متأخر","مفتوح")))</f>
        <v/>
      </c>
    </row>
    <row r="181">
      <c r="A181" s="39">
        <f>IF(B181="","","SNG-"&amp;TEXT(ROW()-4,"0000"))</f>
        <v/>
      </c>
      <c r="B181" s="50" t="n"/>
      <c r="C181" s="49">
        <f>IF(B181="","",IFERROR(INDEX('المشروعات'!$B$5:$B$304,MATCH(B181,'المشروعات'!$A$5:$A$304,0)),""))</f>
        <v/>
      </c>
      <c r="D181" s="40" t="n"/>
      <c r="E181" s="40" t="n"/>
      <c r="F181" s="40" t="n"/>
      <c r="G181" s="40" t="n"/>
      <c r="H181" s="47" t="n"/>
      <c r="I181" s="47" t="n"/>
      <c r="J181" s="47" t="n"/>
      <c r="K181" s="49">
        <f>IF(B181="","",IF(J181&lt;&gt;"","مغلق",IF(AND(I181&lt;&gt;"",TODAY()&gt;I181),"مفتوح – متأخر","مفتوح")))</f>
        <v/>
      </c>
    </row>
    <row r="182">
      <c r="A182" s="39">
        <f>IF(B182="","","SNG-"&amp;TEXT(ROW()-4,"0000"))</f>
        <v/>
      </c>
      <c r="B182" s="50" t="n"/>
      <c r="C182" s="49">
        <f>IF(B182="","",IFERROR(INDEX('المشروعات'!$B$5:$B$304,MATCH(B182,'المشروعات'!$A$5:$A$304,0)),""))</f>
        <v/>
      </c>
      <c r="D182" s="40" t="n"/>
      <c r="E182" s="40" t="n"/>
      <c r="F182" s="40" t="n"/>
      <c r="G182" s="40" t="n"/>
      <c r="H182" s="47" t="n"/>
      <c r="I182" s="47" t="n"/>
      <c r="J182" s="47" t="n"/>
      <c r="K182" s="49">
        <f>IF(B182="","",IF(J182&lt;&gt;"","مغلق",IF(AND(I182&lt;&gt;"",TODAY()&gt;I182),"مفتوح – متأخر","مفتوح")))</f>
        <v/>
      </c>
    </row>
    <row r="183">
      <c r="A183" s="39">
        <f>IF(B183="","","SNG-"&amp;TEXT(ROW()-4,"0000"))</f>
        <v/>
      </c>
      <c r="B183" s="50" t="n"/>
      <c r="C183" s="49">
        <f>IF(B183="","",IFERROR(INDEX('المشروعات'!$B$5:$B$304,MATCH(B183,'المشروعات'!$A$5:$A$304,0)),""))</f>
        <v/>
      </c>
      <c r="D183" s="40" t="n"/>
      <c r="E183" s="40" t="n"/>
      <c r="F183" s="40" t="n"/>
      <c r="G183" s="40" t="n"/>
      <c r="H183" s="47" t="n"/>
      <c r="I183" s="47" t="n"/>
      <c r="J183" s="47" t="n"/>
      <c r="K183" s="49">
        <f>IF(B183="","",IF(J183&lt;&gt;"","مغلق",IF(AND(I183&lt;&gt;"",TODAY()&gt;I183),"مفتوح – متأخر","مفتوح")))</f>
        <v/>
      </c>
    </row>
    <row r="184">
      <c r="A184" s="39">
        <f>IF(B184="","","SNG-"&amp;TEXT(ROW()-4,"0000"))</f>
        <v/>
      </c>
      <c r="B184" s="50" t="n"/>
      <c r="C184" s="49">
        <f>IF(B184="","",IFERROR(INDEX('المشروعات'!$B$5:$B$304,MATCH(B184,'المشروعات'!$A$5:$A$304,0)),""))</f>
        <v/>
      </c>
      <c r="D184" s="40" t="n"/>
      <c r="E184" s="40" t="n"/>
      <c r="F184" s="40" t="n"/>
      <c r="G184" s="40" t="n"/>
      <c r="H184" s="47" t="n"/>
      <c r="I184" s="47" t="n"/>
      <c r="J184" s="47" t="n"/>
      <c r="K184" s="49">
        <f>IF(B184="","",IF(J184&lt;&gt;"","مغلق",IF(AND(I184&lt;&gt;"",TODAY()&gt;I184),"مفتوح – متأخر","مفتوح")))</f>
        <v/>
      </c>
    </row>
    <row r="185">
      <c r="A185" s="39">
        <f>IF(B185="","","SNG-"&amp;TEXT(ROW()-4,"0000"))</f>
        <v/>
      </c>
      <c r="B185" s="50" t="n"/>
      <c r="C185" s="49">
        <f>IF(B185="","",IFERROR(INDEX('المشروعات'!$B$5:$B$304,MATCH(B185,'المشروعات'!$A$5:$A$304,0)),""))</f>
        <v/>
      </c>
      <c r="D185" s="40" t="n"/>
      <c r="E185" s="40" t="n"/>
      <c r="F185" s="40" t="n"/>
      <c r="G185" s="40" t="n"/>
      <c r="H185" s="47" t="n"/>
      <c r="I185" s="47" t="n"/>
      <c r="J185" s="47" t="n"/>
      <c r="K185" s="49">
        <f>IF(B185="","",IF(J185&lt;&gt;"","مغلق",IF(AND(I185&lt;&gt;"",TODAY()&gt;I185),"مفتوح – متأخر","مفتوح")))</f>
        <v/>
      </c>
    </row>
    <row r="186">
      <c r="A186" s="39">
        <f>IF(B186="","","SNG-"&amp;TEXT(ROW()-4,"0000"))</f>
        <v/>
      </c>
      <c r="B186" s="50" t="n"/>
      <c r="C186" s="49">
        <f>IF(B186="","",IFERROR(INDEX('المشروعات'!$B$5:$B$304,MATCH(B186,'المشروعات'!$A$5:$A$304,0)),""))</f>
        <v/>
      </c>
      <c r="D186" s="40" t="n"/>
      <c r="E186" s="40" t="n"/>
      <c r="F186" s="40" t="n"/>
      <c r="G186" s="40" t="n"/>
      <c r="H186" s="47" t="n"/>
      <c r="I186" s="47" t="n"/>
      <c r="J186" s="47" t="n"/>
      <c r="K186" s="49">
        <f>IF(B186="","",IF(J186&lt;&gt;"","مغلق",IF(AND(I186&lt;&gt;"",TODAY()&gt;I186),"مفتوح – متأخر","مفتوح")))</f>
        <v/>
      </c>
    </row>
    <row r="187">
      <c r="A187" s="39">
        <f>IF(B187="","","SNG-"&amp;TEXT(ROW()-4,"0000"))</f>
        <v/>
      </c>
      <c r="B187" s="50" t="n"/>
      <c r="C187" s="49">
        <f>IF(B187="","",IFERROR(INDEX('المشروعات'!$B$5:$B$304,MATCH(B187,'المشروعات'!$A$5:$A$304,0)),""))</f>
        <v/>
      </c>
      <c r="D187" s="40" t="n"/>
      <c r="E187" s="40" t="n"/>
      <c r="F187" s="40" t="n"/>
      <c r="G187" s="40" t="n"/>
      <c r="H187" s="47" t="n"/>
      <c r="I187" s="47" t="n"/>
      <c r="J187" s="47" t="n"/>
      <c r="K187" s="49">
        <f>IF(B187="","",IF(J187&lt;&gt;"","مغلق",IF(AND(I187&lt;&gt;"",TODAY()&gt;I187),"مفتوح – متأخر","مفتوح")))</f>
        <v/>
      </c>
    </row>
    <row r="188">
      <c r="A188" s="39">
        <f>IF(B188="","","SNG-"&amp;TEXT(ROW()-4,"0000"))</f>
        <v/>
      </c>
      <c r="B188" s="50" t="n"/>
      <c r="C188" s="49">
        <f>IF(B188="","",IFERROR(INDEX('المشروعات'!$B$5:$B$304,MATCH(B188,'المشروعات'!$A$5:$A$304,0)),""))</f>
        <v/>
      </c>
      <c r="D188" s="40" t="n"/>
      <c r="E188" s="40" t="n"/>
      <c r="F188" s="40" t="n"/>
      <c r="G188" s="40" t="n"/>
      <c r="H188" s="47" t="n"/>
      <c r="I188" s="47" t="n"/>
      <c r="J188" s="47" t="n"/>
      <c r="K188" s="49">
        <f>IF(B188="","",IF(J188&lt;&gt;"","مغلق",IF(AND(I188&lt;&gt;"",TODAY()&gt;I188),"مفتوح – متأخر","مفتوح")))</f>
        <v/>
      </c>
    </row>
    <row r="189">
      <c r="A189" s="39">
        <f>IF(B189="","","SNG-"&amp;TEXT(ROW()-4,"0000"))</f>
        <v/>
      </c>
      <c r="B189" s="50" t="n"/>
      <c r="C189" s="49">
        <f>IF(B189="","",IFERROR(INDEX('المشروعات'!$B$5:$B$304,MATCH(B189,'المشروعات'!$A$5:$A$304,0)),""))</f>
        <v/>
      </c>
      <c r="D189" s="40" t="n"/>
      <c r="E189" s="40" t="n"/>
      <c r="F189" s="40" t="n"/>
      <c r="G189" s="40" t="n"/>
      <c r="H189" s="47" t="n"/>
      <c r="I189" s="47" t="n"/>
      <c r="J189" s="47" t="n"/>
      <c r="K189" s="49">
        <f>IF(B189="","",IF(J189&lt;&gt;"","مغلق",IF(AND(I189&lt;&gt;"",TODAY()&gt;I189),"مفتوح – متأخر","مفتوح")))</f>
        <v/>
      </c>
    </row>
    <row r="190">
      <c r="A190" s="39">
        <f>IF(B190="","","SNG-"&amp;TEXT(ROW()-4,"0000"))</f>
        <v/>
      </c>
      <c r="B190" s="50" t="n"/>
      <c r="C190" s="49">
        <f>IF(B190="","",IFERROR(INDEX('المشروعات'!$B$5:$B$304,MATCH(B190,'المشروعات'!$A$5:$A$304,0)),""))</f>
        <v/>
      </c>
      <c r="D190" s="40" t="n"/>
      <c r="E190" s="40" t="n"/>
      <c r="F190" s="40" t="n"/>
      <c r="G190" s="40" t="n"/>
      <c r="H190" s="47" t="n"/>
      <c r="I190" s="47" t="n"/>
      <c r="J190" s="47" t="n"/>
      <c r="K190" s="49">
        <f>IF(B190="","",IF(J190&lt;&gt;"","مغلق",IF(AND(I190&lt;&gt;"",TODAY()&gt;I190),"مفتوح – متأخر","مفتوح")))</f>
        <v/>
      </c>
    </row>
    <row r="191">
      <c r="A191" s="39">
        <f>IF(B191="","","SNG-"&amp;TEXT(ROW()-4,"0000"))</f>
        <v/>
      </c>
      <c r="B191" s="50" t="n"/>
      <c r="C191" s="49">
        <f>IF(B191="","",IFERROR(INDEX('المشروعات'!$B$5:$B$304,MATCH(B191,'المشروعات'!$A$5:$A$304,0)),""))</f>
        <v/>
      </c>
      <c r="D191" s="40" t="n"/>
      <c r="E191" s="40" t="n"/>
      <c r="F191" s="40" t="n"/>
      <c r="G191" s="40" t="n"/>
      <c r="H191" s="47" t="n"/>
      <c r="I191" s="47" t="n"/>
      <c r="J191" s="47" t="n"/>
      <c r="K191" s="49">
        <f>IF(B191="","",IF(J191&lt;&gt;"","مغلق",IF(AND(I191&lt;&gt;"",TODAY()&gt;I191),"مفتوح – متأخر","مفتوح")))</f>
        <v/>
      </c>
    </row>
    <row r="192">
      <c r="A192" s="39">
        <f>IF(B192="","","SNG-"&amp;TEXT(ROW()-4,"0000"))</f>
        <v/>
      </c>
      <c r="B192" s="50" t="n"/>
      <c r="C192" s="49">
        <f>IF(B192="","",IFERROR(INDEX('المشروعات'!$B$5:$B$304,MATCH(B192,'المشروعات'!$A$5:$A$304,0)),""))</f>
        <v/>
      </c>
      <c r="D192" s="40" t="n"/>
      <c r="E192" s="40" t="n"/>
      <c r="F192" s="40" t="n"/>
      <c r="G192" s="40" t="n"/>
      <c r="H192" s="47" t="n"/>
      <c r="I192" s="47" t="n"/>
      <c r="J192" s="47" t="n"/>
      <c r="K192" s="49">
        <f>IF(B192="","",IF(J192&lt;&gt;"","مغلق",IF(AND(I192&lt;&gt;"",TODAY()&gt;I192),"مفتوح – متأخر","مفتوح")))</f>
        <v/>
      </c>
    </row>
    <row r="193">
      <c r="A193" s="39">
        <f>IF(B193="","","SNG-"&amp;TEXT(ROW()-4,"0000"))</f>
        <v/>
      </c>
      <c r="B193" s="50" t="n"/>
      <c r="C193" s="49">
        <f>IF(B193="","",IFERROR(INDEX('المشروعات'!$B$5:$B$304,MATCH(B193,'المشروعات'!$A$5:$A$304,0)),""))</f>
        <v/>
      </c>
      <c r="D193" s="40" t="n"/>
      <c r="E193" s="40" t="n"/>
      <c r="F193" s="40" t="n"/>
      <c r="G193" s="40" t="n"/>
      <c r="H193" s="47" t="n"/>
      <c r="I193" s="47" t="n"/>
      <c r="J193" s="47" t="n"/>
      <c r="K193" s="49">
        <f>IF(B193="","",IF(J193&lt;&gt;"","مغلق",IF(AND(I193&lt;&gt;"",TODAY()&gt;I193),"مفتوح – متأخر","مفتوح")))</f>
        <v/>
      </c>
    </row>
    <row r="194">
      <c r="A194" s="39">
        <f>IF(B194="","","SNG-"&amp;TEXT(ROW()-4,"0000"))</f>
        <v/>
      </c>
      <c r="B194" s="50" t="n"/>
      <c r="C194" s="49">
        <f>IF(B194="","",IFERROR(INDEX('المشروعات'!$B$5:$B$304,MATCH(B194,'المشروعات'!$A$5:$A$304,0)),""))</f>
        <v/>
      </c>
      <c r="D194" s="40" t="n"/>
      <c r="E194" s="40" t="n"/>
      <c r="F194" s="40" t="n"/>
      <c r="G194" s="40" t="n"/>
      <c r="H194" s="47" t="n"/>
      <c r="I194" s="47" t="n"/>
      <c r="J194" s="47" t="n"/>
      <c r="K194" s="49">
        <f>IF(B194="","",IF(J194&lt;&gt;"","مغلق",IF(AND(I194&lt;&gt;"",TODAY()&gt;I194),"مفتوح – متأخر","مفتوح")))</f>
        <v/>
      </c>
    </row>
    <row r="195">
      <c r="A195" s="39">
        <f>IF(B195="","","SNG-"&amp;TEXT(ROW()-4,"0000"))</f>
        <v/>
      </c>
      <c r="B195" s="50" t="n"/>
      <c r="C195" s="49">
        <f>IF(B195="","",IFERROR(INDEX('المشروعات'!$B$5:$B$304,MATCH(B195,'المشروعات'!$A$5:$A$304,0)),""))</f>
        <v/>
      </c>
      <c r="D195" s="40" t="n"/>
      <c r="E195" s="40" t="n"/>
      <c r="F195" s="40" t="n"/>
      <c r="G195" s="40" t="n"/>
      <c r="H195" s="47" t="n"/>
      <c r="I195" s="47" t="n"/>
      <c r="J195" s="47" t="n"/>
      <c r="K195" s="49">
        <f>IF(B195="","",IF(J195&lt;&gt;"","مغلق",IF(AND(I195&lt;&gt;"",TODAY()&gt;I195),"مفتوح – متأخر","مفتوح")))</f>
        <v/>
      </c>
    </row>
    <row r="196">
      <c r="A196" s="39">
        <f>IF(B196="","","SNG-"&amp;TEXT(ROW()-4,"0000"))</f>
        <v/>
      </c>
      <c r="B196" s="50" t="n"/>
      <c r="C196" s="49">
        <f>IF(B196="","",IFERROR(INDEX('المشروعات'!$B$5:$B$304,MATCH(B196,'المشروعات'!$A$5:$A$304,0)),""))</f>
        <v/>
      </c>
      <c r="D196" s="40" t="n"/>
      <c r="E196" s="40" t="n"/>
      <c r="F196" s="40" t="n"/>
      <c r="G196" s="40" t="n"/>
      <c r="H196" s="47" t="n"/>
      <c r="I196" s="47" t="n"/>
      <c r="J196" s="47" t="n"/>
      <c r="K196" s="49">
        <f>IF(B196="","",IF(J196&lt;&gt;"","مغلق",IF(AND(I196&lt;&gt;"",TODAY()&gt;I196),"مفتوح – متأخر","مفتوح")))</f>
        <v/>
      </c>
    </row>
    <row r="197">
      <c r="A197" s="39">
        <f>IF(B197="","","SNG-"&amp;TEXT(ROW()-4,"0000"))</f>
        <v/>
      </c>
      <c r="B197" s="50" t="n"/>
      <c r="C197" s="49">
        <f>IF(B197="","",IFERROR(INDEX('المشروعات'!$B$5:$B$304,MATCH(B197,'المشروعات'!$A$5:$A$304,0)),""))</f>
        <v/>
      </c>
      <c r="D197" s="40" t="n"/>
      <c r="E197" s="40" t="n"/>
      <c r="F197" s="40" t="n"/>
      <c r="G197" s="40" t="n"/>
      <c r="H197" s="47" t="n"/>
      <c r="I197" s="47" t="n"/>
      <c r="J197" s="47" t="n"/>
      <c r="K197" s="49">
        <f>IF(B197="","",IF(J197&lt;&gt;"","مغلق",IF(AND(I197&lt;&gt;"",TODAY()&gt;I197),"مفتوح – متأخر","مفتوح")))</f>
        <v/>
      </c>
    </row>
    <row r="198">
      <c r="A198" s="39">
        <f>IF(B198="","","SNG-"&amp;TEXT(ROW()-4,"0000"))</f>
        <v/>
      </c>
      <c r="B198" s="50" t="n"/>
      <c r="C198" s="49">
        <f>IF(B198="","",IFERROR(INDEX('المشروعات'!$B$5:$B$304,MATCH(B198,'المشروعات'!$A$5:$A$304,0)),""))</f>
        <v/>
      </c>
      <c r="D198" s="40" t="n"/>
      <c r="E198" s="40" t="n"/>
      <c r="F198" s="40" t="n"/>
      <c r="G198" s="40" t="n"/>
      <c r="H198" s="47" t="n"/>
      <c r="I198" s="47" t="n"/>
      <c r="J198" s="47" t="n"/>
      <c r="K198" s="49">
        <f>IF(B198="","",IF(J198&lt;&gt;"","مغلق",IF(AND(I198&lt;&gt;"",TODAY()&gt;I198),"مفتوح – متأخر","مفتوح")))</f>
        <v/>
      </c>
    </row>
    <row r="199">
      <c r="A199" s="39">
        <f>IF(B199="","","SNG-"&amp;TEXT(ROW()-4,"0000"))</f>
        <v/>
      </c>
      <c r="B199" s="50" t="n"/>
      <c r="C199" s="49">
        <f>IF(B199="","",IFERROR(INDEX('المشروعات'!$B$5:$B$304,MATCH(B199,'المشروعات'!$A$5:$A$304,0)),""))</f>
        <v/>
      </c>
      <c r="D199" s="40" t="n"/>
      <c r="E199" s="40" t="n"/>
      <c r="F199" s="40" t="n"/>
      <c r="G199" s="40" t="n"/>
      <c r="H199" s="47" t="n"/>
      <c r="I199" s="47" t="n"/>
      <c r="J199" s="47" t="n"/>
      <c r="K199" s="49">
        <f>IF(B199="","",IF(J199&lt;&gt;"","مغلق",IF(AND(I199&lt;&gt;"",TODAY()&gt;I199),"مفتوح – متأخر","مفتوح")))</f>
        <v/>
      </c>
    </row>
    <row r="200">
      <c r="A200" s="39">
        <f>IF(B200="","","SNG-"&amp;TEXT(ROW()-4,"0000"))</f>
        <v/>
      </c>
      <c r="B200" s="50" t="n"/>
      <c r="C200" s="49">
        <f>IF(B200="","",IFERROR(INDEX('المشروعات'!$B$5:$B$304,MATCH(B200,'المشروعات'!$A$5:$A$304,0)),""))</f>
        <v/>
      </c>
      <c r="D200" s="40" t="n"/>
      <c r="E200" s="40" t="n"/>
      <c r="F200" s="40" t="n"/>
      <c r="G200" s="40" t="n"/>
      <c r="H200" s="47" t="n"/>
      <c r="I200" s="47" t="n"/>
      <c r="J200" s="47" t="n"/>
      <c r="K200" s="49">
        <f>IF(B200="","",IF(J200&lt;&gt;"","مغلق",IF(AND(I200&lt;&gt;"",TODAY()&gt;I200),"مفتوح – متأخر","مفتوح")))</f>
        <v/>
      </c>
    </row>
    <row r="201">
      <c r="A201" s="39">
        <f>IF(B201="","","SNG-"&amp;TEXT(ROW()-4,"0000"))</f>
        <v/>
      </c>
      <c r="B201" s="50" t="n"/>
      <c r="C201" s="49">
        <f>IF(B201="","",IFERROR(INDEX('المشروعات'!$B$5:$B$304,MATCH(B201,'المشروعات'!$A$5:$A$304,0)),""))</f>
        <v/>
      </c>
      <c r="D201" s="40" t="n"/>
      <c r="E201" s="40" t="n"/>
      <c r="F201" s="40" t="n"/>
      <c r="G201" s="40" t="n"/>
      <c r="H201" s="47" t="n"/>
      <c r="I201" s="47" t="n"/>
      <c r="J201" s="47" t="n"/>
      <c r="K201" s="49">
        <f>IF(B201="","",IF(J201&lt;&gt;"","مغلق",IF(AND(I201&lt;&gt;"",TODAY()&gt;I201),"مفتوح – متأخر","مفتوح")))</f>
        <v/>
      </c>
    </row>
    <row r="202">
      <c r="A202" s="39">
        <f>IF(B202="","","SNG-"&amp;TEXT(ROW()-4,"0000"))</f>
        <v/>
      </c>
      <c r="B202" s="50" t="n"/>
      <c r="C202" s="49">
        <f>IF(B202="","",IFERROR(INDEX('المشروعات'!$B$5:$B$304,MATCH(B202,'المشروعات'!$A$5:$A$304,0)),""))</f>
        <v/>
      </c>
      <c r="D202" s="40" t="n"/>
      <c r="E202" s="40" t="n"/>
      <c r="F202" s="40" t="n"/>
      <c r="G202" s="40" t="n"/>
      <c r="H202" s="47" t="n"/>
      <c r="I202" s="47" t="n"/>
      <c r="J202" s="47" t="n"/>
      <c r="K202" s="49">
        <f>IF(B202="","",IF(J202&lt;&gt;"","مغلق",IF(AND(I202&lt;&gt;"",TODAY()&gt;I202),"مفتوح – متأخر","مفتوح")))</f>
        <v/>
      </c>
    </row>
    <row r="203">
      <c r="A203" s="39">
        <f>IF(B203="","","SNG-"&amp;TEXT(ROW()-4,"0000"))</f>
        <v/>
      </c>
      <c r="B203" s="50" t="n"/>
      <c r="C203" s="49">
        <f>IF(B203="","",IFERROR(INDEX('المشروعات'!$B$5:$B$304,MATCH(B203,'المشروعات'!$A$5:$A$304,0)),""))</f>
        <v/>
      </c>
      <c r="D203" s="40" t="n"/>
      <c r="E203" s="40" t="n"/>
      <c r="F203" s="40" t="n"/>
      <c r="G203" s="40" t="n"/>
      <c r="H203" s="47" t="n"/>
      <c r="I203" s="47" t="n"/>
      <c r="J203" s="47" t="n"/>
      <c r="K203" s="49">
        <f>IF(B203="","",IF(J203&lt;&gt;"","مغلق",IF(AND(I203&lt;&gt;"",TODAY()&gt;I203),"مفتوح – متأخر","مفتوح")))</f>
        <v/>
      </c>
    </row>
    <row r="204">
      <c r="A204" s="39">
        <f>IF(B204="","","SNG-"&amp;TEXT(ROW()-4,"0000"))</f>
        <v/>
      </c>
      <c r="B204" s="50" t="n"/>
      <c r="C204" s="49">
        <f>IF(B204="","",IFERROR(INDEX('المشروعات'!$B$5:$B$304,MATCH(B204,'المشروعات'!$A$5:$A$304,0)),""))</f>
        <v/>
      </c>
      <c r="D204" s="40" t="n"/>
      <c r="E204" s="40" t="n"/>
      <c r="F204" s="40" t="n"/>
      <c r="G204" s="40" t="n"/>
      <c r="H204" s="47" t="n"/>
      <c r="I204" s="47" t="n"/>
      <c r="J204" s="47" t="n"/>
      <c r="K204" s="49">
        <f>IF(B204="","",IF(J204&lt;&gt;"","مغلق",IF(AND(I204&lt;&gt;"",TODAY()&gt;I204),"مفتوح – متأخر","مفتوح")))</f>
        <v/>
      </c>
    </row>
    <row r="205">
      <c r="A205" s="39">
        <f>IF(B205="","","SNG-"&amp;TEXT(ROW()-4,"0000"))</f>
        <v/>
      </c>
      <c r="B205" s="50" t="n"/>
      <c r="C205" s="49">
        <f>IF(B205="","",IFERROR(INDEX('المشروعات'!$B$5:$B$304,MATCH(B205,'المشروعات'!$A$5:$A$304,0)),""))</f>
        <v/>
      </c>
      <c r="D205" s="40" t="n"/>
      <c r="E205" s="40" t="n"/>
      <c r="F205" s="40" t="n"/>
      <c r="G205" s="40" t="n"/>
      <c r="H205" s="47" t="n"/>
      <c r="I205" s="47" t="n"/>
      <c r="J205" s="47" t="n"/>
      <c r="K205" s="49">
        <f>IF(B205="","",IF(J205&lt;&gt;"","مغلق",IF(AND(I205&lt;&gt;"",TODAY()&gt;I205),"مفتوح – متأخر","مفتوح")))</f>
        <v/>
      </c>
    </row>
    <row r="206">
      <c r="A206" s="39">
        <f>IF(B206="","","SNG-"&amp;TEXT(ROW()-4,"0000"))</f>
        <v/>
      </c>
      <c r="B206" s="50" t="n"/>
      <c r="C206" s="49">
        <f>IF(B206="","",IFERROR(INDEX('المشروعات'!$B$5:$B$304,MATCH(B206,'المشروعات'!$A$5:$A$304,0)),""))</f>
        <v/>
      </c>
      <c r="D206" s="40" t="n"/>
      <c r="E206" s="40" t="n"/>
      <c r="F206" s="40" t="n"/>
      <c r="G206" s="40" t="n"/>
      <c r="H206" s="47" t="n"/>
      <c r="I206" s="47" t="n"/>
      <c r="J206" s="47" t="n"/>
      <c r="K206" s="49">
        <f>IF(B206="","",IF(J206&lt;&gt;"","مغلق",IF(AND(I206&lt;&gt;"",TODAY()&gt;I206),"مفتوح – متأخر","مفتوح")))</f>
        <v/>
      </c>
    </row>
    <row r="207">
      <c r="A207" s="39">
        <f>IF(B207="","","SNG-"&amp;TEXT(ROW()-4,"0000"))</f>
        <v/>
      </c>
      <c r="B207" s="50" t="n"/>
      <c r="C207" s="49">
        <f>IF(B207="","",IFERROR(INDEX('المشروعات'!$B$5:$B$304,MATCH(B207,'المشروعات'!$A$5:$A$304,0)),""))</f>
        <v/>
      </c>
      <c r="D207" s="40" t="n"/>
      <c r="E207" s="40" t="n"/>
      <c r="F207" s="40" t="n"/>
      <c r="G207" s="40" t="n"/>
      <c r="H207" s="47" t="n"/>
      <c r="I207" s="47" t="n"/>
      <c r="J207" s="47" t="n"/>
      <c r="K207" s="49">
        <f>IF(B207="","",IF(J207&lt;&gt;"","مغلق",IF(AND(I207&lt;&gt;"",TODAY()&gt;I207),"مفتوح – متأخر","مفتوح")))</f>
        <v/>
      </c>
    </row>
    <row r="208">
      <c r="A208" s="39">
        <f>IF(B208="","","SNG-"&amp;TEXT(ROW()-4,"0000"))</f>
        <v/>
      </c>
      <c r="B208" s="50" t="n"/>
      <c r="C208" s="49">
        <f>IF(B208="","",IFERROR(INDEX('المشروعات'!$B$5:$B$304,MATCH(B208,'المشروعات'!$A$5:$A$304,0)),""))</f>
        <v/>
      </c>
      <c r="D208" s="40" t="n"/>
      <c r="E208" s="40" t="n"/>
      <c r="F208" s="40" t="n"/>
      <c r="G208" s="40" t="n"/>
      <c r="H208" s="47" t="n"/>
      <c r="I208" s="47" t="n"/>
      <c r="J208" s="47" t="n"/>
      <c r="K208" s="49">
        <f>IF(B208="","",IF(J208&lt;&gt;"","مغلق",IF(AND(I208&lt;&gt;"",TODAY()&gt;I208),"مفتوح – متأخر","مفتوح")))</f>
        <v/>
      </c>
    </row>
    <row r="209">
      <c r="A209" s="39">
        <f>IF(B209="","","SNG-"&amp;TEXT(ROW()-4,"0000"))</f>
        <v/>
      </c>
      <c r="B209" s="50" t="n"/>
      <c r="C209" s="49">
        <f>IF(B209="","",IFERROR(INDEX('المشروعات'!$B$5:$B$304,MATCH(B209,'المشروعات'!$A$5:$A$304,0)),""))</f>
        <v/>
      </c>
      <c r="D209" s="40" t="n"/>
      <c r="E209" s="40" t="n"/>
      <c r="F209" s="40" t="n"/>
      <c r="G209" s="40" t="n"/>
      <c r="H209" s="47" t="n"/>
      <c r="I209" s="47" t="n"/>
      <c r="J209" s="47" t="n"/>
      <c r="K209" s="49">
        <f>IF(B209="","",IF(J209&lt;&gt;"","مغلق",IF(AND(I209&lt;&gt;"",TODAY()&gt;I209),"مفتوح – متأخر","مفتوح")))</f>
        <v/>
      </c>
    </row>
    <row r="210">
      <c r="A210" s="39">
        <f>IF(B210="","","SNG-"&amp;TEXT(ROW()-4,"0000"))</f>
        <v/>
      </c>
      <c r="B210" s="50" t="n"/>
      <c r="C210" s="49">
        <f>IF(B210="","",IFERROR(INDEX('المشروعات'!$B$5:$B$304,MATCH(B210,'المشروعات'!$A$5:$A$304,0)),""))</f>
        <v/>
      </c>
      <c r="D210" s="40" t="n"/>
      <c r="E210" s="40" t="n"/>
      <c r="F210" s="40" t="n"/>
      <c r="G210" s="40" t="n"/>
      <c r="H210" s="47" t="n"/>
      <c r="I210" s="47" t="n"/>
      <c r="J210" s="47" t="n"/>
      <c r="K210" s="49">
        <f>IF(B210="","",IF(J210&lt;&gt;"","مغلق",IF(AND(I210&lt;&gt;"",TODAY()&gt;I210),"مفتوح – متأخر","مفتوح")))</f>
        <v/>
      </c>
    </row>
    <row r="211">
      <c r="A211" s="39">
        <f>IF(B211="","","SNG-"&amp;TEXT(ROW()-4,"0000"))</f>
        <v/>
      </c>
      <c r="B211" s="50" t="n"/>
      <c r="C211" s="49">
        <f>IF(B211="","",IFERROR(INDEX('المشروعات'!$B$5:$B$304,MATCH(B211,'المشروعات'!$A$5:$A$304,0)),""))</f>
        <v/>
      </c>
      <c r="D211" s="40" t="n"/>
      <c r="E211" s="40" t="n"/>
      <c r="F211" s="40" t="n"/>
      <c r="G211" s="40" t="n"/>
      <c r="H211" s="47" t="n"/>
      <c r="I211" s="47" t="n"/>
      <c r="J211" s="47" t="n"/>
      <c r="K211" s="49">
        <f>IF(B211="","",IF(J211&lt;&gt;"","مغلق",IF(AND(I211&lt;&gt;"",TODAY()&gt;I211),"مفتوح – متأخر","مفتوح")))</f>
        <v/>
      </c>
    </row>
    <row r="212">
      <c r="A212" s="39">
        <f>IF(B212="","","SNG-"&amp;TEXT(ROW()-4,"0000"))</f>
        <v/>
      </c>
      <c r="B212" s="50" t="n"/>
      <c r="C212" s="49">
        <f>IF(B212="","",IFERROR(INDEX('المشروعات'!$B$5:$B$304,MATCH(B212,'المشروعات'!$A$5:$A$304,0)),""))</f>
        <v/>
      </c>
      <c r="D212" s="40" t="n"/>
      <c r="E212" s="40" t="n"/>
      <c r="F212" s="40" t="n"/>
      <c r="G212" s="40" t="n"/>
      <c r="H212" s="47" t="n"/>
      <c r="I212" s="47" t="n"/>
      <c r="J212" s="47" t="n"/>
      <c r="K212" s="49">
        <f>IF(B212="","",IF(J212&lt;&gt;"","مغلق",IF(AND(I212&lt;&gt;"",TODAY()&gt;I212),"مفتوح – متأخر","مفتوح")))</f>
        <v/>
      </c>
    </row>
    <row r="213">
      <c r="A213" s="39">
        <f>IF(B213="","","SNG-"&amp;TEXT(ROW()-4,"0000"))</f>
        <v/>
      </c>
      <c r="B213" s="50" t="n"/>
      <c r="C213" s="49">
        <f>IF(B213="","",IFERROR(INDEX('المشروعات'!$B$5:$B$304,MATCH(B213,'المشروعات'!$A$5:$A$304,0)),""))</f>
        <v/>
      </c>
      <c r="D213" s="40" t="n"/>
      <c r="E213" s="40" t="n"/>
      <c r="F213" s="40" t="n"/>
      <c r="G213" s="40" t="n"/>
      <c r="H213" s="47" t="n"/>
      <c r="I213" s="47" t="n"/>
      <c r="J213" s="47" t="n"/>
      <c r="K213" s="49">
        <f>IF(B213="","",IF(J213&lt;&gt;"","مغلق",IF(AND(I213&lt;&gt;"",TODAY()&gt;I213),"مفتوح – متأخر","مفتوح")))</f>
        <v/>
      </c>
    </row>
    <row r="214">
      <c r="A214" s="39">
        <f>IF(B214="","","SNG-"&amp;TEXT(ROW()-4,"0000"))</f>
        <v/>
      </c>
      <c r="B214" s="50" t="n"/>
      <c r="C214" s="49">
        <f>IF(B214="","",IFERROR(INDEX('المشروعات'!$B$5:$B$304,MATCH(B214,'المشروعات'!$A$5:$A$304,0)),""))</f>
        <v/>
      </c>
      <c r="D214" s="40" t="n"/>
      <c r="E214" s="40" t="n"/>
      <c r="F214" s="40" t="n"/>
      <c r="G214" s="40" t="n"/>
      <c r="H214" s="47" t="n"/>
      <c r="I214" s="47" t="n"/>
      <c r="J214" s="47" t="n"/>
      <c r="K214" s="49">
        <f>IF(B214="","",IF(J214&lt;&gt;"","مغلق",IF(AND(I214&lt;&gt;"",TODAY()&gt;I214),"مفتوح – متأخر","مفتوح")))</f>
        <v/>
      </c>
    </row>
    <row r="215">
      <c r="A215" s="39">
        <f>IF(B215="","","SNG-"&amp;TEXT(ROW()-4,"0000"))</f>
        <v/>
      </c>
      <c r="B215" s="50" t="n"/>
      <c r="C215" s="49">
        <f>IF(B215="","",IFERROR(INDEX('المشروعات'!$B$5:$B$304,MATCH(B215,'المشروعات'!$A$5:$A$304,0)),""))</f>
        <v/>
      </c>
      <c r="D215" s="40" t="n"/>
      <c r="E215" s="40" t="n"/>
      <c r="F215" s="40" t="n"/>
      <c r="G215" s="40" t="n"/>
      <c r="H215" s="47" t="n"/>
      <c r="I215" s="47" t="n"/>
      <c r="J215" s="47" t="n"/>
      <c r="K215" s="49">
        <f>IF(B215="","",IF(J215&lt;&gt;"","مغلق",IF(AND(I215&lt;&gt;"",TODAY()&gt;I215),"مفتوح – متأخر","مفتوح")))</f>
        <v/>
      </c>
    </row>
    <row r="216">
      <c r="A216" s="39">
        <f>IF(B216="","","SNG-"&amp;TEXT(ROW()-4,"0000"))</f>
        <v/>
      </c>
      <c r="B216" s="50" t="n"/>
      <c r="C216" s="49">
        <f>IF(B216="","",IFERROR(INDEX('المشروعات'!$B$5:$B$304,MATCH(B216,'المشروعات'!$A$5:$A$304,0)),""))</f>
        <v/>
      </c>
      <c r="D216" s="40" t="n"/>
      <c r="E216" s="40" t="n"/>
      <c r="F216" s="40" t="n"/>
      <c r="G216" s="40" t="n"/>
      <c r="H216" s="47" t="n"/>
      <c r="I216" s="47" t="n"/>
      <c r="J216" s="47" t="n"/>
      <c r="K216" s="49">
        <f>IF(B216="","",IF(J216&lt;&gt;"","مغلق",IF(AND(I216&lt;&gt;"",TODAY()&gt;I216),"مفتوح – متأخر","مفتوح")))</f>
        <v/>
      </c>
    </row>
    <row r="217">
      <c r="A217" s="39">
        <f>IF(B217="","","SNG-"&amp;TEXT(ROW()-4,"0000"))</f>
        <v/>
      </c>
      <c r="B217" s="50" t="n"/>
      <c r="C217" s="49">
        <f>IF(B217="","",IFERROR(INDEX('المشروعات'!$B$5:$B$304,MATCH(B217,'المشروعات'!$A$5:$A$304,0)),""))</f>
        <v/>
      </c>
      <c r="D217" s="40" t="n"/>
      <c r="E217" s="40" t="n"/>
      <c r="F217" s="40" t="n"/>
      <c r="G217" s="40" t="n"/>
      <c r="H217" s="47" t="n"/>
      <c r="I217" s="47" t="n"/>
      <c r="J217" s="47" t="n"/>
      <c r="K217" s="49">
        <f>IF(B217="","",IF(J217&lt;&gt;"","مغلق",IF(AND(I217&lt;&gt;"",TODAY()&gt;I217),"مفتوح – متأخر","مفتوح")))</f>
        <v/>
      </c>
    </row>
    <row r="218">
      <c r="A218" s="39">
        <f>IF(B218="","","SNG-"&amp;TEXT(ROW()-4,"0000"))</f>
        <v/>
      </c>
      <c r="B218" s="50" t="n"/>
      <c r="C218" s="49">
        <f>IF(B218="","",IFERROR(INDEX('المشروعات'!$B$5:$B$304,MATCH(B218,'المشروعات'!$A$5:$A$304,0)),""))</f>
        <v/>
      </c>
      <c r="D218" s="40" t="n"/>
      <c r="E218" s="40" t="n"/>
      <c r="F218" s="40" t="n"/>
      <c r="G218" s="40" t="n"/>
      <c r="H218" s="47" t="n"/>
      <c r="I218" s="47" t="n"/>
      <c r="J218" s="47" t="n"/>
      <c r="K218" s="49">
        <f>IF(B218="","",IF(J218&lt;&gt;"","مغلق",IF(AND(I218&lt;&gt;"",TODAY()&gt;I218),"مفتوح – متأخر","مفتوح")))</f>
        <v/>
      </c>
    </row>
    <row r="219">
      <c r="A219" s="39">
        <f>IF(B219="","","SNG-"&amp;TEXT(ROW()-4,"0000"))</f>
        <v/>
      </c>
      <c r="B219" s="50" t="n"/>
      <c r="C219" s="49">
        <f>IF(B219="","",IFERROR(INDEX('المشروعات'!$B$5:$B$304,MATCH(B219,'المشروعات'!$A$5:$A$304,0)),""))</f>
        <v/>
      </c>
      <c r="D219" s="40" t="n"/>
      <c r="E219" s="40" t="n"/>
      <c r="F219" s="40" t="n"/>
      <c r="G219" s="40" t="n"/>
      <c r="H219" s="47" t="n"/>
      <c r="I219" s="47" t="n"/>
      <c r="J219" s="47" t="n"/>
      <c r="K219" s="49">
        <f>IF(B219="","",IF(J219&lt;&gt;"","مغلق",IF(AND(I219&lt;&gt;"",TODAY()&gt;I219),"مفتوح – متأخر","مفتوح")))</f>
        <v/>
      </c>
    </row>
    <row r="220">
      <c r="A220" s="39">
        <f>IF(B220="","","SNG-"&amp;TEXT(ROW()-4,"0000"))</f>
        <v/>
      </c>
      <c r="B220" s="50" t="n"/>
      <c r="C220" s="49">
        <f>IF(B220="","",IFERROR(INDEX('المشروعات'!$B$5:$B$304,MATCH(B220,'المشروعات'!$A$5:$A$304,0)),""))</f>
        <v/>
      </c>
      <c r="D220" s="40" t="n"/>
      <c r="E220" s="40" t="n"/>
      <c r="F220" s="40" t="n"/>
      <c r="G220" s="40" t="n"/>
      <c r="H220" s="47" t="n"/>
      <c r="I220" s="47" t="n"/>
      <c r="J220" s="47" t="n"/>
      <c r="K220" s="49">
        <f>IF(B220="","",IF(J220&lt;&gt;"","مغلق",IF(AND(I220&lt;&gt;"",TODAY()&gt;I220),"مفتوح – متأخر","مفتوح")))</f>
        <v/>
      </c>
    </row>
    <row r="221">
      <c r="A221" s="39">
        <f>IF(B221="","","SNG-"&amp;TEXT(ROW()-4,"0000"))</f>
        <v/>
      </c>
      <c r="B221" s="50" t="n"/>
      <c r="C221" s="49">
        <f>IF(B221="","",IFERROR(INDEX('المشروعات'!$B$5:$B$304,MATCH(B221,'المشروعات'!$A$5:$A$304,0)),""))</f>
        <v/>
      </c>
      <c r="D221" s="40" t="n"/>
      <c r="E221" s="40" t="n"/>
      <c r="F221" s="40" t="n"/>
      <c r="G221" s="40" t="n"/>
      <c r="H221" s="47" t="n"/>
      <c r="I221" s="47" t="n"/>
      <c r="J221" s="47" t="n"/>
      <c r="K221" s="49">
        <f>IF(B221="","",IF(J221&lt;&gt;"","مغلق",IF(AND(I221&lt;&gt;"",TODAY()&gt;I221),"مفتوح – متأخر","مفتوح")))</f>
        <v/>
      </c>
    </row>
    <row r="222">
      <c r="A222" s="39">
        <f>IF(B222="","","SNG-"&amp;TEXT(ROW()-4,"0000"))</f>
        <v/>
      </c>
      <c r="B222" s="50" t="n"/>
      <c r="C222" s="49">
        <f>IF(B222="","",IFERROR(INDEX('المشروعات'!$B$5:$B$304,MATCH(B222,'المشروعات'!$A$5:$A$304,0)),""))</f>
        <v/>
      </c>
      <c r="D222" s="40" t="n"/>
      <c r="E222" s="40" t="n"/>
      <c r="F222" s="40" t="n"/>
      <c r="G222" s="40" t="n"/>
      <c r="H222" s="47" t="n"/>
      <c r="I222" s="47" t="n"/>
      <c r="J222" s="47" t="n"/>
      <c r="K222" s="49">
        <f>IF(B222="","",IF(J222&lt;&gt;"","مغلق",IF(AND(I222&lt;&gt;"",TODAY()&gt;I222),"مفتوح – متأخر","مفتوح")))</f>
        <v/>
      </c>
    </row>
    <row r="223">
      <c r="A223" s="39">
        <f>IF(B223="","","SNG-"&amp;TEXT(ROW()-4,"0000"))</f>
        <v/>
      </c>
      <c r="B223" s="50" t="n"/>
      <c r="C223" s="49">
        <f>IF(B223="","",IFERROR(INDEX('المشروعات'!$B$5:$B$304,MATCH(B223,'المشروعات'!$A$5:$A$304,0)),""))</f>
        <v/>
      </c>
      <c r="D223" s="40" t="n"/>
      <c r="E223" s="40" t="n"/>
      <c r="F223" s="40" t="n"/>
      <c r="G223" s="40" t="n"/>
      <c r="H223" s="47" t="n"/>
      <c r="I223" s="47" t="n"/>
      <c r="J223" s="47" t="n"/>
      <c r="K223" s="49">
        <f>IF(B223="","",IF(J223&lt;&gt;"","مغلق",IF(AND(I223&lt;&gt;"",TODAY()&gt;I223),"مفتوح – متأخر","مفتوح")))</f>
        <v/>
      </c>
    </row>
    <row r="224">
      <c r="A224" s="39">
        <f>IF(B224="","","SNG-"&amp;TEXT(ROW()-4,"0000"))</f>
        <v/>
      </c>
      <c r="B224" s="50" t="n"/>
      <c r="C224" s="49">
        <f>IF(B224="","",IFERROR(INDEX('المشروعات'!$B$5:$B$304,MATCH(B224,'المشروعات'!$A$5:$A$304,0)),""))</f>
        <v/>
      </c>
      <c r="D224" s="40" t="n"/>
      <c r="E224" s="40" t="n"/>
      <c r="F224" s="40" t="n"/>
      <c r="G224" s="40" t="n"/>
      <c r="H224" s="47" t="n"/>
      <c r="I224" s="47" t="n"/>
      <c r="J224" s="47" t="n"/>
      <c r="K224" s="49">
        <f>IF(B224="","",IF(J224&lt;&gt;"","مغلق",IF(AND(I224&lt;&gt;"",TODAY()&gt;I224),"مفتوح – متأخر","مفتوح")))</f>
        <v/>
      </c>
    </row>
    <row r="225">
      <c r="A225" s="39">
        <f>IF(B225="","","SNG-"&amp;TEXT(ROW()-4,"0000"))</f>
        <v/>
      </c>
      <c r="B225" s="50" t="n"/>
      <c r="C225" s="49">
        <f>IF(B225="","",IFERROR(INDEX('المشروعات'!$B$5:$B$304,MATCH(B225,'المشروعات'!$A$5:$A$304,0)),""))</f>
        <v/>
      </c>
      <c r="D225" s="40" t="n"/>
      <c r="E225" s="40" t="n"/>
      <c r="F225" s="40" t="n"/>
      <c r="G225" s="40" t="n"/>
      <c r="H225" s="47" t="n"/>
      <c r="I225" s="47" t="n"/>
      <c r="J225" s="47" t="n"/>
      <c r="K225" s="49">
        <f>IF(B225="","",IF(J225&lt;&gt;"","مغلق",IF(AND(I225&lt;&gt;"",TODAY()&gt;I225),"مفتوح – متأخر","مفتوح")))</f>
        <v/>
      </c>
    </row>
    <row r="226">
      <c r="A226" s="39">
        <f>IF(B226="","","SNG-"&amp;TEXT(ROW()-4,"0000"))</f>
        <v/>
      </c>
      <c r="B226" s="50" t="n"/>
      <c r="C226" s="49">
        <f>IF(B226="","",IFERROR(INDEX('المشروعات'!$B$5:$B$304,MATCH(B226,'المشروعات'!$A$5:$A$304,0)),""))</f>
        <v/>
      </c>
      <c r="D226" s="40" t="n"/>
      <c r="E226" s="40" t="n"/>
      <c r="F226" s="40" t="n"/>
      <c r="G226" s="40" t="n"/>
      <c r="H226" s="47" t="n"/>
      <c r="I226" s="47" t="n"/>
      <c r="J226" s="47" t="n"/>
      <c r="K226" s="49">
        <f>IF(B226="","",IF(J226&lt;&gt;"","مغلق",IF(AND(I226&lt;&gt;"",TODAY()&gt;I226),"مفتوح – متأخر","مفتوح")))</f>
        <v/>
      </c>
    </row>
    <row r="227">
      <c r="A227" s="39">
        <f>IF(B227="","","SNG-"&amp;TEXT(ROW()-4,"0000"))</f>
        <v/>
      </c>
      <c r="B227" s="50" t="n"/>
      <c r="C227" s="49">
        <f>IF(B227="","",IFERROR(INDEX('المشروعات'!$B$5:$B$304,MATCH(B227,'المشروعات'!$A$5:$A$304,0)),""))</f>
        <v/>
      </c>
      <c r="D227" s="40" t="n"/>
      <c r="E227" s="40" t="n"/>
      <c r="F227" s="40" t="n"/>
      <c r="G227" s="40" t="n"/>
      <c r="H227" s="47" t="n"/>
      <c r="I227" s="47" t="n"/>
      <c r="J227" s="47" t="n"/>
      <c r="K227" s="49">
        <f>IF(B227="","",IF(J227&lt;&gt;"","مغلق",IF(AND(I227&lt;&gt;"",TODAY()&gt;I227),"مفتوح – متأخر","مفتوح")))</f>
        <v/>
      </c>
    </row>
    <row r="228">
      <c r="A228" s="39">
        <f>IF(B228="","","SNG-"&amp;TEXT(ROW()-4,"0000"))</f>
        <v/>
      </c>
      <c r="B228" s="50" t="n"/>
      <c r="C228" s="49">
        <f>IF(B228="","",IFERROR(INDEX('المشروعات'!$B$5:$B$304,MATCH(B228,'المشروعات'!$A$5:$A$304,0)),""))</f>
        <v/>
      </c>
      <c r="D228" s="40" t="n"/>
      <c r="E228" s="40" t="n"/>
      <c r="F228" s="40" t="n"/>
      <c r="G228" s="40" t="n"/>
      <c r="H228" s="47" t="n"/>
      <c r="I228" s="47" t="n"/>
      <c r="J228" s="47" t="n"/>
      <c r="K228" s="49">
        <f>IF(B228="","",IF(J228&lt;&gt;"","مغلق",IF(AND(I228&lt;&gt;"",TODAY()&gt;I228),"مفتوح – متأخر","مفتوح")))</f>
        <v/>
      </c>
    </row>
    <row r="229">
      <c r="A229" s="39">
        <f>IF(B229="","","SNG-"&amp;TEXT(ROW()-4,"0000"))</f>
        <v/>
      </c>
      <c r="B229" s="50" t="n"/>
      <c r="C229" s="49">
        <f>IF(B229="","",IFERROR(INDEX('المشروعات'!$B$5:$B$304,MATCH(B229,'المشروعات'!$A$5:$A$304,0)),""))</f>
        <v/>
      </c>
      <c r="D229" s="40" t="n"/>
      <c r="E229" s="40" t="n"/>
      <c r="F229" s="40" t="n"/>
      <c r="G229" s="40" t="n"/>
      <c r="H229" s="47" t="n"/>
      <c r="I229" s="47" t="n"/>
      <c r="J229" s="47" t="n"/>
      <c r="K229" s="49">
        <f>IF(B229="","",IF(J229&lt;&gt;"","مغلق",IF(AND(I229&lt;&gt;"",TODAY()&gt;I229),"مفتوح – متأخر","مفتوح")))</f>
        <v/>
      </c>
    </row>
    <row r="230">
      <c r="A230" s="39">
        <f>IF(B230="","","SNG-"&amp;TEXT(ROW()-4,"0000"))</f>
        <v/>
      </c>
      <c r="B230" s="50" t="n"/>
      <c r="C230" s="49">
        <f>IF(B230="","",IFERROR(INDEX('المشروعات'!$B$5:$B$304,MATCH(B230,'المشروعات'!$A$5:$A$304,0)),""))</f>
        <v/>
      </c>
      <c r="D230" s="40" t="n"/>
      <c r="E230" s="40" t="n"/>
      <c r="F230" s="40" t="n"/>
      <c r="G230" s="40" t="n"/>
      <c r="H230" s="47" t="n"/>
      <c r="I230" s="47" t="n"/>
      <c r="J230" s="47" t="n"/>
      <c r="K230" s="49">
        <f>IF(B230="","",IF(J230&lt;&gt;"","مغلق",IF(AND(I230&lt;&gt;"",TODAY()&gt;I230),"مفتوح – متأخر","مفتوح")))</f>
        <v/>
      </c>
    </row>
    <row r="231">
      <c r="A231" s="39">
        <f>IF(B231="","","SNG-"&amp;TEXT(ROW()-4,"0000"))</f>
        <v/>
      </c>
      <c r="B231" s="50" t="n"/>
      <c r="C231" s="49">
        <f>IF(B231="","",IFERROR(INDEX('المشروعات'!$B$5:$B$304,MATCH(B231,'المشروعات'!$A$5:$A$304,0)),""))</f>
        <v/>
      </c>
      <c r="D231" s="40" t="n"/>
      <c r="E231" s="40" t="n"/>
      <c r="F231" s="40" t="n"/>
      <c r="G231" s="40" t="n"/>
      <c r="H231" s="47" t="n"/>
      <c r="I231" s="47" t="n"/>
      <c r="J231" s="47" t="n"/>
      <c r="K231" s="49">
        <f>IF(B231="","",IF(J231&lt;&gt;"","مغلق",IF(AND(I231&lt;&gt;"",TODAY()&gt;I231),"مفتوح – متأخر","مفتوح")))</f>
        <v/>
      </c>
    </row>
    <row r="232">
      <c r="A232" s="39">
        <f>IF(B232="","","SNG-"&amp;TEXT(ROW()-4,"0000"))</f>
        <v/>
      </c>
      <c r="B232" s="50" t="n"/>
      <c r="C232" s="49">
        <f>IF(B232="","",IFERROR(INDEX('المشروعات'!$B$5:$B$304,MATCH(B232,'المشروعات'!$A$5:$A$304,0)),""))</f>
        <v/>
      </c>
      <c r="D232" s="40" t="n"/>
      <c r="E232" s="40" t="n"/>
      <c r="F232" s="40" t="n"/>
      <c r="G232" s="40" t="n"/>
      <c r="H232" s="47" t="n"/>
      <c r="I232" s="47" t="n"/>
      <c r="J232" s="47" t="n"/>
      <c r="K232" s="49">
        <f>IF(B232="","",IF(J232&lt;&gt;"","مغلق",IF(AND(I232&lt;&gt;"",TODAY()&gt;I232),"مفتوح – متأخر","مفتوح")))</f>
        <v/>
      </c>
    </row>
    <row r="233">
      <c r="A233" s="39">
        <f>IF(B233="","","SNG-"&amp;TEXT(ROW()-4,"0000"))</f>
        <v/>
      </c>
      <c r="B233" s="50" t="n"/>
      <c r="C233" s="49">
        <f>IF(B233="","",IFERROR(INDEX('المشروعات'!$B$5:$B$304,MATCH(B233,'المشروعات'!$A$5:$A$304,0)),""))</f>
        <v/>
      </c>
      <c r="D233" s="40" t="n"/>
      <c r="E233" s="40" t="n"/>
      <c r="F233" s="40" t="n"/>
      <c r="G233" s="40" t="n"/>
      <c r="H233" s="47" t="n"/>
      <c r="I233" s="47" t="n"/>
      <c r="J233" s="47" t="n"/>
      <c r="K233" s="49">
        <f>IF(B233="","",IF(J233&lt;&gt;"","مغلق",IF(AND(I233&lt;&gt;"",TODAY()&gt;I233),"مفتوح – متأخر","مفتوح")))</f>
        <v/>
      </c>
    </row>
    <row r="234">
      <c r="A234" s="39">
        <f>IF(B234="","","SNG-"&amp;TEXT(ROW()-4,"0000"))</f>
        <v/>
      </c>
      <c r="B234" s="50" t="n"/>
      <c r="C234" s="49">
        <f>IF(B234="","",IFERROR(INDEX('المشروعات'!$B$5:$B$304,MATCH(B234,'المشروعات'!$A$5:$A$304,0)),""))</f>
        <v/>
      </c>
      <c r="D234" s="40" t="n"/>
      <c r="E234" s="40" t="n"/>
      <c r="F234" s="40" t="n"/>
      <c r="G234" s="40" t="n"/>
      <c r="H234" s="47" t="n"/>
      <c r="I234" s="47" t="n"/>
      <c r="J234" s="47" t="n"/>
      <c r="K234" s="49">
        <f>IF(B234="","",IF(J234&lt;&gt;"","مغلق",IF(AND(I234&lt;&gt;"",TODAY()&gt;I234),"مفتوح – متأخر","مفتوح")))</f>
        <v/>
      </c>
    </row>
    <row r="235">
      <c r="A235" s="39">
        <f>IF(B235="","","SNG-"&amp;TEXT(ROW()-4,"0000"))</f>
        <v/>
      </c>
      <c r="B235" s="50" t="n"/>
      <c r="C235" s="49">
        <f>IF(B235="","",IFERROR(INDEX('المشروعات'!$B$5:$B$304,MATCH(B235,'المشروعات'!$A$5:$A$304,0)),""))</f>
        <v/>
      </c>
      <c r="D235" s="40" t="n"/>
      <c r="E235" s="40" t="n"/>
      <c r="F235" s="40" t="n"/>
      <c r="G235" s="40" t="n"/>
      <c r="H235" s="47" t="n"/>
      <c r="I235" s="47" t="n"/>
      <c r="J235" s="47" t="n"/>
      <c r="K235" s="49">
        <f>IF(B235="","",IF(J235&lt;&gt;"","مغلق",IF(AND(I235&lt;&gt;"",TODAY()&gt;I235),"مفتوح – متأخر","مفتوح")))</f>
        <v/>
      </c>
    </row>
    <row r="236">
      <c r="A236" s="39">
        <f>IF(B236="","","SNG-"&amp;TEXT(ROW()-4,"0000"))</f>
        <v/>
      </c>
      <c r="B236" s="50" t="n"/>
      <c r="C236" s="49">
        <f>IF(B236="","",IFERROR(INDEX('المشروعات'!$B$5:$B$304,MATCH(B236,'المشروعات'!$A$5:$A$304,0)),""))</f>
        <v/>
      </c>
      <c r="D236" s="40" t="n"/>
      <c r="E236" s="40" t="n"/>
      <c r="F236" s="40" t="n"/>
      <c r="G236" s="40" t="n"/>
      <c r="H236" s="47" t="n"/>
      <c r="I236" s="47" t="n"/>
      <c r="J236" s="47" t="n"/>
      <c r="K236" s="49">
        <f>IF(B236="","",IF(J236&lt;&gt;"","مغلق",IF(AND(I236&lt;&gt;"",TODAY()&gt;I236),"مفتوح – متأخر","مفتوح")))</f>
        <v/>
      </c>
    </row>
    <row r="237">
      <c r="A237" s="39">
        <f>IF(B237="","","SNG-"&amp;TEXT(ROW()-4,"0000"))</f>
        <v/>
      </c>
      <c r="B237" s="50" t="n"/>
      <c r="C237" s="49">
        <f>IF(B237="","",IFERROR(INDEX('المشروعات'!$B$5:$B$304,MATCH(B237,'المشروعات'!$A$5:$A$304,0)),""))</f>
        <v/>
      </c>
      <c r="D237" s="40" t="n"/>
      <c r="E237" s="40" t="n"/>
      <c r="F237" s="40" t="n"/>
      <c r="G237" s="40" t="n"/>
      <c r="H237" s="47" t="n"/>
      <c r="I237" s="47" t="n"/>
      <c r="J237" s="47" t="n"/>
      <c r="K237" s="49">
        <f>IF(B237="","",IF(J237&lt;&gt;"","مغلق",IF(AND(I237&lt;&gt;"",TODAY()&gt;I237),"مفتوح – متأخر","مفتوح")))</f>
        <v/>
      </c>
    </row>
    <row r="238">
      <c r="A238" s="39">
        <f>IF(B238="","","SNG-"&amp;TEXT(ROW()-4,"0000"))</f>
        <v/>
      </c>
      <c r="B238" s="50" t="n"/>
      <c r="C238" s="49">
        <f>IF(B238="","",IFERROR(INDEX('المشروعات'!$B$5:$B$304,MATCH(B238,'المشروعات'!$A$5:$A$304,0)),""))</f>
        <v/>
      </c>
      <c r="D238" s="40" t="n"/>
      <c r="E238" s="40" t="n"/>
      <c r="F238" s="40" t="n"/>
      <c r="G238" s="40" t="n"/>
      <c r="H238" s="47" t="n"/>
      <c r="I238" s="47" t="n"/>
      <c r="J238" s="47" t="n"/>
      <c r="K238" s="49">
        <f>IF(B238="","",IF(J238&lt;&gt;"","مغلق",IF(AND(I238&lt;&gt;"",TODAY()&gt;I238),"مفتوح – متأخر","مفتوح")))</f>
        <v/>
      </c>
    </row>
    <row r="239">
      <c r="A239" s="39">
        <f>IF(B239="","","SNG-"&amp;TEXT(ROW()-4,"0000"))</f>
        <v/>
      </c>
      <c r="B239" s="50" t="n"/>
      <c r="C239" s="49">
        <f>IF(B239="","",IFERROR(INDEX('المشروعات'!$B$5:$B$304,MATCH(B239,'المشروعات'!$A$5:$A$304,0)),""))</f>
        <v/>
      </c>
      <c r="D239" s="40" t="n"/>
      <c r="E239" s="40" t="n"/>
      <c r="F239" s="40" t="n"/>
      <c r="G239" s="40" t="n"/>
      <c r="H239" s="47" t="n"/>
      <c r="I239" s="47" t="n"/>
      <c r="J239" s="47" t="n"/>
      <c r="K239" s="49">
        <f>IF(B239="","",IF(J239&lt;&gt;"","مغلق",IF(AND(I239&lt;&gt;"",TODAY()&gt;I239),"مفتوح – متأخر","مفتوح")))</f>
        <v/>
      </c>
    </row>
    <row r="240">
      <c r="A240" s="39">
        <f>IF(B240="","","SNG-"&amp;TEXT(ROW()-4,"0000"))</f>
        <v/>
      </c>
      <c r="B240" s="50" t="n"/>
      <c r="C240" s="49">
        <f>IF(B240="","",IFERROR(INDEX('المشروعات'!$B$5:$B$304,MATCH(B240,'المشروعات'!$A$5:$A$304,0)),""))</f>
        <v/>
      </c>
      <c r="D240" s="40" t="n"/>
      <c r="E240" s="40" t="n"/>
      <c r="F240" s="40" t="n"/>
      <c r="G240" s="40" t="n"/>
      <c r="H240" s="47" t="n"/>
      <c r="I240" s="47" t="n"/>
      <c r="J240" s="47" t="n"/>
      <c r="K240" s="49">
        <f>IF(B240="","",IF(J240&lt;&gt;"","مغلق",IF(AND(I240&lt;&gt;"",TODAY()&gt;I240),"مفتوح – متأخر","مفتوح")))</f>
        <v/>
      </c>
    </row>
    <row r="241">
      <c r="A241" s="39">
        <f>IF(B241="","","SNG-"&amp;TEXT(ROW()-4,"0000"))</f>
        <v/>
      </c>
      <c r="B241" s="50" t="n"/>
      <c r="C241" s="49">
        <f>IF(B241="","",IFERROR(INDEX('المشروعات'!$B$5:$B$304,MATCH(B241,'المشروعات'!$A$5:$A$304,0)),""))</f>
        <v/>
      </c>
      <c r="D241" s="40" t="n"/>
      <c r="E241" s="40" t="n"/>
      <c r="F241" s="40" t="n"/>
      <c r="G241" s="40" t="n"/>
      <c r="H241" s="47" t="n"/>
      <c r="I241" s="47" t="n"/>
      <c r="J241" s="47" t="n"/>
      <c r="K241" s="49">
        <f>IF(B241="","",IF(J241&lt;&gt;"","مغلق",IF(AND(I241&lt;&gt;"",TODAY()&gt;I241),"مفتوح – متأخر","مفتوح")))</f>
        <v/>
      </c>
    </row>
    <row r="242">
      <c r="A242" s="39">
        <f>IF(B242="","","SNG-"&amp;TEXT(ROW()-4,"0000"))</f>
        <v/>
      </c>
      <c r="B242" s="50" t="n"/>
      <c r="C242" s="49">
        <f>IF(B242="","",IFERROR(INDEX('المشروعات'!$B$5:$B$304,MATCH(B242,'المشروعات'!$A$5:$A$304,0)),""))</f>
        <v/>
      </c>
      <c r="D242" s="40" t="n"/>
      <c r="E242" s="40" t="n"/>
      <c r="F242" s="40" t="n"/>
      <c r="G242" s="40" t="n"/>
      <c r="H242" s="47" t="n"/>
      <c r="I242" s="47" t="n"/>
      <c r="J242" s="47" t="n"/>
      <c r="K242" s="49">
        <f>IF(B242="","",IF(J242&lt;&gt;"","مغلق",IF(AND(I242&lt;&gt;"",TODAY()&gt;I242),"مفتوح – متأخر","مفتوح")))</f>
        <v/>
      </c>
    </row>
    <row r="243">
      <c r="A243" s="39">
        <f>IF(B243="","","SNG-"&amp;TEXT(ROW()-4,"0000"))</f>
        <v/>
      </c>
      <c r="B243" s="50" t="n"/>
      <c r="C243" s="49">
        <f>IF(B243="","",IFERROR(INDEX('المشروعات'!$B$5:$B$304,MATCH(B243,'المشروعات'!$A$5:$A$304,0)),""))</f>
        <v/>
      </c>
      <c r="D243" s="40" t="n"/>
      <c r="E243" s="40" t="n"/>
      <c r="F243" s="40" t="n"/>
      <c r="G243" s="40" t="n"/>
      <c r="H243" s="47" t="n"/>
      <c r="I243" s="47" t="n"/>
      <c r="J243" s="47" t="n"/>
      <c r="K243" s="49">
        <f>IF(B243="","",IF(J243&lt;&gt;"","مغلق",IF(AND(I243&lt;&gt;"",TODAY()&gt;I243),"مفتوح – متأخر","مفتوح")))</f>
        <v/>
      </c>
    </row>
    <row r="244">
      <c r="A244" s="39">
        <f>IF(B244="","","SNG-"&amp;TEXT(ROW()-4,"0000"))</f>
        <v/>
      </c>
      <c r="B244" s="50" t="n"/>
      <c r="C244" s="49">
        <f>IF(B244="","",IFERROR(INDEX('المشروعات'!$B$5:$B$304,MATCH(B244,'المشروعات'!$A$5:$A$304,0)),""))</f>
        <v/>
      </c>
      <c r="D244" s="40" t="n"/>
      <c r="E244" s="40" t="n"/>
      <c r="F244" s="40" t="n"/>
      <c r="G244" s="40" t="n"/>
      <c r="H244" s="47" t="n"/>
      <c r="I244" s="47" t="n"/>
      <c r="J244" s="47" t="n"/>
      <c r="K244" s="49">
        <f>IF(B244="","",IF(J244&lt;&gt;"","مغلق",IF(AND(I244&lt;&gt;"",TODAY()&gt;I244),"مفتوح – متأخر","مفتوح")))</f>
        <v/>
      </c>
    </row>
    <row r="245">
      <c r="A245" s="39">
        <f>IF(B245="","","SNG-"&amp;TEXT(ROW()-4,"0000"))</f>
        <v/>
      </c>
      <c r="B245" s="50" t="n"/>
      <c r="C245" s="49">
        <f>IF(B245="","",IFERROR(INDEX('المشروعات'!$B$5:$B$304,MATCH(B245,'المشروعات'!$A$5:$A$304,0)),""))</f>
        <v/>
      </c>
      <c r="D245" s="40" t="n"/>
      <c r="E245" s="40" t="n"/>
      <c r="F245" s="40" t="n"/>
      <c r="G245" s="40" t="n"/>
      <c r="H245" s="47" t="n"/>
      <c r="I245" s="47" t="n"/>
      <c r="J245" s="47" t="n"/>
      <c r="K245" s="49">
        <f>IF(B245="","",IF(J245&lt;&gt;"","مغلق",IF(AND(I245&lt;&gt;"",TODAY()&gt;I245),"مفتوح – متأخر","مفتوح")))</f>
        <v/>
      </c>
    </row>
    <row r="246">
      <c r="A246" s="39">
        <f>IF(B246="","","SNG-"&amp;TEXT(ROW()-4,"0000"))</f>
        <v/>
      </c>
      <c r="B246" s="50" t="n"/>
      <c r="C246" s="49">
        <f>IF(B246="","",IFERROR(INDEX('المشروعات'!$B$5:$B$304,MATCH(B246,'المشروعات'!$A$5:$A$304,0)),""))</f>
        <v/>
      </c>
      <c r="D246" s="40" t="n"/>
      <c r="E246" s="40" t="n"/>
      <c r="F246" s="40" t="n"/>
      <c r="G246" s="40" t="n"/>
      <c r="H246" s="47" t="n"/>
      <c r="I246" s="47" t="n"/>
      <c r="J246" s="47" t="n"/>
      <c r="K246" s="49">
        <f>IF(B246="","",IF(J246&lt;&gt;"","مغلق",IF(AND(I246&lt;&gt;"",TODAY()&gt;I246),"مفتوح – متأخر","مفتوح")))</f>
        <v/>
      </c>
    </row>
    <row r="247">
      <c r="A247" s="39">
        <f>IF(B247="","","SNG-"&amp;TEXT(ROW()-4,"0000"))</f>
        <v/>
      </c>
      <c r="B247" s="50" t="n"/>
      <c r="C247" s="49">
        <f>IF(B247="","",IFERROR(INDEX('المشروعات'!$B$5:$B$304,MATCH(B247,'المشروعات'!$A$5:$A$304,0)),""))</f>
        <v/>
      </c>
      <c r="D247" s="40" t="n"/>
      <c r="E247" s="40" t="n"/>
      <c r="F247" s="40" t="n"/>
      <c r="G247" s="40" t="n"/>
      <c r="H247" s="47" t="n"/>
      <c r="I247" s="47" t="n"/>
      <c r="J247" s="47" t="n"/>
      <c r="K247" s="49">
        <f>IF(B247="","",IF(J247&lt;&gt;"","مغلق",IF(AND(I247&lt;&gt;"",TODAY()&gt;I247),"مفتوح – متأخر","مفتوح")))</f>
        <v/>
      </c>
    </row>
    <row r="248">
      <c r="A248" s="39">
        <f>IF(B248="","","SNG-"&amp;TEXT(ROW()-4,"0000"))</f>
        <v/>
      </c>
      <c r="B248" s="50" t="n"/>
      <c r="C248" s="49">
        <f>IF(B248="","",IFERROR(INDEX('المشروعات'!$B$5:$B$304,MATCH(B248,'المشروعات'!$A$5:$A$304,0)),""))</f>
        <v/>
      </c>
      <c r="D248" s="40" t="n"/>
      <c r="E248" s="40" t="n"/>
      <c r="F248" s="40" t="n"/>
      <c r="G248" s="40" t="n"/>
      <c r="H248" s="47" t="n"/>
      <c r="I248" s="47" t="n"/>
      <c r="J248" s="47" t="n"/>
      <c r="K248" s="49">
        <f>IF(B248="","",IF(J248&lt;&gt;"","مغلق",IF(AND(I248&lt;&gt;"",TODAY()&gt;I248),"مفتوح – متأخر","مفتوح")))</f>
        <v/>
      </c>
    </row>
    <row r="249">
      <c r="A249" s="39">
        <f>IF(B249="","","SNG-"&amp;TEXT(ROW()-4,"0000"))</f>
        <v/>
      </c>
      <c r="B249" s="50" t="n"/>
      <c r="C249" s="49">
        <f>IF(B249="","",IFERROR(INDEX('المشروعات'!$B$5:$B$304,MATCH(B249,'المشروعات'!$A$5:$A$304,0)),""))</f>
        <v/>
      </c>
      <c r="D249" s="40" t="n"/>
      <c r="E249" s="40" t="n"/>
      <c r="F249" s="40" t="n"/>
      <c r="G249" s="40" t="n"/>
      <c r="H249" s="47" t="n"/>
      <c r="I249" s="47" t="n"/>
      <c r="J249" s="47" t="n"/>
      <c r="K249" s="49">
        <f>IF(B249="","",IF(J249&lt;&gt;"","مغلق",IF(AND(I249&lt;&gt;"",TODAY()&gt;I249),"مفتوح – متأخر","مفتوح")))</f>
        <v/>
      </c>
    </row>
    <row r="250">
      <c r="A250" s="39">
        <f>IF(B250="","","SNG-"&amp;TEXT(ROW()-4,"0000"))</f>
        <v/>
      </c>
      <c r="B250" s="50" t="n"/>
      <c r="C250" s="49">
        <f>IF(B250="","",IFERROR(INDEX('المشروعات'!$B$5:$B$304,MATCH(B250,'المشروعات'!$A$5:$A$304,0)),""))</f>
        <v/>
      </c>
      <c r="D250" s="40" t="n"/>
      <c r="E250" s="40" t="n"/>
      <c r="F250" s="40" t="n"/>
      <c r="G250" s="40" t="n"/>
      <c r="H250" s="47" t="n"/>
      <c r="I250" s="47" t="n"/>
      <c r="J250" s="47" t="n"/>
      <c r="K250" s="49">
        <f>IF(B250="","",IF(J250&lt;&gt;"","مغلق",IF(AND(I250&lt;&gt;"",TODAY()&gt;I250),"مفتوح – متأخر","مفتوح")))</f>
        <v/>
      </c>
    </row>
    <row r="251">
      <c r="A251" s="39">
        <f>IF(B251="","","SNG-"&amp;TEXT(ROW()-4,"0000"))</f>
        <v/>
      </c>
      <c r="B251" s="50" t="n"/>
      <c r="C251" s="49">
        <f>IF(B251="","",IFERROR(INDEX('المشروعات'!$B$5:$B$304,MATCH(B251,'المشروعات'!$A$5:$A$304,0)),""))</f>
        <v/>
      </c>
      <c r="D251" s="40" t="n"/>
      <c r="E251" s="40" t="n"/>
      <c r="F251" s="40" t="n"/>
      <c r="G251" s="40" t="n"/>
      <c r="H251" s="47" t="n"/>
      <c r="I251" s="47" t="n"/>
      <c r="J251" s="47" t="n"/>
      <c r="K251" s="49">
        <f>IF(B251="","",IF(J251&lt;&gt;"","مغلق",IF(AND(I251&lt;&gt;"",TODAY()&gt;I251),"مفتوح – متأخر","مفتوح")))</f>
        <v/>
      </c>
    </row>
    <row r="252">
      <c r="A252" s="39">
        <f>IF(B252="","","SNG-"&amp;TEXT(ROW()-4,"0000"))</f>
        <v/>
      </c>
      <c r="B252" s="50" t="n"/>
      <c r="C252" s="49">
        <f>IF(B252="","",IFERROR(INDEX('المشروعات'!$B$5:$B$304,MATCH(B252,'المشروعات'!$A$5:$A$304,0)),""))</f>
        <v/>
      </c>
      <c r="D252" s="40" t="n"/>
      <c r="E252" s="40" t="n"/>
      <c r="F252" s="40" t="n"/>
      <c r="G252" s="40" t="n"/>
      <c r="H252" s="47" t="n"/>
      <c r="I252" s="47" t="n"/>
      <c r="J252" s="47" t="n"/>
      <c r="K252" s="49">
        <f>IF(B252="","",IF(J252&lt;&gt;"","مغلق",IF(AND(I252&lt;&gt;"",TODAY()&gt;I252),"مفتوح – متأخر","مفتوح")))</f>
        <v/>
      </c>
    </row>
    <row r="253">
      <c r="A253" s="39">
        <f>IF(B253="","","SNG-"&amp;TEXT(ROW()-4,"0000"))</f>
        <v/>
      </c>
      <c r="B253" s="50" t="n"/>
      <c r="C253" s="49">
        <f>IF(B253="","",IFERROR(INDEX('المشروعات'!$B$5:$B$304,MATCH(B253,'المشروعات'!$A$5:$A$304,0)),""))</f>
        <v/>
      </c>
      <c r="D253" s="40" t="n"/>
      <c r="E253" s="40" t="n"/>
      <c r="F253" s="40" t="n"/>
      <c r="G253" s="40" t="n"/>
      <c r="H253" s="47" t="n"/>
      <c r="I253" s="47" t="n"/>
      <c r="J253" s="47" t="n"/>
      <c r="K253" s="49">
        <f>IF(B253="","",IF(J253&lt;&gt;"","مغلق",IF(AND(I253&lt;&gt;"",TODAY()&gt;I253),"مفتوح – متأخر","مفتوح")))</f>
        <v/>
      </c>
    </row>
    <row r="254">
      <c r="A254" s="39">
        <f>IF(B254="","","SNG-"&amp;TEXT(ROW()-4,"0000"))</f>
        <v/>
      </c>
      <c r="B254" s="50" t="n"/>
      <c r="C254" s="49">
        <f>IF(B254="","",IFERROR(INDEX('المشروعات'!$B$5:$B$304,MATCH(B254,'المشروعات'!$A$5:$A$304,0)),""))</f>
        <v/>
      </c>
      <c r="D254" s="40" t="n"/>
      <c r="E254" s="40" t="n"/>
      <c r="F254" s="40" t="n"/>
      <c r="G254" s="40" t="n"/>
      <c r="H254" s="47" t="n"/>
      <c r="I254" s="47" t="n"/>
      <c r="J254" s="47" t="n"/>
      <c r="K254" s="49">
        <f>IF(B254="","",IF(J254&lt;&gt;"","مغلق",IF(AND(I254&lt;&gt;"",TODAY()&gt;I254),"مفتوح – متأخر","مفتوح")))</f>
        <v/>
      </c>
    </row>
    <row r="255">
      <c r="A255" s="39">
        <f>IF(B255="","","SNG-"&amp;TEXT(ROW()-4,"0000"))</f>
        <v/>
      </c>
      <c r="B255" s="50" t="n"/>
      <c r="C255" s="49">
        <f>IF(B255="","",IFERROR(INDEX('المشروعات'!$B$5:$B$304,MATCH(B255,'المشروعات'!$A$5:$A$304,0)),""))</f>
        <v/>
      </c>
      <c r="D255" s="40" t="n"/>
      <c r="E255" s="40" t="n"/>
      <c r="F255" s="40" t="n"/>
      <c r="G255" s="40" t="n"/>
      <c r="H255" s="47" t="n"/>
      <c r="I255" s="47" t="n"/>
      <c r="J255" s="47" t="n"/>
      <c r="K255" s="49">
        <f>IF(B255="","",IF(J255&lt;&gt;"","مغلق",IF(AND(I255&lt;&gt;"",TODAY()&gt;I255),"مفتوح – متأخر","مفتوح")))</f>
        <v/>
      </c>
    </row>
    <row r="256">
      <c r="A256" s="39">
        <f>IF(B256="","","SNG-"&amp;TEXT(ROW()-4,"0000"))</f>
        <v/>
      </c>
      <c r="B256" s="50" t="n"/>
      <c r="C256" s="49">
        <f>IF(B256="","",IFERROR(INDEX('المشروعات'!$B$5:$B$304,MATCH(B256,'المشروعات'!$A$5:$A$304,0)),""))</f>
        <v/>
      </c>
      <c r="D256" s="40" t="n"/>
      <c r="E256" s="40" t="n"/>
      <c r="F256" s="40" t="n"/>
      <c r="G256" s="40" t="n"/>
      <c r="H256" s="47" t="n"/>
      <c r="I256" s="47" t="n"/>
      <c r="J256" s="47" t="n"/>
      <c r="K256" s="49">
        <f>IF(B256="","",IF(J256&lt;&gt;"","مغلق",IF(AND(I256&lt;&gt;"",TODAY()&gt;I256),"مفتوح – متأخر","مفتوح")))</f>
        <v/>
      </c>
    </row>
    <row r="257">
      <c r="A257" s="39">
        <f>IF(B257="","","SNG-"&amp;TEXT(ROW()-4,"0000"))</f>
        <v/>
      </c>
      <c r="B257" s="50" t="n"/>
      <c r="C257" s="49">
        <f>IF(B257="","",IFERROR(INDEX('المشروعات'!$B$5:$B$304,MATCH(B257,'المشروعات'!$A$5:$A$304,0)),""))</f>
        <v/>
      </c>
      <c r="D257" s="40" t="n"/>
      <c r="E257" s="40" t="n"/>
      <c r="F257" s="40" t="n"/>
      <c r="G257" s="40" t="n"/>
      <c r="H257" s="47" t="n"/>
      <c r="I257" s="47" t="n"/>
      <c r="J257" s="47" t="n"/>
      <c r="K257" s="49">
        <f>IF(B257="","",IF(J257&lt;&gt;"","مغلق",IF(AND(I257&lt;&gt;"",TODAY()&gt;I257),"مفتوح – متأخر","مفتوح")))</f>
        <v/>
      </c>
    </row>
    <row r="258">
      <c r="A258" s="39">
        <f>IF(B258="","","SNG-"&amp;TEXT(ROW()-4,"0000"))</f>
        <v/>
      </c>
      <c r="B258" s="50" t="n"/>
      <c r="C258" s="49">
        <f>IF(B258="","",IFERROR(INDEX('المشروعات'!$B$5:$B$304,MATCH(B258,'المشروعات'!$A$5:$A$304,0)),""))</f>
        <v/>
      </c>
      <c r="D258" s="40" t="n"/>
      <c r="E258" s="40" t="n"/>
      <c r="F258" s="40" t="n"/>
      <c r="G258" s="40" t="n"/>
      <c r="H258" s="47" t="n"/>
      <c r="I258" s="47" t="n"/>
      <c r="J258" s="47" t="n"/>
      <c r="K258" s="49">
        <f>IF(B258="","",IF(J258&lt;&gt;"","مغلق",IF(AND(I258&lt;&gt;"",TODAY()&gt;I258),"مفتوح – متأخر","مفتوح")))</f>
        <v/>
      </c>
    </row>
    <row r="259">
      <c r="A259" s="39">
        <f>IF(B259="","","SNG-"&amp;TEXT(ROW()-4,"0000"))</f>
        <v/>
      </c>
      <c r="B259" s="50" t="n"/>
      <c r="C259" s="49">
        <f>IF(B259="","",IFERROR(INDEX('المشروعات'!$B$5:$B$304,MATCH(B259,'المشروعات'!$A$5:$A$304,0)),""))</f>
        <v/>
      </c>
      <c r="D259" s="40" t="n"/>
      <c r="E259" s="40" t="n"/>
      <c r="F259" s="40" t="n"/>
      <c r="G259" s="40" t="n"/>
      <c r="H259" s="47" t="n"/>
      <c r="I259" s="47" t="n"/>
      <c r="J259" s="47" t="n"/>
      <c r="K259" s="49">
        <f>IF(B259="","",IF(J259&lt;&gt;"","مغلق",IF(AND(I259&lt;&gt;"",TODAY()&gt;I259),"مفتوح – متأخر","مفتوح")))</f>
        <v/>
      </c>
    </row>
    <row r="260">
      <c r="A260" s="39">
        <f>IF(B260="","","SNG-"&amp;TEXT(ROW()-4,"0000"))</f>
        <v/>
      </c>
      <c r="B260" s="50" t="n"/>
      <c r="C260" s="49">
        <f>IF(B260="","",IFERROR(INDEX('المشروعات'!$B$5:$B$304,MATCH(B260,'المشروعات'!$A$5:$A$304,0)),""))</f>
        <v/>
      </c>
      <c r="D260" s="40" t="n"/>
      <c r="E260" s="40" t="n"/>
      <c r="F260" s="40" t="n"/>
      <c r="G260" s="40" t="n"/>
      <c r="H260" s="47" t="n"/>
      <c r="I260" s="47" t="n"/>
      <c r="J260" s="47" t="n"/>
      <c r="K260" s="49">
        <f>IF(B260="","",IF(J260&lt;&gt;"","مغلق",IF(AND(I260&lt;&gt;"",TODAY()&gt;I260),"مفتوح – متأخر","مفتوح")))</f>
        <v/>
      </c>
    </row>
    <row r="261">
      <c r="A261" s="39">
        <f>IF(B261="","","SNG-"&amp;TEXT(ROW()-4,"0000"))</f>
        <v/>
      </c>
      <c r="B261" s="50" t="n"/>
      <c r="C261" s="49">
        <f>IF(B261="","",IFERROR(INDEX('المشروعات'!$B$5:$B$304,MATCH(B261,'المشروعات'!$A$5:$A$304,0)),""))</f>
        <v/>
      </c>
      <c r="D261" s="40" t="n"/>
      <c r="E261" s="40" t="n"/>
      <c r="F261" s="40" t="n"/>
      <c r="G261" s="40" t="n"/>
      <c r="H261" s="47" t="n"/>
      <c r="I261" s="47" t="n"/>
      <c r="J261" s="47" t="n"/>
      <c r="K261" s="49">
        <f>IF(B261="","",IF(J261&lt;&gt;"","مغلق",IF(AND(I261&lt;&gt;"",TODAY()&gt;I261),"مفتوح – متأخر","مفتوح")))</f>
        <v/>
      </c>
    </row>
    <row r="262">
      <c r="A262" s="39">
        <f>IF(B262="","","SNG-"&amp;TEXT(ROW()-4,"0000"))</f>
        <v/>
      </c>
      <c r="B262" s="50" t="n"/>
      <c r="C262" s="49">
        <f>IF(B262="","",IFERROR(INDEX('المشروعات'!$B$5:$B$304,MATCH(B262,'المشروعات'!$A$5:$A$304,0)),""))</f>
        <v/>
      </c>
      <c r="D262" s="40" t="n"/>
      <c r="E262" s="40" t="n"/>
      <c r="F262" s="40" t="n"/>
      <c r="G262" s="40" t="n"/>
      <c r="H262" s="47" t="n"/>
      <c r="I262" s="47" t="n"/>
      <c r="J262" s="47" t="n"/>
      <c r="K262" s="49">
        <f>IF(B262="","",IF(J262&lt;&gt;"","مغلق",IF(AND(I262&lt;&gt;"",TODAY()&gt;I262),"مفتوح – متأخر","مفتوح")))</f>
        <v/>
      </c>
    </row>
    <row r="263">
      <c r="A263" s="39">
        <f>IF(B263="","","SNG-"&amp;TEXT(ROW()-4,"0000"))</f>
        <v/>
      </c>
      <c r="B263" s="50" t="n"/>
      <c r="C263" s="49">
        <f>IF(B263="","",IFERROR(INDEX('المشروعات'!$B$5:$B$304,MATCH(B263,'المشروعات'!$A$5:$A$304,0)),""))</f>
        <v/>
      </c>
      <c r="D263" s="40" t="n"/>
      <c r="E263" s="40" t="n"/>
      <c r="F263" s="40" t="n"/>
      <c r="G263" s="40" t="n"/>
      <c r="H263" s="47" t="n"/>
      <c r="I263" s="47" t="n"/>
      <c r="J263" s="47" t="n"/>
      <c r="K263" s="49">
        <f>IF(B263="","",IF(J263&lt;&gt;"","مغلق",IF(AND(I263&lt;&gt;"",TODAY()&gt;I263),"مفتوح – متأخر","مفتوح")))</f>
        <v/>
      </c>
    </row>
    <row r="264">
      <c r="A264" s="39">
        <f>IF(B264="","","SNG-"&amp;TEXT(ROW()-4,"0000"))</f>
        <v/>
      </c>
      <c r="B264" s="50" t="n"/>
      <c r="C264" s="49">
        <f>IF(B264="","",IFERROR(INDEX('المشروعات'!$B$5:$B$304,MATCH(B264,'المشروعات'!$A$5:$A$304,0)),""))</f>
        <v/>
      </c>
      <c r="D264" s="40" t="n"/>
      <c r="E264" s="40" t="n"/>
      <c r="F264" s="40" t="n"/>
      <c r="G264" s="40" t="n"/>
      <c r="H264" s="47" t="n"/>
      <c r="I264" s="47" t="n"/>
      <c r="J264" s="47" t="n"/>
      <c r="K264" s="49">
        <f>IF(B264="","",IF(J264&lt;&gt;"","مغلق",IF(AND(I264&lt;&gt;"",TODAY()&gt;I264),"مفتوح – متأخر","مفتوح")))</f>
        <v/>
      </c>
    </row>
    <row r="265">
      <c r="A265" s="39">
        <f>IF(B265="","","SNG-"&amp;TEXT(ROW()-4,"0000"))</f>
        <v/>
      </c>
      <c r="B265" s="50" t="n"/>
      <c r="C265" s="49">
        <f>IF(B265="","",IFERROR(INDEX('المشروعات'!$B$5:$B$304,MATCH(B265,'المشروعات'!$A$5:$A$304,0)),""))</f>
        <v/>
      </c>
      <c r="D265" s="40" t="n"/>
      <c r="E265" s="40" t="n"/>
      <c r="F265" s="40" t="n"/>
      <c r="G265" s="40" t="n"/>
      <c r="H265" s="47" t="n"/>
      <c r="I265" s="47" t="n"/>
      <c r="J265" s="47" t="n"/>
      <c r="K265" s="49">
        <f>IF(B265="","",IF(J265&lt;&gt;"","مغلق",IF(AND(I265&lt;&gt;"",TODAY()&gt;I265),"مفتوح – متأخر","مفتوح")))</f>
        <v/>
      </c>
    </row>
    <row r="266">
      <c r="A266" s="39">
        <f>IF(B266="","","SNG-"&amp;TEXT(ROW()-4,"0000"))</f>
        <v/>
      </c>
      <c r="B266" s="50" t="n"/>
      <c r="C266" s="49">
        <f>IF(B266="","",IFERROR(INDEX('المشروعات'!$B$5:$B$304,MATCH(B266,'المشروعات'!$A$5:$A$304,0)),""))</f>
        <v/>
      </c>
      <c r="D266" s="40" t="n"/>
      <c r="E266" s="40" t="n"/>
      <c r="F266" s="40" t="n"/>
      <c r="G266" s="40" t="n"/>
      <c r="H266" s="47" t="n"/>
      <c r="I266" s="47" t="n"/>
      <c r="J266" s="47" t="n"/>
      <c r="K266" s="49">
        <f>IF(B266="","",IF(J266&lt;&gt;"","مغلق",IF(AND(I266&lt;&gt;"",TODAY()&gt;I266),"مفتوح – متأخر","مفتوح")))</f>
        <v/>
      </c>
    </row>
    <row r="267">
      <c r="A267" s="39">
        <f>IF(B267="","","SNG-"&amp;TEXT(ROW()-4,"0000"))</f>
        <v/>
      </c>
      <c r="B267" s="50" t="n"/>
      <c r="C267" s="49">
        <f>IF(B267="","",IFERROR(INDEX('المشروعات'!$B$5:$B$304,MATCH(B267,'المشروعات'!$A$5:$A$304,0)),""))</f>
        <v/>
      </c>
      <c r="D267" s="40" t="n"/>
      <c r="E267" s="40" t="n"/>
      <c r="F267" s="40" t="n"/>
      <c r="G267" s="40" t="n"/>
      <c r="H267" s="47" t="n"/>
      <c r="I267" s="47" t="n"/>
      <c r="J267" s="47" t="n"/>
      <c r="K267" s="49">
        <f>IF(B267="","",IF(J267&lt;&gt;"","مغلق",IF(AND(I267&lt;&gt;"",TODAY()&gt;I267),"مفتوح – متأخر","مفتوح")))</f>
        <v/>
      </c>
    </row>
    <row r="268">
      <c r="A268" s="39">
        <f>IF(B268="","","SNG-"&amp;TEXT(ROW()-4,"0000"))</f>
        <v/>
      </c>
      <c r="B268" s="50" t="n"/>
      <c r="C268" s="49">
        <f>IF(B268="","",IFERROR(INDEX('المشروعات'!$B$5:$B$304,MATCH(B268,'المشروعات'!$A$5:$A$304,0)),""))</f>
        <v/>
      </c>
      <c r="D268" s="40" t="n"/>
      <c r="E268" s="40" t="n"/>
      <c r="F268" s="40" t="n"/>
      <c r="G268" s="40" t="n"/>
      <c r="H268" s="47" t="n"/>
      <c r="I268" s="47" t="n"/>
      <c r="J268" s="47" t="n"/>
      <c r="K268" s="49">
        <f>IF(B268="","",IF(J268&lt;&gt;"","مغلق",IF(AND(I268&lt;&gt;"",TODAY()&gt;I268),"مفتوح – متأخر","مفتوح")))</f>
        <v/>
      </c>
    </row>
    <row r="269">
      <c r="A269" s="39">
        <f>IF(B269="","","SNG-"&amp;TEXT(ROW()-4,"0000"))</f>
        <v/>
      </c>
      <c r="B269" s="50" t="n"/>
      <c r="C269" s="49">
        <f>IF(B269="","",IFERROR(INDEX('المشروعات'!$B$5:$B$304,MATCH(B269,'المشروعات'!$A$5:$A$304,0)),""))</f>
        <v/>
      </c>
      <c r="D269" s="40" t="n"/>
      <c r="E269" s="40" t="n"/>
      <c r="F269" s="40" t="n"/>
      <c r="G269" s="40" t="n"/>
      <c r="H269" s="47" t="n"/>
      <c r="I269" s="47" t="n"/>
      <c r="J269" s="47" t="n"/>
      <c r="K269" s="49">
        <f>IF(B269="","",IF(J269&lt;&gt;"","مغلق",IF(AND(I269&lt;&gt;"",TODAY()&gt;I269),"مفتوح – متأخر","مفتوح")))</f>
        <v/>
      </c>
    </row>
    <row r="270">
      <c r="A270" s="39">
        <f>IF(B270="","","SNG-"&amp;TEXT(ROW()-4,"0000"))</f>
        <v/>
      </c>
      <c r="B270" s="50" t="n"/>
      <c r="C270" s="49">
        <f>IF(B270="","",IFERROR(INDEX('المشروعات'!$B$5:$B$304,MATCH(B270,'المشروعات'!$A$5:$A$304,0)),""))</f>
        <v/>
      </c>
      <c r="D270" s="40" t="n"/>
      <c r="E270" s="40" t="n"/>
      <c r="F270" s="40" t="n"/>
      <c r="G270" s="40" t="n"/>
      <c r="H270" s="47" t="n"/>
      <c r="I270" s="47" t="n"/>
      <c r="J270" s="47" t="n"/>
      <c r="K270" s="49">
        <f>IF(B270="","",IF(J270&lt;&gt;"","مغلق",IF(AND(I270&lt;&gt;"",TODAY()&gt;I270),"مفتوح – متأخر","مفتوح")))</f>
        <v/>
      </c>
    </row>
    <row r="271">
      <c r="A271" s="39">
        <f>IF(B271="","","SNG-"&amp;TEXT(ROW()-4,"0000"))</f>
        <v/>
      </c>
      <c r="B271" s="50" t="n"/>
      <c r="C271" s="49">
        <f>IF(B271="","",IFERROR(INDEX('المشروعات'!$B$5:$B$304,MATCH(B271,'المشروعات'!$A$5:$A$304,0)),""))</f>
        <v/>
      </c>
      <c r="D271" s="40" t="n"/>
      <c r="E271" s="40" t="n"/>
      <c r="F271" s="40" t="n"/>
      <c r="G271" s="40" t="n"/>
      <c r="H271" s="47" t="n"/>
      <c r="I271" s="47" t="n"/>
      <c r="J271" s="47" t="n"/>
      <c r="K271" s="49">
        <f>IF(B271="","",IF(J271&lt;&gt;"","مغلق",IF(AND(I271&lt;&gt;"",TODAY()&gt;I271),"مفتوح – متأخر","مفتوح")))</f>
        <v/>
      </c>
    </row>
    <row r="272">
      <c r="A272" s="39">
        <f>IF(B272="","","SNG-"&amp;TEXT(ROW()-4,"0000"))</f>
        <v/>
      </c>
      <c r="B272" s="50" t="n"/>
      <c r="C272" s="49">
        <f>IF(B272="","",IFERROR(INDEX('المشروعات'!$B$5:$B$304,MATCH(B272,'المشروعات'!$A$5:$A$304,0)),""))</f>
        <v/>
      </c>
      <c r="D272" s="40" t="n"/>
      <c r="E272" s="40" t="n"/>
      <c r="F272" s="40" t="n"/>
      <c r="G272" s="40" t="n"/>
      <c r="H272" s="47" t="n"/>
      <c r="I272" s="47" t="n"/>
      <c r="J272" s="47" t="n"/>
      <c r="K272" s="49">
        <f>IF(B272="","",IF(J272&lt;&gt;"","مغلق",IF(AND(I272&lt;&gt;"",TODAY()&gt;I272),"مفتوح – متأخر","مفتوح")))</f>
        <v/>
      </c>
    </row>
    <row r="273">
      <c r="A273" s="39">
        <f>IF(B273="","","SNG-"&amp;TEXT(ROW()-4,"0000"))</f>
        <v/>
      </c>
      <c r="B273" s="50" t="n"/>
      <c r="C273" s="49">
        <f>IF(B273="","",IFERROR(INDEX('المشروعات'!$B$5:$B$304,MATCH(B273,'المشروعات'!$A$5:$A$304,0)),""))</f>
        <v/>
      </c>
      <c r="D273" s="40" t="n"/>
      <c r="E273" s="40" t="n"/>
      <c r="F273" s="40" t="n"/>
      <c r="G273" s="40" t="n"/>
      <c r="H273" s="47" t="n"/>
      <c r="I273" s="47" t="n"/>
      <c r="J273" s="47" t="n"/>
      <c r="K273" s="49">
        <f>IF(B273="","",IF(J273&lt;&gt;"","مغلق",IF(AND(I273&lt;&gt;"",TODAY()&gt;I273),"مفتوح – متأخر","مفتوح")))</f>
        <v/>
      </c>
    </row>
    <row r="274">
      <c r="A274" s="39">
        <f>IF(B274="","","SNG-"&amp;TEXT(ROW()-4,"0000"))</f>
        <v/>
      </c>
      <c r="B274" s="50" t="n"/>
      <c r="C274" s="49">
        <f>IF(B274="","",IFERROR(INDEX('المشروعات'!$B$5:$B$304,MATCH(B274,'المشروعات'!$A$5:$A$304,0)),""))</f>
        <v/>
      </c>
      <c r="D274" s="40" t="n"/>
      <c r="E274" s="40" t="n"/>
      <c r="F274" s="40" t="n"/>
      <c r="G274" s="40" t="n"/>
      <c r="H274" s="47" t="n"/>
      <c r="I274" s="47" t="n"/>
      <c r="J274" s="47" t="n"/>
      <c r="K274" s="49">
        <f>IF(B274="","",IF(J274&lt;&gt;"","مغلق",IF(AND(I274&lt;&gt;"",TODAY()&gt;I274),"مفتوح – متأخر","مفتوح")))</f>
        <v/>
      </c>
    </row>
    <row r="275">
      <c r="A275" s="39">
        <f>IF(B275="","","SNG-"&amp;TEXT(ROW()-4,"0000"))</f>
        <v/>
      </c>
      <c r="B275" s="50" t="n"/>
      <c r="C275" s="49">
        <f>IF(B275="","",IFERROR(INDEX('المشروعات'!$B$5:$B$304,MATCH(B275,'المشروعات'!$A$5:$A$304,0)),""))</f>
        <v/>
      </c>
      <c r="D275" s="40" t="n"/>
      <c r="E275" s="40" t="n"/>
      <c r="F275" s="40" t="n"/>
      <c r="G275" s="40" t="n"/>
      <c r="H275" s="47" t="n"/>
      <c r="I275" s="47" t="n"/>
      <c r="J275" s="47" t="n"/>
      <c r="K275" s="49">
        <f>IF(B275="","",IF(J275&lt;&gt;"","مغلق",IF(AND(I275&lt;&gt;"",TODAY()&gt;I275),"مفتوح – متأخر","مفتوح")))</f>
        <v/>
      </c>
    </row>
    <row r="276">
      <c r="A276" s="39">
        <f>IF(B276="","","SNG-"&amp;TEXT(ROW()-4,"0000"))</f>
        <v/>
      </c>
      <c r="B276" s="50" t="n"/>
      <c r="C276" s="49">
        <f>IF(B276="","",IFERROR(INDEX('المشروعات'!$B$5:$B$304,MATCH(B276,'المشروعات'!$A$5:$A$304,0)),""))</f>
        <v/>
      </c>
      <c r="D276" s="40" t="n"/>
      <c r="E276" s="40" t="n"/>
      <c r="F276" s="40" t="n"/>
      <c r="G276" s="40" t="n"/>
      <c r="H276" s="47" t="n"/>
      <c r="I276" s="47" t="n"/>
      <c r="J276" s="47" t="n"/>
      <c r="K276" s="49">
        <f>IF(B276="","",IF(J276&lt;&gt;"","مغلق",IF(AND(I276&lt;&gt;"",TODAY()&gt;I276),"مفتوح – متأخر","مفتوح")))</f>
        <v/>
      </c>
    </row>
    <row r="277">
      <c r="A277" s="39">
        <f>IF(B277="","","SNG-"&amp;TEXT(ROW()-4,"0000"))</f>
        <v/>
      </c>
      <c r="B277" s="50" t="n"/>
      <c r="C277" s="49">
        <f>IF(B277="","",IFERROR(INDEX('المشروعات'!$B$5:$B$304,MATCH(B277,'المشروعات'!$A$5:$A$304,0)),""))</f>
        <v/>
      </c>
      <c r="D277" s="40" t="n"/>
      <c r="E277" s="40" t="n"/>
      <c r="F277" s="40" t="n"/>
      <c r="G277" s="40" t="n"/>
      <c r="H277" s="47" t="n"/>
      <c r="I277" s="47" t="n"/>
      <c r="J277" s="47" t="n"/>
      <c r="K277" s="49">
        <f>IF(B277="","",IF(J277&lt;&gt;"","مغلق",IF(AND(I277&lt;&gt;"",TODAY()&gt;I277),"مفتوح – متأخر","مفتوح")))</f>
        <v/>
      </c>
    </row>
    <row r="278">
      <c r="A278" s="39">
        <f>IF(B278="","","SNG-"&amp;TEXT(ROW()-4,"0000"))</f>
        <v/>
      </c>
      <c r="B278" s="50" t="n"/>
      <c r="C278" s="49">
        <f>IF(B278="","",IFERROR(INDEX('المشروعات'!$B$5:$B$304,MATCH(B278,'المشروعات'!$A$5:$A$304,0)),""))</f>
        <v/>
      </c>
      <c r="D278" s="40" t="n"/>
      <c r="E278" s="40" t="n"/>
      <c r="F278" s="40" t="n"/>
      <c r="G278" s="40" t="n"/>
      <c r="H278" s="47" t="n"/>
      <c r="I278" s="47" t="n"/>
      <c r="J278" s="47" t="n"/>
      <c r="K278" s="49">
        <f>IF(B278="","",IF(J278&lt;&gt;"","مغلق",IF(AND(I278&lt;&gt;"",TODAY()&gt;I278),"مفتوح – متأخر","مفتوح")))</f>
        <v/>
      </c>
    </row>
    <row r="279">
      <c r="A279" s="39">
        <f>IF(B279="","","SNG-"&amp;TEXT(ROW()-4,"0000"))</f>
        <v/>
      </c>
      <c r="B279" s="50" t="n"/>
      <c r="C279" s="49">
        <f>IF(B279="","",IFERROR(INDEX('المشروعات'!$B$5:$B$304,MATCH(B279,'المشروعات'!$A$5:$A$304,0)),""))</f>
        <v/>
      </c>
      <c r="D279" s="40" t="n"/>
      <c r="E279" s="40" t="n"/>
      <c r="F279" s="40" t="n"/>
      <c r="G279" s="40" t="n"/>
      <c r="H279" s="47" t="n"/>
      <c r="I279" s="47" t="n"/>
      <c r="J279" s="47" t="n"/>
      <c r="K279" s="49">
        <f>IF(B279="","",IF(J279&lt;&gt;"","مغلق",IF(AND(I279&lt;&gt;"",TODAY()&gt;I279),"مفتوح – متأخر","مفتوح")))</f>
        <v/>
      </c>
    </row>
    <row r="280">
      <c r="A280" s="39">
        <f>IF(B280="","","SNG-"&amp;TEXT(ROW()-4,"0000"))</f>
        <v/>
      </c>
      <c r="B280" s="50" t="n"/>
      <c r="C280" s="49">
        <f>IF(B280="","",IFERROR(INDEX('المشروعات'!$B$5:$B$304,MATCH(B280,'المشروعات'!$A$5:$A$304,0)),""))</f>
        <v/>
      </c>
      <c r="D280" s="40" t="n"/>
      <c r="E280" s="40" t="n"/>
      <c r="F280" s="40" t="n"/>
      <c r="G280" s="40" t="n"/>
      <c r="H280" s="47" t="n"/>
      <c r="I280" s="47" t="n"/>
      <c r="J280" s="47" t="n"/>
      <c r="K280" s="49">
        <f>IF(B280="","",IF(J280&lt;&gt;"","مغلق",IF(AND(I280&lt;&gt;"",TODAY()&gt;I280),"مفتوح – متأخر","مفتوح")))</f>
        <v/>
      </c>
    </row>
    <row r="281">
      <c r="A281" s="39">
        <f>IF(B281="","","SNG-"&amp;TEXT(ROW()-4,"0000"))</f>
        <v/>
      </c>
      <c r="B281" s="50" t="n"/>
      <c r="C281" s="49">
        <f>IF(B281="","",IFERROR(INDEX('المشروعات'!$B$5:$B$304,MATCH(B281,'المشروعات'!$A$5:$A$304,0)),""))</f>
        <v/>
      </c>
      <c r="D281" s="40" t="n"/>
      <c r="E281" s="40" t="n"/>
      <c r="F281" s="40" t="n"/>
      <c r="G281" s="40" t="n"/>
      <c r="H281" s="47" t="n"/>
      <c r="I281" s="47" t="n"/>
      <c r="J281" s="47" t="n"/>
      <c r="K281" s="49">
        <f>IF(B281="","",IF(J281&lt;&gt;"","مغلق",IF(AND(I281&lt;&gt;"",TODAY()&gt;I281),"مفتوح – متأخر","مفتوح")))</f>
        <v/>
      </c>
    </row>
    <row r="282">
      <c r="A282" s="39">
        <f>IF(B282="","","SNG-"&amp;TEXT(ROW()-4,"0000"))</f>
        <v/>
      </c>
      <c r="B282" s="50" t="n"/>
      <c r="C282" s="49">
        <f>IF(B282="","",IFERROR(INDEX('المشروعات'!$B$5:$B$304,MATCH(B282,'المشروعات'!$A$5:$A$304,0)),""))</f>
        <v/>
      </c>
      <c r="D282" s="40" t="n"/>
      <c r="E282" s="40" t="n"/>
      <c r="F282" s="40" t="n"/>
      <c r="G282" s="40" t="n"/>
      <c r="H282" s="47" t="n"/>
      <c r="I282" s="47" t="n"/>
      <c r="J282" s="47" t="n"/>
      <c r="K282" s="49">
        <f>IF(B282="","",IF(J282&lt;&gt;"","مغلق",IF(AND(I282&lt;&gt;"",TODAY()&gt;I282),"مفتوح – متأخر","مفتوح")))</f>
        <v/>
      </c>
    </row>
    <row r="283">
      <c r="A283" s="39">
        <f>IF(B283="","","SNG-"&amp;TEXT(ROW()-4,"0000"))</f>
        <v/>
      </c>
      <c r="B283" s="50" t="n"/>
      <c r="C283" s="49">
        <f>IF(B283="","",IFERROR(INDEX('المشروعات'!$B$5:$B$304,MATCH(B283,'المشروعات'!$A$5:$A$304,0)),""))</f>
        <v/>
      </c>
      <c r="D283" s="40" t="n"/>
      <c r="E283" s="40" t="n"/>
      <c r="F283" s="40" t="n"/>
      <c r="G283" s="40" t="n"/>
      <c r="H283" s="47" t="n"/>
      <c r="I283" s="47" t="n"/>
      <c r="J283" s="47" t="n"/>
      <c r="K283" s="49">
        <f>IF(B283="","",IF(J283&lt;&gt;"","مغلق",IF(AND(I283&lt;&gt;"",TODAY()&gt;I283),"مفتوح – متأخر","مفتوح")))</f>
        <v/>
      </c>
    </row>
    <row r="284">
      <c r="A284" s="39">
        <f>IF(B284="","","SNG-"&amp;TEXT(ROW()-4,"0000"))</f>
        <v/>
      </c>
      <c r="B284" s="50" t="n"/>
      <c r="C284" s="49">
        <f>IF(B284="","",IFERROR(INDEX('المشروعات'!$B$5:$B$304,MATCH(B284,'المشروعات'!$A$5:$A$304,0)),""))</f>
        <v/>
      </c>
      <c r="D284" s="40" t="n"/>
      <c r="E284" s="40" t="n"/>
      <c r="F284" s="40" t="n"/>
      <c r="G284" s="40" t="n"/>
      <c r="H284" s="47" t="n"/>
      <c r="I284" s="47" t="n"/>
      <c r="J284" s="47" t="n"/>
      <c r="K284" s="49">
        <f>IF(B284="","",IF(J284&lt;&gt;"","مغلق",IF(AND(I284&lt;&gt;"",TODAY()&gt;I284),"مفتوح – متأخر","مفتوح")))</f>
        <v/>
      </c>
    </row>
    <row r="285">
      <c r="A285" s="39">
        <f>IF(B285="","","SNG-"&amp;TEXT(ROW()-4,"0000"))</f>
        <v/>
      </c>
      <c r="B285" s="50" t="n"/>
      <c r="C285" s="49">
        <f>IF(B285="","",IFERROR(INDEX('المشروعات'!$B$5:$B$304,MATCH(B285,'المشروعات'!$A$5:$A$304,0)),""))</f>
        <v/>
      </c>
      <c r="D285" s="40" t="n"/>
      <c r="E285" s="40" t="n"/>
      <c r="F285" s="40" t="n"/>
      <c r="G285" s="40" t="n"/>
      <c r="H285" s="47" t="n"/>
      <c r="I285" s="47" t="n"/>
      <c r="J285" s="47" t="n"/>
      <c r="K285" s="49">
        <f>IF(B285="","",IF(J285&lt;&gt;"","مغلق",IF(AND(I285&lt;&gt;"",TODAY()&gt;I285),"مفتوح – متأخر","مفتوح")))</f>
        <v/>
      </c>
    </row>
    <row r="286">
      <c r="A286" s="39">
        <f>IF(B286="","","SNG-"&amp;TEXT(ROW()-4,"0000"))</f>
        <v/>
      </c>
      <c r="B286" s="50" t="n"/>
      <c r="C286" s="49">
        <f>IF(B286="","",IFERROR(INDEX('المشروعات'!$B$5:$B$304,MATCH(B286,'المشروعات'!$A$5:$A$304,0)),""))</f>
        <v/>
      </c>
      <c r="D286" s="40" t="n"/>
      <c r="E286" s="40" t="n"/>
      <c r="F286" s="40" t="n"/>
      <c r="G286" s="40" t="n"/>
      <c r="H286" s="47" t="n"/>
      <c r="I286" s="47" t="n"/>
      <c r="J286" s="47" t="n"/>
      <c r="K286" s="49">
        <f>IF(B286="","",IF(J286&lt;&gt;"","مغلق",IF(AND(I286&lt;&gt;"",TODAY()&gt;I286),"مفتوح – متأخر","مفتوح")))</f>
        <v/>
      </c>
    </row>
    <row r="287">
      <c r="A287" s="39">
        <f>IF(B287="","","SNG-"&amp;TEXT(ROW()-4,"0000"))</f>
        <v/>
      </c>
      <c r="B287" s="50" t="n"/>
      <c r="C287" s="49">
        <f>IF(B287="","",IFERROR(INDEX('المشروعات'!$B$5:$B$304,MATCH(B287,'المشروعات'!$A$5:$A$304,0)),""))</f>
        <v/>
      </c>
      <c r="D287" s="40" t="n"/>
      <c r="E287" s="40" t="n"/>
      <c r="F287" s="40" t="n"/>
      <c r="G287" s="40" t="n"/>
      <c r="H287" s="47" t="n"/>
      <c r="I287" s="47" t="n"/>
      <c r="J287" s="47" t="n"/>
      <c r="K287" s="49">
        <f>IF(B287="","",IF(J287&lt;&gt;"","مغلق",IF(AND(I287&lt;&gt;"",TODAY()&gt;I287),"مفتوح – متأخر","مفتوح")))</f>
        <v/>
      </c>
    </row>
    <row r="288">
      <c r="A288" s="39">
        <f>IF(B288="","","SNG-"&amp;TEXT(ROW()-4,"0000"))</f>
        <v/>
      </c>
      <c r="B288" s="50" t="n"/>
      <c r="C288" s="49">
        <f>IF(B288="","",IFERROR(INDEX('المشروعات'!$B$5:$B$304,MATCH(B288,'المشروعات'!$A$5:$A$304,0)),""))</f>
        <v/>
      </c>
      <c r="D288" s="40" t="n"/>
      <c r="E288" s="40" t="n"/>
      <c r="F288" s="40" t="n"/>
      <c r="G288" s="40" t="n"/>
      <c r="H288" s="47" t="n"/>
      <c r="I288" s="47" t="n"/>
      <c r="J288" s="47" t="n"/>
      <c r="K288" s="49">
        <f>IF(B288="","",IF(J288&lt;&gt;"","مغلق",IF(AND(I288&lt;&gt;"",TODAY()&gt;I288),"مفتوح – متأخر","مفتوح")))</f>
        <v/>
      </c>
    </row>
    <row r="289">
      <c r="A289" s="39">
        <f>IF(B289="","","SNG-"&amp;TEXT(ROW()-4,"0000"))</f>
        <v/>
      </c>
      <c r="B289" s="50" t="n"/>
      <c r="C289" s="49">
        <f>IF(B289="","",IFERROR(INDEX('المشروعات'!$B$5:$B$304,MATCH(B289,'المشروعات'!$A$5:$A$304,0)),""))</f>
        <v/>
      </c>
      <c r="D289" s="40" t="n"/>
      <c r="E289" s="40" t="n"/>
      <c r="F289" s="40" t="n"/>
      <c r="G289" s="40" t="n"/>
      <c r="H289" s="47" t="n"/>
      <c r="I289" s="47" t="n"/>
      <c r="J289" s="47" t="n"/>
      <c r="K289" s="49">
        <f>IF(B289="","",IF(J289&lt;&gt;"","مغلق",IF(AND(I289&lt;&gt;"",TODAY()&gt;I289),"مفتوح – متأخر","مفتوح")))</f>
        <v/>
      </c>
    </row>
    <row r="290">
      <c r="A290" s="39">
        <f>IF(B290="","","SNG-"&amp;TEXT(ROW()-4,"0000"))</f>
        <v/>
      </c>
      <c r="B290" s="50" t="n"/>
      <c r="C290" s="49">
        <f>IF(B290="","",IFERROR(INDEX('المشروعات'!$B$5:$B$304,MATCH(B290,'المشروعات'!$A$5:$A$304,0)),""))</f>
        <v/>
      </c>
      <c r="D290" s="40" t="n"/>
      <c r="E290" s="40" t="n"/>
      <c r="F290" s="40" t="n"/>
      <c r="G290" s="40" t="n"/>
      <c r="H290" s="47" t="n"/>
      <c r="I290" s="47" t="n"/>
      <c r="J290" s="47" t="n"/>
      <c r="K290" s="49">
        <f>IF(B290="","",IF(J290&lt;&gt;"","مغلق",IF(AND(I290&lt;&gt;"",TODAY()&gt;I290),"مفتوح – متأخر","مفتوح")))</f>
        <v/>
      </c>
    </row>
    <row r="291">
      <c r="A291" s="39">
        <f>IF(B291="","","SNG-"&amp;TEXT(ROW()-4,"0000"))</f>
        <v/>
      </c>
      <c r="B291" s="50" t="n"/>
      <c r="C291" s="49">
        <f>IF(B291="","",IFERROR(INDEX('المشروعات'!$B$5:$B$304,MATCH(B291,'المشروعات'!$A$5:$A$304,0)),""))</f>
        <v/>
      </c>
      <c r="D291" s="40" t="n"/>
      <c r="E291" s="40" t="n"/>
      <c r="F291" s="40" t="n"/>
      <c r="G291" s="40" t="n"/>
      <c r="H291" s="47" t="n"/>
      <c r="I291" s="47" t="n"/>
      <c r="J291" s="47" t="n"/>
      <c r="K291" s="49">
        <f>IF(B291="","",IF(J291&lt;&gt;"","مغلق",IF(AND(I291&lt;&gt;"",TODAY()&gt;I291),"مفتوح – متأخر","مفتوح")))</f>
        <v/>
      </c>
    </row>
    <row r="292">
      <c r="A292" s="39">
        <f>IF(B292="","","SNG-"&amp;TEXT(ROW()-4,"0000"))</f>
        <v/>
      </c>
      <c r="B292" s="50" t="n"/>
      <c r="C292" s="49">
        <f>IF(B292="","",IFERROR(INDEX('المشروعات'!$B$5:$B$304,MATCH(B292,'المشروعات'!$A$5:$A$304,0)),""))</f>
        <v/>
      </c>
      <c r="D292" s="40" t="n"/>
      <c r="E292" s="40" t="n"/>
      <c r="F292" s="40" t="n"/>
      <c r="G292" s="40" t="n"/>
      <c r="H292" s="47" t="n"/>
      <c r="I292" s="47" t="n"/>
      <c r="J292" s="47" t="n"/>
      <c r="K292" s="49">
        <f>IF(B292="","",IF(J292&lt;&gt;"","مغلق",IF(AND(I292&lt;&gt;"",TODAY()&gt;I292),"مفتوح – متأخر","مفتوح")))</f>
        <v/>
      </c>
    </row>
    <row r="293">
      <c r="A293" s="39">
        <f>IF(B293="","","SNG-"&amp;TEXT(ROW()-4,"0000"))</f>
        <v/>
      </c>
      <c r="B293" s="50" t="n"/>
      <c r="C293" s="49">
        <f>IF(B293="","",IFERROR(INDEX('المشروعات'!$B$5:$B$304,MATCH(B293,'المشروعات'!$A$5:$A$304,0)),""))</f>
        <v/>
      </c>
      <c r="D293" s="40" t="n"/>
      <c r="E293" s="40" t="n"/>
      <c r="F293" s="40" t="n"/>
      <c r="G293" s="40" t="n"/>
      <c r="H293" s="47" t="n"/>
      <c r="I293" s="47" t="n"/>
      <c r="J293" s="47" t="n"/>
      <c r="K293" s="49">
        <f>IF(B293="","",IF(J293&lt;&gt;"","مغلق",IF(AND(I293&lt;&gt;"",TODAY()&gt;I293),"مفتوح – متأخر","مفتوح")))</f>
        <v/>
      </c>
    </row>
    <row r="294">
      <c r="A294" s="39">
        <f>IF(B294="","","SNG-"&amp;TEXT(ROW()-4,"0000"))</f>
        <v/>
      </c>
      <c r="B294" s="50" t="n"/>
      <c r="C294" s="49">
        <f>IF(B294="","",IFERROR(INDEX('المشروعات'!$B$5:$B$304,MATCH(B294,'المشروعات'!$A$5:$A$304,0)),""))</f>
        <v/>
      </c>
      <c r="D294" s="40" t="n"/>
      <c r="E294" s="40" t="n"/>
      <c r="F294" s="40" t="n"/>
      <c r="G294" s="40" t="n"/>
      <c r="H294" s="47" t="n"/>
      <c r="I294" s="47" t="n"/>
      <c r="J294" s="47" t="n"/>
      <c r="K294" s="49">
        <f>IF(B294="","",IF(J294&lt;&gt;"","مغلق",IF(AND(I294&lt;&gt;"",TODAY()&gt;I294),"مفتوح – متأخر","مفتوح")))</f>
        <v/>
      </c>
    </row>
    <row r="295">
      <c r="A295" s="39">
        <f>IF(B295="","","SNG-"&amp;TEXT(ROW()-4,"0000"))</f>
        <v/>
      </c>
      <c r="B295" s="50" t="n"/>
      <c r="C295" s="49">
        <f>IF(B295="","",IFERROR(INDEX('المشروعات'!$B$5:$B$304,MATCH(B295,'المشروعات'!$A$5:$A$304,0)),""))</f>
        <v/>
      </c>
      <c r="D295" s="40" t="n"/>
      <c r="E295" s="40" t="n"/>
      <c r="F295" s="40" t="n"/>
      <c r="G295" s="40" t="n"/>
      <c r="H295" s="47" t="n"/>
      <c r="I295" s="47" t="n"/>
      <c r="J295" s="47" t="n"/>
      <c r="K295" s="49">
        <f>IF(B295="","",IF(J295&lt;&gt;"","مغلق",IF(AND(I295&lt;&gt;"",TODAY()&gt;I295),"مفتوح – متأخر","مفتوح")))</f>
        <v/>
      </c>
    </row>
    <row r="296">
      <c r="A296" s="39">
        <f>IF(B296="","","SNG-"&amp;TEXT(ROW()-4,"0000"))</f>
        <v/>
      </c>
      <c r="B296" s="50" t="n"/>
      <c r="C296" s="49">
        <f>IF(B296="","",IFERROR(INDEX('المشروعات'!$B$5:$B$304,MATCH(B296,'المشروعات'!$A$5:$A$304,0)),""))</f>
        <v/>
      </c>
      <c r="D296" s="40" t="n"/>
      <c r="E296" s="40" t="n"/>
      <c r="F296" s="40" t="n"/>
      <c r="G296" s="40" t="n"/>
      <c r="H296" s="47" t="n"/>
      <c r="I296" s="47" t="n"/>
      <c r="J296" s="47" t="n"/>
      <c r="K296" s="49">
        <f>IF(B296="","",IF(J296&lt;&gt;"","مغلق",IF(AND(I296&lt;&gt;"",TODAY()&gt;I296),"مفتوح – متأخر","مفتوح")))</f>
        <v/>
      </c>
    </row>
    <row r="297">
      <c r="A297" s="39">
        <f>IF(B297="","","SNG-"&amp;TEXT(ROW()-4,"0000"))</f>
        <v/>
      </c>
      <c r="B297" s="50" t="n"/>
      <c r="C297" s="49">
        <f>IF(B297="","",IFERROR(INDEX('المشروعات'!$B$5:$B$304,MATCH(B297,'المشروعات'!$A$5:$A$304,0)),""))</f>
        <v/>
      </c>
      <c r="D297" s="40" t="n"/>
      <c r="E297" s="40" t="n"/>
      <c r="F297" s="40" t="n"/>
      <c r="G297" s="40" t="n"/>
      <c r="H297" s="47" t="n"/>
      <c r="I297" s="47" t="n"/>
      <c r="J297" s="47" t="n"/>
      <c r="K297" s="49">
        <f>IF(B297="","",IF(J297&lt;&gt;"","مغلق",IF(AND(I297&lt;&gt;"",TODAY()&gt;I297),"مفتوح – متأخر","مفتوح")))</f>
        <v/>
      </c>
    </row>
    <row r="298">
      <c r="A298" s="39">
        <f>IF(B298="","","SNG-"&amp;TEXT(ROW()-4,"0000"))</f>
        <v/>
      </c>
      <c r="B298" s="50" t="n"/>
      <c r="C298" s="49">
        <f>IF(B298="","",IFERROR(INDEX('المشروعات'!$B$5:$B$304,MATCH(B298,'المشروعات'!$A$5:$A$304,0)),""))</f>
        <v/>
      </c>
      <c r="D298" s="40" t="n"/>
      <c r="E298" s="40" t="n"/>
      <c r="F298" s="40" t="n"/>
      <c r="G298" s="40" t="n"/>
      <c r="H298" s="47" t="n"/>
      <c r="I298" s="47" t="n"/>
      <c r="J298" s="47" t="n"/>
      <c r="K298" s="49">
        <f>IF(B298="","",IF(J298&lt;&gt;"","مغلق",IF(AND(I298&lt;&gt;"",TODAY()&gt;I298),"مفتوح – متأخر","مفتوح")))</f>
        <v/>
      </c>
    </row>
    <row r="299">
      <c r="A299" s="39">
        <f>IF(B299="","","SNG-"&amp;TEXT(ROW()-4,"0000"))</f>
        <v/>
      </c>
      <c r="B299" s="50" t="n"/>
      <c r="C299" s="49">
        <f>IF(B299="","",IFERROR(INDEX('المشروعات'!$B$5:$B$304,MATCH(B299,'المشروعات'!$A$5:$A$304,0)),""))</f>
        <v/>
      </c>
      <c r="D299" s="40" t="n"/>
      <c r="E299" s="40" t="n"/>
      <c r="F299" s="40" t="n"/>
      <c r="G299" s="40" t="n"/>
      <c r="H299" s="47" t="n"/>
      <c r="I299" s="47" t="n"/>
      <c r="J299" s="47" t="n"/>
      <c r="K299" s="49">
        <f>IF(B299="","",IF(J299&lt;&gt;"","مغلق",IF(AND(I299&lt;&gt;"",TODAY()&gt;I299),"مفتوح – متأخر","مفتوح")))</f>
        <v/>
      </c>
    </row>
    <row r="300">
      <c r="A300" s="39">
        <f>IF(B300="","","SNG-"&amp;TEXT(ROW()-4,"0000"))</f>
        <v/>
      </c>
      <c r="B300" s="50" t="n"/>
      <c r="C300" s="49">
        <f>IF(B300="","",IFERROR(INDEX('المشروعات'!$B$5:$B$304,MATCH(B300,'المشروعات'!$A$5:$A$304,0)),""))</f>
        <v/>
      </c>
      <c r="D300" s="40" t="n"/>
      <c r="E300" s="40" t="n"/>
      <c r="F300" s="40" t="n"/>
      <c r="G300" s="40" t="n"/>
      <c r="H300" s="47" t="n"/>
      <c r="I300" s="47" t="n"/>
      <c r="J300" s="47" t="n"/>
      <c r="K300" s="49">
        <f>IF(B300="","",IF(J300&lt;&gt;"","مغلق",IF(AND(I300&lt;&gt;"",TODAY()&gt;I300),"مفتوح – متأخر","مفتوح")))</f>
        <v/>
      </c>
    </row>
    <row r="301">
      <c r="A301" s="39">
        <f>IF(B301="","","SNG-"&amp;TEXT(ROW()-4,"0000"))</f>
        <v/>
      </c>
      <c r="B301" s="50" t="n"/>
      <c r="C301" s="49">
        <f>IF(B301="","",IFERROR(INDEX('المشروعات'!$B$5:$B$304,MATCH(B301,'المشروعات'!$A$5:$A$304,0)),""))</f>
        <v/>
      </c>
      <c r="D301" s="40" t="n"/>
      <c r="E301" s="40" t="n"/>
      <c r="F301" s="40" t="n"/>
      <c r="G301" s="40" t="n"/>
      <c r="H301" s="47" t="n"/>
      <c r="I301" s="47" t="n"/>
      <c r="J301" s="47" t="n"/>
      <c r="K301" s="49">
        <f>IF(B301="","",IF(J301&lt;&gt;"","مغلق",IF(AND(I301&lt;&gt;"",TODAY()&gt;I301),"مفتوح – متأخر","مفتوح")))</f>
        <v/>
      </c>
    </row>
    <row r="302">
      <c r="A302" s="39">
        <f>IF(B302="","","SNG-"&amp;TEXT(ROW()-4,"0000"))</f>
        <v/>
      </c>
      <c r="B302" s="50" t="n"/>
      <c r="C302" s="49">
        <f>IF(B302="","",IFERROR(INDEX('المشروعات'!$B$5:$B$304,MATCH(B302,'المشروعات'!$A$5:$A$304,0)),""))</f>
        <v/>
      </c>
      <c r="D302" s="40" t="n"/>
      <c r="E302" s="40" t="n"/>
      <c r="F302" s="40" t="n"/>
      <c r="G302" s="40" t="n"/>
      <c r="H302" s="47" t="n"/>
      <c r="I302" s="47" t="n"/>
      <c r="J302" s="47" t="n"/>
      <c r="K302" s="49">
        <f>IF(B302="","",IF(J302&lt;&gt;"","مغلق",IF(AND(I302&lt;&gt;"",TODAY()&gt;I302),"مفتوح – متأخر","مفتوح")))</f>
        <v/>
      </c>
    </row>
    <row r="303">
      <c r="A303" s="39">
        <f>IF(B303="","","SNG-"&amp;TEXT(ROW()-4,"0000"))</f>
        <v/>
      </c>
      <c r="B303" s="50" t="n"/>
      <c r="C303" s="49">
        <f>IF(B303="","",IFERROR(INDEX('المشروعات'!$B$5:$B$304,MATCH(B303,'المشروعات'!$A$5:$A$304,0)),""))</f>
        <v/>
      </c>
      <c r="D303" s="40" t="n"/>
      <c r="E303" s="40" t="n"/>
      <c r="F303" s="40" t="n"/>
      <c r="G303" s="40" t="n"/>
      <c r="H303" s="47" t="n"/>
      <c r="I303" s="47" t="n"/>
      <c r="J303" s="47" t="n"/>
      <c r="K303" s="49">
        <f>IF(B303="","",IF(J303&lt;&gt;"","مغلق",IF(AND(I303&lt;&gt;"",TODAY()&gt;I303),"مفتوح – متأخر","مفتوح")))</f>
        <v/>
      </c>
    </row>
    <row r="304">
      <c r="A304" s="39">
        <f>IF(B304="","","SNG-"&amp;TEXT(ROW()-4,"0000"))</f>
        <v/>
      </c>
      <c r="B304" s="50" t="n"/>
      <c r="C304" s="49">
        <f>IF(B304="","",IFERROR(INDEX('المشروعات'!$B$5:$B$304,MATCH(B304,'المشروعات'!$A$5:$A$304,0)),""))</f>
        <v/>
      </c>
      <c r="D304" s="40" t="n"/>
      <c r="E304" s="40" t="n"/>
      <c r="F304" s="40" t="n"/>
      <c r="G304" s="40" t="n"/>
      <c r="H304" s="47" t="n"/>
      <c r="I304" s="47" t="n"/>
      <c r="J304" s="47" t="n"/>
      <c r="K304" s="49">
        <f>IF(B304="","",IF(J304&lt;&gt;"","مغلق",IF(AND(I304&lt;&gt;"",TODAY()&gt;I304),"مفتوح – متأخر","مفتوح")))</f>
        <v/>
      </c>
    </row>
  </sheetData>
  <autoFilter ref="A4:K304"/>
  <mergeCells count="2">
    <mergeCell ref="A2:K2"/>
    <mergeCell ref="A1:K1"/>
  </mergeCells>
  <conditionalFormatting sqref="K5:K304">
    <cfRule type="expression" priority="1" dxfId="0" stopIfTrue="1">
      <formula>OR(ISNUMBER(SEARCH("متأخر",K5)),ISNUMBER(SEARCH("مرفوض",K5)),ISNUMBER(SEARCH("غير معتمدة",K5)),ISNUMBER(SEARCH("غير محصّل",K5)),ISNUMBER(SEARCH("سالب",K5)),ISNUMBER(SEARCH("أكثر من الرصيد",K5)),ISNUMBER(SEARCH("بتحفظات",K5)))</formula>
    </cfRule>
    <cfRule type="expression" priority="2" dxfId="1" stopIfTrue="1">
      <formula>OR(ISNUMBER(SEARCH("قيد",K5)),ISNUMBER(SEARCH("جزئي",K5)),ISNUMBER(SEARCH("بانتظار",K5)),ISNUMBER(SEARCH("مفتوح",K5)),ISNUMBER(SEARCH("أعد الطلب",K5)),ISNUMBER(SEARCH("لم يُورد",K5)),ISNUMBER(SEARCH("فترة الضمان",K5)),ISNUMBER(SEARCH("مُقدم",K5)))</formula>
    </cfRule>
    <cfRule type="expression" priority="3" dxfId="2" stopIfTrue="1">
      <formula>OR(ISNUMBER(SEARCH("معتمد",K5)),ISNUMBER(SEARCH("مقبول",K5)),ISNUMBER(SEARCH("مكتمل",K5)),ISNUMBER(SEARCH("مغلق",K5)),ISNUMBER(SEARCH("بالكامل",K5)),ISNUMBER(SEARCH("مسلّم",K5)),ISNUMBER(SEARCH("كامل",K5)),ISNUMBER(SEARCH("متاح",K5)),ISNUMBER(SEARCH("جاري",K5)))</formula>
    </cfRule>
  </conditionalFormatting>
  <dataValidations count="5">
    <dataValidation sqref="B5:B304" showDropDown="0" showInputMessage="0" showErrorMessage="1" allowBlank="1" errorTitle="قيمة غير صحيحة" error="اختر من القائمة المنسدلة فقط" type="list">
      <formula1>=L_Proj</formula1>
    </dataValidation>
    <dataValidation sqref="E5:E304" showDropDown="0" showInputMessage="0" showErrorMessage="1" allowBlank="1" errorTitle="قيمة غير صحيحة" error="اختر من القائمة المنسدلة فقط" type="list">
      <formula1>=L_Disc</formula1>
    </dataValidation>
    <dataValidation sqref="H5:H304" showDropDown="0" showInputMessage="0" showErrorMessage="1" allowBlank="1" errorTitle="تاريخ" error="أدخل تاريخاً صحيحاً" type="date" operator="between">
      <formula1>DATE(2000,1,1)</formula1>
      <formula2>DATE(2100,12,31)</formula2>
    </dataValidation>
    <dataValidation sqref="I5:I304" showDropDown="0" showInputMessage="0" showErrorMessage="1" allowBlank="1" errorTitle="تاريخ" error="أدخل تاريخاً صحيحاً" type="date" operator="between">
      <formula1>DATE(2000,1,1)</formula1>
      <formula2>DATE(2100,12,31)</formula2>
    </dataValidation>
    <dataValidation sqref="J5:J304" showDropDown="0" showInputMessage="0" showErrorMessage="1" allowBlank="1" errorTitle="تاريخ" error="أدخل تاريخاً صحيحاً" type="date" operator="between">
      <formula1>DATE(2000,1,1)</formula1>
      <formula2>DATE(2100,12,31)</formula2>
    </dataValidation>
  </dataValidations>
  <hyperlinks>
    <hyperlink xmlns:r="http://schemas.openxmlformats.org/officeDocument/2006/relationships" ref="A3" r:id="rId1"/>
  </hyperlinks>
  <printOptions horizontalCentered="1"/>
  <pageMargins left="0.75" right="0.75" top="1" bottom="1" header="0.5" footer="0.5"/>
  <pageSetup orientation="landscape" paperSize="9" fitToHeight="0" fitToWidth="1"/>
</worksheet>
</file>

<file path=xl/worksheets/sheet16.xml><?xml version="1.0" encoding="utf-8"?>
<worksheet xmlns="http://schemas.openxmlformats.org/spreadsheetml/2006/main">
  <sheetPr>
    <tabColor rgb="002E7D32"/>
    <outlinePr summaryBelow="1" summaryRight="1"/>
    <pageSetUpPr fitToPage="1"/>
  </sheetPr>
  <dimension ref="B2:G25"/>
  <sheetViews>
    <sheetView showGridLines="0" rightToLeft="1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8" customWidth="1" min="3" max="3"/>
    <col width="16" customWidth="1" min="4" max="4"/>
    <col width="18" customWidth="1" min="5" max="5"/>
    <col width="18" customWidth="1" min="6" max="6"/>
    <col width="16" customWidth="1" min="7" max="7"/>
    <col width="3" customWidth="1" min="8" max="8"/>
  </cols>
  <sheetData>
    <row r="2">
      <c r="B2" s="33" t="inlineStr">
        <is>
          <t>↩ الرئيسية</t>
        </is>
      </c>
    </row>
    <row r="3">
      <c r="B3" s="52" t="inlineStr">
        <is>
          <t>أدخل رقم السند ◄</t>
        </is>
      </c>
      <c r="D3" s="53" t="inlineStr">
        <is>
          <t>RV-0001</t>
        </is>
      </c>
      <c r="E3" s="54">
        <f>IF(COUNTIF('سندات القبض'!$A$5:$A$304,D3)=0,"رقم السند غير موجود في سندات القبض","")</f>
        <v/>
      </c>
    </row>
    <row r="5" ht="24" customHeight="1">
      <c r="B5" s="55" t="inlineStr">
        <is>
          <t>شعار الشركة</t>
        </is>
      </c>
      <c r="D5" s="56">
        <f>S_Company</f>
        <v/>
      </c>
      <c r="F5" s="57" t="inlineStr">
        <is>
          <t>رقم السند</t>
        </is>
      </c>
      <c r="G5" s="58">
        <f>D3</f>
        <v/>
      </c>
    </row>
    <row r="6" ht="24" customHeight="1">
      <c r="D6" s="59" t="inlineStr">
        <is>
          <t>سند قبض</t>
        </is>
      </c>
      <c r="F6" s="57" t="inlineStr">
        <is>
          <t>التاريخ</t>
        </is>
      </c>
      <c r="G6" s="60">
        <f>IFERROR(INDEX('سندات القبض'!$B$5:$B$304,MATCH($D$3,'سندات القبض'!$A$5:$A$304,0)),"")</f>
        <v/>
      </c>
    </row>
    <row r="7" ht="24" customHeight="1">
      <c r="F7" s="57" t="inlineStr">
        <is>
          <t>المشروع</t>
        </is>
      </c>
      <c r="G7" s="58">
        <f>IFERROR(INDEX('سندات القبض'!$D$5:$D$304,MATCH($D$3,'سندات القبض'!$A$5:$A$304,0)),"")</f>
        <v/>
      </c>
    </row>
    <row r="9" ht="30" customHeight="1">
      <c r="B9" s="8" t="inlineStr">
        <is>
          <t>المبلغ</t>
        </is>
      </c>
      <c r="D9" s="61">
        <f>IFERROR(INDEX('سندات القبض'!$K$5:$K$304,MATCH($D$3,'سندات القبض'!$A$5:$A$304,0)),"")</f>
        <v/>
      </c>
      <c r="F9" s="8" t="inlineStr">
        <is>
          <t>العملة</t>
        </is>
      </c>
      <c r="G9" s="62">
        <f>S_Cur</f>
        <v/>
      </c>
    </row>
    <row r="11" ht="26" customHeight="1">
      <c r="B11" s="63" t="inlineStr">
        <is>
          <t>استلمنا من السيد/السادة</t>
        </is>
      </c>
      <c r="C11" s="64" t="n"/>
      <c r="D11" s="65">
        <f>IFERROR(INDEX('سندات القبض'!$C$5:$C$304,MATCH($D$3,'سندات القبض'!$A$5:$A$304,0)),"")&amp;""</f>
        <v/>
      </c>
      <c r="E11" s="64" t="n"/>
      <c r="F11" s="64" t="n"/>
      <c r="G11" s="64" t="n"/>
    </row>
    <row r="12" ht="26" customHeight="1">
      <c r="B12" s="63" t="inlineStr">
        <is>
          <t>مبلغ وقدره</t>
        </is>
      </c>
      <c r="C12" s="64" t="n"/>
      <c r="D12" s="65">
        <f>IFERROR(INDEX('سندات القبض'!$L$5:$L$304,MATCH($D$3,'سندات القبض'!$A$5:$A$304,0)),"")&amp;""</f>
        <v/>
      </c>
      <c r="E12" s="64" t="n"/>
      <c r="F12" s="64" t="n"/>
      <c r="G12" s="64" t="n"/>
    </row>
    <row r="13" ht="26" customHeight="1">
      <c r="B13" s="63" t="inlineStr">
        <is>
          <t>وذلك عن</t>
        </is>
      </c>
      <c r="C13" s="64" t="n"/>
      <c r="D13" s="65">
        <f>IFERROR(INDEX('سندات القبض'!$G$5:$G$304,MATCH($D$3,'سندات القبض'!$A$5:$A$304,0)),"")&amp;""</f>
        <v/>
      </c>
      <c r="E13" s="64" t="n"/>
      <c r="F13" s="64" t="n"/>
      <c r="G13" s="64" t="n"/>
    </row>
    <row r="14" ht="26" customHeight="1">
      <c r="B14" s="63" t="inlineStr">
        <is>
          <t>اسم المشروع</t>
        </is>
      </c>
      <c r="C14" s="64" t="n"/>
      <c r="D14" s="65">
        <f>IFERROR(INDEX('سندات القبض'!$E$5:$E$304,MATCH($D$3,'سندات القبض'!$A$5:$A$304,0)),"")&amp;""</f>
        <v/>
      </c>
      <c r="E14" s="64" t="n"/>
      <c r="F14" s="64" t="n"/>
      <c r="G14" s="64" t="n"/>
    </row>
    <row r="15" ht="26" customHeight="1">
      <c r="B15" s="63" t="inlineStr">
        <is>
          <t>رقم المستخلص</t>
        </is>
      </c>
      <c r="C15" s="64" t="n"/>
      <c r="D15" s="65">
        <f>IFERROR(INDEX('سندات القبض'!$F$5:$F$304,MATCH($D$3,'سندات القبض'!$A$5:$A$304,0)),"")&amp;""</f>
        <v/>
      </c>
      <c r="E15" s="64" t="n"/>
      <c r="F15" s="64" t="n"/>
      <c r="G15" s="64" t="n"/>
    </row>
    <row r="16" ht="26" customHeight="1">
      <c r="B16" s="63" t="inlineStr">
        <is>
          <t>طريقة الدفع</t>
        </is>
      </c>
      <c r="C16" s="64" t="n"/>
      <c r="D16" s="65">
        <f>IFERROR(INDEX('سندات القبض'!$H$5:$H$304,MATCH($D$3,'سندات القبض'!$A$5:$A$304,0)),"")&amp;""</f>
        <v/>
      </c>
      <c r="E16" s="64" t="n"/>
      <c r="F16" s="64" t="n"/>
      <c r="G16" s="64" t="n"/>
    </row>
    <row r="17" ht="26" customHeight="1">
      <c r="B17" s="63" t="inlineStr">
        <is>
          <t>رقم الشيك / الحوالة</t>
        </is>
      </c>
      <c r="C17" s="64" t="n"/>
      <c r="D17" s="65">
        <f>IFERROR(INDEX('سندات القبض'!$I$5:$I$304,MATCH($D$3,'سندات القبض'!$A$5:$A$304,0)),"")&amp;""</f>
        <v/>
      </c>
      <c r="E17" s="64" t="n"/>
      <c r="F17" s="64" t="n"/>
      <c r="G17" s="64" t="n"/>
    </row>
    <row r="18" ht="26" customHeight="1">
      <c r="B18" s="63" t="inlineStr">
        <is>
          <t>البنك</t>
        </is>
      </c>
      <c r="C18" s="64" t="n"/>
      <c r="D18" s="65">
        <f>IFERROR(INDEX('سندات القبض'!$J$5:$J$304,MATCH($D$3,'سندات القبض'!$A$5:$A$304,0)),"")&amp;""</f>
        <v/>
      </c>
      <c r="E18" s="64" t="n"/>
      <c r="F18" s="64" t="n"/>
      <c r="G18" s="64" t="n"/>
    </row>
    <row r="21">
      <c r="B21" s="66" t="inlineStr">
        <is>
          <t>المستلم (أمين الصندوق)</t>
        </is>
      </c>
      <c r="D21" s="66" t="inlineStr">
        <is>
          <t>المحاسب</t>
        </is>
      </c>
      <c r="F21" s="66" t="inlineStr">
        <is>
          <t>المدير المالي</t>
        </is>
      </c>
    </row>
    <row r="23">
      <c r="B23" s="67" t="inlineStr">
        <is>
          <t>........................</t>
        </is>
      </c>
      <c r="D23" s="67" t="inlineStr">
        <is>
          <t>........................</t>
        </is>
      </c>
      <c r="F23" s="67" t="inlineStr">
        <is>
          <t>........................</t>
        </is>
      </c>
    </row>
    <row r="25">
      <c r="B25" s="68" t="inlineStr">
        <is>
          <t>الأصل للمستفيد – صورة للحسابات – صورة للدفتر</t>
        </is>
      </c>
    </row>
  </sheetData>
  <mergeCells count="23">
    <mergeCell ref="D18:G18"/>
    <mergeCell ref="B16:C16"/>
    <mergeCell ref="D12:G12"/>
    <mergeCell ref="D15:G15"/>
    <mergeCell ref="B18:C18"/>
    <mergeCell ref="D14:G14"/>
    <mergeCell ref="B12:C12"/>
    <mergeCell ref="B11:C11"/>
    <mergeCell ref="B14:C14"/>
    <mergeCell ref="B17:C17"/>
    <mergeCell ref="B13:C13"/>
    <mergeCell ref="D6:E7"/>
    <mergeCell ref="E3:G3"/>
    <mergeCell ref="D11:G11"/>
    <mergeCell ref="B9:C9"/>
    <mergeCell ref="D13:G13"/>
    <mergeCell ref="D9:E9"/>
    <mergeCell ref="B25:G25"/>
    <mergeCell ref="D17:G17"/>
    <mergeCell ref="B15:C15"/>
    <mergeCell ref="D5:E5"/>
    <mergeCell ref="D16:G16"/>
    <mergeCell ref="B5:C7"/>
  </mergeCells>
  <dataValidations count="1">
    <dataValidation sqref="D3" showDropDown="0" showInputMessage="0" showErrorMessage="0" allowBlank="0" type="list">
      <formula1>='سندات القبض'!$A$5:$A$304</formula1>
    </dataValidation>
  </dataValidations>
  <hyperlinks>
    <hyperlink xmlns:r="http://schemas.openxmlformats.org/officeDocument/2006/relationships" ref="B2" r:id="rId1"/>
  </hyperlinks>
  <printOptions horizontalCentered="1"/>
  <pageMargins left="0.75" right="0.75" top="1" bottom="1" header="0.5" footer="0.5"/>
  <pageSetup orientation="portrait" paperSize="9" fitToHeight="1" fitToWidth="1"/>
</worksheet>
</file>

<file path=xl/worksheets/sheet17.xml><?xml version="1.0" encoding="utf-8"?>
<worksheet xmlns="http://schemas.openxmlformats.org/spreadsheetml/2006/main">
  <sheetPr>
    <tabColor rgb="00C62828"/>
    <outlinePr summaryBelow="1" summaryRight="1"/>
    <pageSetUpPr fitToPage="1"/>
  </sheetPr>
  <dimension ref="B2:G25"/>
  <sheetViews>
    <sheetView showGridLines="0" rightToLeft="1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8" customWidth="1" min="3" max="3"/>
    <col width="16" customWidth="1" min="4" max="4"/>
    <col width="18" customWidth="1" min="5" max="5"/>
    <col width="18" customWidth="1" min="6" max="6"/>
    <col width="16" customWidth="1" min="7" max="7"/>
    <col width="3" customWidth="1" min="8" max="8"/>
  </cols>
  <sheetData>
    <row r="2">
      <c r="B2" s="33" t="inlineStr">
        <is>
          <t>↩ الرئيسية</t>
        </is>
      </c>
    </row>
    <row r="3">
      <c r="B3" s="52" t="inlineStr">
        <is>
          <t>أدخل رقم السند ◄</t>
        </is>
      </c>
      <c r="D3" s="53" t="inlineStr">
        <is>
          <t>PV-0001</t>
        </is>
      </c>
      <c r="E3" s="54">
        <f>IF(COUNTIF('سندات الصرف'!$A$5:$A$304,D3)=0,"رقم السند غير موجود في سندات الصرف","")</f>
        <v/>
      </c>
    </row>
    <row r="5" ht="24" customHeight="1">
      <c r="B5" s="55" t="inlineStr">
        <is>
          <t>شعار الشركة</t>
        </is>
      </c>
      <c r="D5" s="56">
        <f>S_Company</f>
        <v/>
      </c>
      <c r="F5" s="57" t="inlineStr">
        <is>
          <t>رقم السند</t>
        </is>
      </c>
      <c r="G5" s="69">
        <f>D3</f>
        <v/>
      </c>
    </row>
    <row r="6" ht="24" customHeight="1">
      <c r="D6" s="70" t="inlineStr">
        <is>
          <t>سند صرف</t>
        </is>
      </c>
      <c r="F6" s="57" t="inlineStr">
        <is>
          <t>التاريخ</t>
        </is>
      </c>
      <c r="G6" s="71">
        <f>IFERROR(INDEX('سندات الصرف'!$B$5:$B$304,MATCH($D$3,'سندات الصرف'!$A$5:$A$304,0)),"")</f>
        <v/>
      </c>
    </row>
    <row r="7" ht="24" customHeight="1">
      <c r="F7" s="57" t="inlineStr">
        <is>
          <t>المشروع</t>
        </is>
      </c>
      <c r="G7" s="69">
        <f>IFERROR(INDEX('سندات الصرف'!$D$5:$D$304,MATCH($D$3,'سندات الصرف'!$A$5:$A$304,0)),"")</f>
        <v/>
      </c>
    </row>
    <row r="9" ht="30" customHeight="1">
      <c r="B9" s="9" t="inlineStr">
        <is>
          <t>المبلغ</t>
        </is>
      </c>
      <c r="D9" s="72">
        <f>IFERROR(INDEX('سندات الصرف'!$L$5:$L$304,MATCH($D$3,'سندات الصرف'!$A$5:$A$304,0)),"")</f>
        <v/>
      </c>
      <c r="F9" s="9" t="inlineStr">
        <is>
          <t>العملة</t>
        </is>
      </c>
      <c r="G9" s="62">
        <f>S_Cur</f>
        <v/>
      </c>
    </row>
    <row r="11" ht="26" customHeight="1">
      <c r="B11" s="63" t="inlineStr">
        <is>
          <t>يُصرف للسيد/السادة</t>
        </is>
      </c>
      <c r="C11" s="64" t="n"/>
      <c r="D11" s="65">
        <f>IFERROR(INDEX('سندات الصرف'!$C$5:$C$304,MATCH($D$3,'سندات الصرف'!$A$5:$A$304,0)),"")&amp;""</f>
        <v/>
      </c>
      <c r="E11" s="64" t="n"/>
      <c r="F11" s="64" t="n"/>
      <c r="G11" s="64" t="n"/>
    </row>
    <row r="12" ht="26" customHeight="1">
      <c r="B12" s="63" t="inlineStr">
        <is>
          <t>مبلغ وقدره</t>
        </is>
      </c>
      <c r="C12" s="64" t="n"/>
      <c r="D12" s="65">
        <f>IFERROR(INDEX('سندات الصرف'!$M$5:$M$304,MATCH($D$3,'سندات الصرف'!$A$5:$A$304,0)),"")&amp;""</f>
        <v/>
      </c>
      <c r="E12" s="64" t="n"/>
      <c r="F12" s="64" t="n"/>
      <c r="G12" s="64" t="n"/>
    </row>
    <row r="13" ht="26" customHeight="1">
      <c r="B13" s="63" t="inlineStr">
        <is>
          <t>وذلك مقابل</t>
        </is>
      </c>
      <c r="C13" s="64" t="n"/>
      <c r="D13" s="65">
        <f>IFERROR(INDEX('سندات الصرف'!$H$5:$H$304,MATCH($D$3,'سندات الصرف'!$A$5:$A$304,0)),"")&amp;""</f>
        <v/>
      </c>
      <c r="E13" s="64" t="n"/>
      <c r="F13" s="64" t="n"/>
      <c r="G13" s="64" t="n"/>
    </row>
    <row r="14" ht="26" customHeight="1">
      <c r="B14" s="63" t="inlineStr">
        <is>
          <t>اسم المشروع</t>
        </is>
      </c>
      <c r="C14" s="64" t="n"/>
      <c r="D14" s="65">
        <f>IFERROR(INDEX('سندات الصرف'!$E$5:$E$304,MATCH($D$3,'سندات الصرف'!$A$5:$A$304,0)),"")&amp;""</f>
        <v/>
      </c>
      <c r="E14" s="64" t="n"/>
      <c r="F14" s="64" t="n"/>
      <c r="G14" s="64" t="n"/>
    </row>
    <row r="15" ht="26" customHeight="1">
      <c r="B15" s="63" t="inlineStr">
        <is>
          <t>بند التكلفة</t>
        </is>
      </c>
      <c r="C15" s="64" t="n"/>
      <c r="D15" s="65">
        <f>IFERROR(INDEX('سندات الصرف'!$F$5:$F$304,MATCH($D$3,'سندات الصرف'!$A$5:$A$304,0)),"")&amp;""</f>
        <v/>
      </c>
      <c r="E15" s="64" t="n"/>
      <c r="F15" s="64" t="n"/>
      <c r="G15" s="64" t="n"/>
    </row>
    <row r="16" ht="26" customHeight="1">
      <c r="B16" s="63" t="inlineStr">
        <is>
          <t>طريقة الدفع</t>
        </is>
      </c>
      <c r="C16" s="64" t="n"/>
      <c r="D16" s="65">
        <f>IFERROR(INDEX('سندات الصرف'!$I$5:$I$304,MATCH($D$3,'سندات الصرف'!$A$5:$A$304,0)),"")&amp;""</f>
        <v/>
      </c>
      <c r="E16" s="64" t="n"/>
      <c r="F16" s="64" t="n"/>
      <c r="G16" s="64" t="n"/>
    </row>
    <row r="17" ht="26" customHeight="1">
      <c r="B17" s="63" t="inlineStr">
        <is>
          <t>رقم الشيك / الحوالة</t>
        </is>
      </c>
      <c r="C17" s="64" t="n"/>
      <c r="D17" s="65">
        <f>IFERROR(INDEX('سندات الصرف'!$J$5:$J$304,MATCH($D$3,'سندات الصرف'!$A$5:$A$304,0)),"")&amp;""</f>
        <v/>
      </c>
      <c r="E17" s="64" t="n"/>
      <c r="F17" s="64" t="n"/>
      <c r="G17" s="64" t="n"/>
    </row>
    <row r="18" ht="26" customHeight="1">
      <c r="B18" s="63" t="inlineStr">
        <is>
          <t>البنك</t>
        </is>
      </c>
      <c r="C18" s="64" t="n"/>
      <c r="D18" s="65">
        <f>IFERROR(INDEX('سندات الصرف'!$K$5:$K$304,MATCH($D$3,'سندات الصرف'!$A$5:$A$304,0)),"")&amp;""</f>
        <v/>
      </c>
      <c r="E18" s="64" t="n"/>
      <c r="F18" s="64" t="n"/>
      <c r="G18" s="64" t="n"/>
    </row>
    <row r="21">
      <c r="B21" s="66" t="inlineStr">
        <is>
          <t>المستلم</t>
        </is>
      </c>
      <c r="C21" s="66" t="inlineStr">
        <is>
          <t>المحاسب</t>
        </is>
      </c>
      <c r="E21" s="66" t="inlineStr">
        <is>
          <t>المدير المالي</t>
        </is>
      </c>
      <c r="G21" s="66" t="inlineStr">
        <is>
          <t>المعتمد</t>
        </is>
      </c>
    </row>
    <row r="23">
      <c r="B23" s="67" t="inlineStr">
        <is>
          <t>........................</t>
        </is>
      </c>
      <c r="C23" s="67" t="inlineStr">
        <is>
          <t>........................</t>
        </is>
      </c>
      <c r="E23" s="67" t="inlineStr">
        <is>
          <t>........................</t>
        </is>
      </c>
      <c r="G23" s="67" t="inlineStr">
        <is>
          <t>........................</t>
        </is>
      </c>
    </row>
    <row r="25">
      <c r="B25" s="68" t="inlineStr">
        <is>
          <t>الأصل للمستفيد – صورة للحسابات – صورة للدفتر</t>
        </is>
      </c>
    </row>
  </sheetData>
  <mergeCells count="23">
    <mergeCell ref="D18:G18"/>
    <mergeCell ref="B16:C16"/>
    <mergeCell ref="D12:G12"/>
    <mergeCell ref="D15:G15"/>
    <mergeCell ref="B18:C18"/>
    <mergeCell ref="D14:G14"/>
    <mergeCell ref="B12:C12"/>
    <mergeCell ref="B11:C11"/>
    <mergeCell ref="B14:C14"/>
    <mergeCell ref="B17:C17"/>
    <mergeCell ref="B13:C13"/>
    <mergeCell ref="D6:E7"/>
    <mergeCell ref="E3:G3"/>
    <mergeCell ref="D11:G11"/>
    <mergeCell ref="B9:C9"/>
    <mergeCell ref="D13:G13"/>
    <mergeCell ref="D9:E9"/>
    <mergeCell ref="B25:G25"/>
    <mergeCell ref="D17:G17"/>
    <mergeCell ref="B15:C15"/>
    <mergeCell ref="D5:E5"/>
    <mergeCell ref="D16:G16"/>
    <mergeCell ref="B5:C7"/>
  </mergeCells>
  <dataValidations count="1">
    <dataValidation sqref="D3" showDropDown="0" showInputMessage="0" showErrorMessage="0" allowBlank="0" type="list">
      <formula1>='سندات الصرف'!$A$5:$A$304</formula1>
    </dataValidation>
  </dataValidations>
  <hyperlinks>
    <hyperlink xmlns:r="http://schemas.openxmlformats.org/officeDocument/2006/relationships" ref="B2" r:id="rId1"/>
  </hyperlinks>
  <printOptions horizontalCentered="1"/>
  <pageMargins left="0.75" right="0.75" top="1" bottom="1" header="0.5" footer="0.5"/>
  <pageSetup orientation="portrait" paperSize="9" fitToHeight="1" fitToWidth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4"/>
  <sheetViews>
    <sheetView rightToLeft="1" workbookViewId="0">
      <selection activeCell="A1" sqref="A1"/>
    </sheetView>
  </sheetViews>
  <sheetFormatPr baseColWidth="8" defaultRowHeight="15"/>
  <cols>
    <col width="44" customWidth="1" min="1" max="1"/>
    <col width="30" customWidth="1" min="2" max="2"/>
    <col width="5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73" t="inlineStr">
        <is>
          <t>القوائم المنسدلة والإعدادات العامة</t>
        </is>
      </c>
    </row>
    <row r="2">
      <c r="A2" s="36" t="inlineStr">
        <is>
          <t>الخلايا الصفراء قابلة للتعديل. أضف عناصر للقوائم أسفل كل عمود (حتى الصف 40).</t>
        </is>
      </c>
    </row>
    <row r="4">
      <c r="A4" s="74" t="inlineStr">
        <is>
          <t>الإعداد</t>
        </is>
      </c>
      <c r="B4" s="74" t="inlineStr">
        <is>
          <t>القيمة</t>
        </is>
      </c>
      <c r="C4" s="74" t="inlineStr">
        <is>
          <t>المصدر / الملاحظة</t>
        </is>
      </c>
    </row>
    <row r="5">
      <c r="A5" s="75" t="inlineStr">
        <is>
          <t>اسم الشركة</t>
        </is>
      </c>
      <c r="B5" s="76" t="inlineStr">
        <is>
          <t>[اسم الشركة] للمقاولات العامة</t>
        </is>
      </c>
      <c r="C5" s="77" t="inlineStr">
        <is>
          <t>أدخل اسم شركتك – يظهر في كل الشاشات والسندات</t>
        </is>
      </c>
    </row>
    <row r="6">
      <c r="A6" s="75" t="inlineStr">
        <is>
          <t>نسبة ضريبة القيمة المضافة</t>
        </is>
      </c>
      <c r="B6" s="78" t="n">
        <v>0.14</v>
      </c>
      <c r="C6" s="77" t="inlineStr">
        <is>
          <t>افتراض: 14% حسب قانون الضريبة المصري – عدّلها حسب بلدك</t>
        </is>
      </c>
    </row>
    <row r="7">
      <c r="A7" s="75" t="inlineStr">
        <is>
          <t>نسبة ضمان الأعمال المحتجز من المستخلص</t>
        </is>
      </c>
      <c r="B7" s="78" t="n">
        <v>0.05</v>
      </c>
      <c r="C7" s="77" t="inlineStr">
        <is>
          <t>افتراض: 5% – عدّلها حسب العقد</t>
        </is>
      </c>
    </row>
    <row r="8">
      <c r="A8" s="75" t="inlineStr">
        <is>
          <t>المدة القصوى لرد الاستشاري على الاعتمادات (يوم)</t>
        </is>
      </c>
      <c r="B8" s="79" t="n">
        <v>14</v>
      </c>
      <c r="C8" s="77" t="inlineStr">
        <is>
          <t>افتراض: 14 يوماً – حسب العقد/المواصفات</t>
        </is>
      </c>
    </row>
    <row r="9">
      <c r="A9" s="75" t="inlineStr">
        <is>
          <t>العملة</t>
        </is>
      </c>
      <c r="B9" s="76" t="inlineStr">
        <is>
          <t>ج.م</t>
        </is>
      </c>
      <c r="C9" s="77" t="inlineStr">
        <is>
          <t>تظهر على السندات</t>
        </is>
      </c>
    </row>
    <row r="13">
      <c r="A13" s="80" t="inlineStr">
        <is>
          <t>نعم/لا</t>
        </is>
      </c>
      <c r="B13" s="80" t="inlineStr">
        <is>
          <t>أكواد رد الاعتماد</t>
        </is>
      </c>
      <c r="C13" s="80" t="inlineStr">
        <is>
          <t>الوحدات</t>
        </is>
      </c>
      <c r="D13" s="80" t="inlineStr">
        <is>
          <t>طرق الدفع</t>
        </is>
      </c>
      <c r="E13" s="80" t="inlineStr">
        <is>
          <t>التخصصات</t>
        </is>
      </c>
      <c r="F13" s="80" t="inlineStr">
        <is>
          <t>تصنيف NCR</t>
        </is>
      </c>
      <c r="G13" s="80" t="inlineStr">
        <is>
          <t>الخطورة</t>
        </is>
      </c>
      <c r="H13" s="80" t="inlineStr">
        <is>
          <t>نتيجة الفحص</t>
        </is>
      </c>
      <c r="I13" s="80" t="inlineStr">
        <is>
          <t>بنود التكلفة</t>
        </is>
      </c>
      <c r="J13" s="80" t="inlineStr">
        <is>
          <t>اعتماد المستخلص</t>
        </is>
      </c>
    </row>
    <row r="14">
      <c r="A14" s="81" t="inlineStr">
        <is>
          <t>نعم</t>
        </is>
      </c>
      <c r="B14" s="81" t="inlineStr">
        <is>
          <t>A</t>
        </is>
      </c>
      <c r="C14" s="81" t="inlineStr">
        <is>
          <t>م3</t>
        </is>
      </c>
      <c r="D14" s="81" t="inlineStr">
        <is>
          <t>نقداً</t>
        </is>
      </c>
      <c r="E14" s="81" t="inlineStr">
        <is>
          <t>مدني/إنشائي</t>
        </is>
      </c>
      <c r="F14" s="81" t="inlineStr">
        <is>
          <t>مواد</t>
        </is>
      </c>
      <c r="G14" s="81" t="inlineStr">
        <is>
          <t>بسيطة</t>
        </is>
      </c>
      <c r="H14" s="81" t="inlineStr">
        <is>
          <t>مقبول</t>
        </is>
      </c>
      <c r="I14" s="81" t="inlineStr">
        <is>
          <t>مواد</t>
        </is>
      </c>
      <c r="J14" s="81" t="inlineStr">
        <is>
          <t>مُقدم للاستشاري</t>
        </is>
      </c>
    </row>
    <row r="15">
      <c r="A15" s="81" t="inlineStr">
        <is>
          <t>لا</t>
        </is>
      </c>
      <c r="B15" s="81" t="inlineStr">
        <is>
          <t>B</t>
        </is>
      </c>
      <c r="C15" s="81" t="inlineStr">
        <is>
          <t>م2</t>
        </is>
      </c>
      <c r="D15" s="81" t="inlineStr">
        <is>
          <t>شيك</t>
        </is>
      </c>
      <c r="E15" s="81" t="inlineStr">
        <is>
          <t>معماري</t>
        </is>
      </c>
      <c r="F15" s="81" t="inlineStr">
        <is>
          <t>تنفيذ</t>
        </is>
      </c>
      <c r="G15" s="81" t="inlineStr">
        <is>
          <t>متوسطة</t>
        </is>
      </c>
      <c r="H15" s="81" t="inlineStr">
        <is>
          <t>مقبول بملاحظات</t>
        </is>
      </c>
      <c r="I15" s="81" t="inlineStr">
        <is>
          <t>مقاولو باطن</t>
        </is>
      </c>
      <c r="J15" s="81" t="inlineStr">
        <is>
          <t>معتمد من الاستشاري</t>
        </is>
      </c>
    </row>
    <row r="16">
      <c r="B16" s="81" t="inlineStr">
        <is>
          <t>C</t>
        </is>
      </c>
      <c r="C16" s="81" t="inlineStr">
        <is>
          <t>م.ط</t>
        </is>
      </c>
      <c r="D16" s="81" t="inlineStr">
        <is>
          <t>تحويل بنكي</t>
        </is>
      </c>
      <c r="E16" s="81" t="inlineStr">
        <is>
          <t>كهرباء</t>
        </is>
      </c>
      <c r="F16" s="81" t="inlineStr">
        <is>
          <t>سلامة</t>
        </is>
      </c>
      <c r="G16" s="81" t="inlineStr">
        <is>
          <t>جسيمة</t>
        </is>
      </c>
      <c r="H16" s="81" t="inlineStr">
        <is>
          <t>مرفوض</t>
        </is>
      </c>
      <c r="I16" s="81" t="inlineStr">
        <is>
          <t>عمالة وأجور</t>
        </is>
      </c>
      <c r="J16" s="81" t="inlineStr">
        <is>
          <t>معتمد من المالك</t>
        </is>
      </c>
    </row>
    <row r="17">
      <c r="B17" s="81" t="inlineStr">
        <is>
          <t>D</t>
        </is>
      </c>
      <c r="C17" s="81" t="inlineStr">
        <is>
          <t>طن</t>
        </is>
      </c>
      <c r="D17" s="81" t="inlineStr">
        <is>
          <t>نقاط بيع</t>
        </is>
      </c>
      <c r="E17" s="81" t="inlineStr">
        <is>
          <t>ميكانيكا/تكييف</t>
        </is>
      </c>
      <c r="F17" s="81" t="inlineStr">
        <is>
          <t>توثيق</t>
        </is>
      </c>
      <c r="I17" s="81" t="inlineStr">
        <is>
          <t>معدات وإيجارات</t>
        </is>
      </c>
      <c r="J17" s="81" t="inlineStr">
        <is>
          <t>مرفوض/معاد</t>
        </is>
      </c>
    </row>
    <row r="18">
      <c r="C18" s="81" t="inlineStr">
        <is>
          <t>كجم</t>
        </is>
      </c>
      <c r="E18" s="81" t="inlineStr">
        <is>
          <t>صحي/سباكة</t>
        </is>
      </c>
      <c r="I18" s="81" t="inlineStr">
        <is>
          <t>نقل ومحروقات</t>
        </is>
      </c>
    </row>
    <row r="19">
      <c r="C19" s="81" t="inlineStr">
        <is>
          <t>عدد</t>
        </is>
      </c>
      <c r="E19" s="81" t="inlineStr">
        <is>
          <t>حريق</t>
        </is>
      </c>
      <c r="I19" s="81" t="inlineStr">
        <is>
          <t>مصاريف موقع</t>
        </is>
      </c>
    </row>
    <row r="20">
      <c r="C20" s="81" t="inlineStr">
        <is>
          <t>شيكارة</t>
        </is>
      </c>
      <c r="E20" s="81" t="inlineStr">
        <is>
          <t>مساحة</t>
        </is>
      </c>
      <c r="I20" s="81" t="inlineStr">
        <is>
          <t>رسوم وتصاريح</t>
        </is>
      </c>
    </row>
    <row r="21">
      <c r="C21" s="81" t="inlineStr">
        <is>
          <t>لتر</t>
        </is>
      </c>
      <c r="E21" s="81" t="inlineStr">
        <is>
          <t>لاندسكيب</t>
        </is>
      </c>
      <c r="I21" s="81" t="inlineStr">
        <is>
          <t>مصاريف إدارية</t>
        </is>
      </c>
    </row>
    <row r="22">
      <c r="C22" s="81" t="inlineStr">
        <is>
          <t>مقطوعية</t>
        </is>
      </c>
      <c r="I22" s="81" t="inlineStr">
        <is>
          <t>عُهد</t>
        </is>
      </c>
    </row>
    <row r="23">
      <c r="C23" s="81" t="inlineStr">
        <is>
          <t>رول</t>
        </is>
      </c>
    </row>
    <row r="24">
      <c r="C24" s="81" t="inlineStr">
        <is>
          <t>لوح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2026-09-29T07:35:44Z</dcterms:created>
  <dcterms:modified xmlns:dcterms="http://purl.org/dc/terms/" xmlns:xsi="http://www.w3.org/2001/XMLSchema-instance" xsi:type="dcterms:W3CDTF">2026-09-29T07:35:51Z</dcterms:modified>
</cp:coreProperties>
</file>